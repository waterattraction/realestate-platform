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/>
  <mc:AlternateContent xmlns:mc="http://schemas.openxmlformats.org/markup-compatibility/2006">
    <mc:Choice Requires="x15">
      <x15ac:absPath xmlns:x15ac="http://schemas.microsoft.com/office/spreadsheetml/2010/11/ac" url="/Users/Zhuanz/Desktop/信托对外披露&amp;对账打款/对账邮件/1号/2026/0612/"/>
    </mc:Choice>
  </mc:AlternateContent>
  <xr:revisionPtr revIDLastSave="0" documentId="13_ncr:1_{EDC34A0C-8C03-214C-BBFE-294D8AB47E90}" xr6:coauthVersionLast="47" xr6:coauthVersionMax="47" xr10:uidLastSave="{00000000-0000-0000-0000-000000000000}"/>
  <bookViews>
    <workbookView xWindow="5780" yWindow="1260" windowWidth="26460" windowHeight="16040" firstSheet="14" activeTab="24" xr2:uid="{00000000-000D-0000-FFFF-FFFF00000000}"/>
  </bookViews>
  <sheets>
    <sheet name="信托还款明细--0929已还款" sheetId="9" r:id="rId1"/>
    <sheet name="还款明细--1017已还款" sheetId="7" r:id="rId2"/>
    <sheet name="还款明细-1031已还款" sheetId="8" r:id="rId3"/>
    <sheet name="还款明细-1114已还款" sheetId="10" r:id="rId4"/>
    <sheet name="还款明细-1128已还款" sheetId="11" r:id="rId5"/>
    <sheet name="还款明细-1212已还款" sheetId="12" r:id="rId6"/>
    <sheet name="还款明细-1226已还款" sheetId="13" r:id="rId7"/>
    <sheet name="还款明细-0109已还款" sheetId="14" r:id="rId8"/>
    <sheet name="还款明细-0123已还款" sheetId="15" r:id="rId9"/>
    <sheet name="还款明细-0206已还款" sheetId="16" r:id="rId10"/>
    <sheet name="还款明细-0228已还款" sheetId="17" r:id="rId11"/>
    <sheet name="还款明细-0320已还款" sheetId="18" r:id="rId12"/>
    <sheet name="还款明细-0327已还款" sheetId="19" r:id="rId13"/>
    <sheet name="0403已还款" sheetId="20" r:id="rId14"/>
    <sheet name="0410已还款" sheetId="21" r:id="rId15"/>
    <sheet name="0417已还款" sheetId="22" r:id="rId16"/>
    <sheet name="0424-已还款" sheetId="23" r:id="rId17"/>
    <sheet name="0501-已还款" sheetId="24" r:id="rId18"/>
    <sheet name="0508-已还款" sheetId="25" r:id="rId19"/>
    <sheet name="0515-已还款" sheetId="26" r:id="rId20"/>
    <sheet name="0522-已还款" sheetId="27" r:id="rId21"/>
    <sheet name="0529-已还款" sheetId="28" r:id="rId22"/>
    <sheet name="0605已还款" sheetId="29" r:id="rId23"/>
    <sheet name="0612已还款" sheetId="30" r:id="rId24"/>
    <sheet name="回款计划" sheetId="6" r:id="rId25"/>
  </sheets>
  <definedNames>
    <definedName name="_xlnm._FilterDatabase" localSheetId="7" hidden="1">'还款明细-0109已还款'!$A$1:$N$152</definedName>
    <definedName name="_xlnm._FilterDatabase" localSheetId="8" hidden="1">'还款明细-0123已还款'!$A$1:$N$179</definedName>
    <definedName name="_xlnm._FilterDatabase" localSheetId="10" hidden="1">'还款明细-0228已还款'!$A$1:$N$320</definedName>
    <definedName name="_xlnm._FilterDatabase" localSheetId="1" hidden="1">'还款明细--1017已还款'!$D$1:$D$186</definedName>
    <definedName name="_xlnm._FilterDatabase" localSheetId="3" hidden="1">'还款明细-1114已还款'!$A$1:$N$167</definedName>
    <definedName name="_xlnm._FilterDatabase" localSheetId="24" hidden="1">回款计划!$A$1:$U$413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9" i="6" l="1"/>
  <c r="Q400" i="6"/>
  <c r="Q401" i="6"/>
  <c r="Q408" i="6"/>
  <c r="Q409" i="6"/>
  <c r="Q410" i="6"/>
  <c r="Q41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402" i="6"/>
  <c r="Q403" i="6"/>
  <c r="Q404" i="6"/>
  <c r="Q405" i="6"/>
  <c r="Q406" i="6"/>
  <c r="Q407" i="6"/>
  <c r="Q411" i="6"/>
  <c r="Q413" i="6"/>
  <c r="Q2" i="6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2" i="20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G131" i="18"/>
  <c r="H131" i="18"/>
  <c r="G132" i="18"/>
  <c r="H132" i="18"/>
  <c r="G133" i="18"/>
  <c r="H133" i="18"/>
  <c r="G134" i="18"/>
  <c r="H134" i="18"/>
  <c r="G135" i="18"/>
  <c r="H135" i="18"/>
  <c r="G136" i="18"/>
  <c r="H136" i="18"/>
  <c r="G137" i="18"/>
  <c r="H137" i="18"/>
  <c r="G138" i="18"/>
  <c r="H138" i="18"/>
  <c r="G139" i="18"/>
  <c r="H139" i="18"/>
  <c r="G140" i="18"/>
  <c r="H140" i="18"/>
  <c r="G141" i="18"/>
  <c r="H141" i="18"/>
  <c r="G142" i="18"/>
  <c r="H142" i="18"/>
  <c r="G143" i="18"/>
  <c r="H143" i="18"/>
  <c r="G144" i="18"/>
  <c r="H144" i="18"/>
  <c r="G145" i="18"/>
  <c r="H145" i="18"/>
  <c r="G146" i="18"/>
  <c r="H146" i="18"/>
  <c r="G147" i="18"/>
  <c r="H147" i="18"/>
  <c r="G148" i="18"/>
  <c r="H148" i="18"/>
  <c r="G149" i="18"/>
  <c r="H149" i="18"/>
  <c r="G150" i="18"/>
  <c r="H150" i="18"/>
  <c r="G151" i="18"/>
  <c r="H151" i="18"/>
  <c r="G152" i="18"/>
  <c r="H152" i="18"/>
  <c r="G153" i="18"/>
  <c r="H153" i="18"/>
  <c r="G154" i="18"/>
  <c r="H154" i="18"/>
  <c r="G155" i="18"/>
  <c r="H155" i="18"/>
  <c r="G156" i="18"/>
  <c r="H156" i="18"/>
  <c r="G157" i="18"/>
  <c r="H157" i="18"/>
  <c r="G158" i="18"/>
  <c r="H158" i="18"/>
  <c r="G159" i="18"/>
  <c r="H159" i="18"/>
  <c r="G160" i="18"/>
  <c r="H160" i="18"/>
  <c r="G161" i="18"/>
  <c r="H161" i="18"/>
  <c r="G162" i="18"/>
  <c r="H162" i="18"/>
  <c r="G163" i="18"/>
  <c r="H163" i="18"/>
  <c r="G164" i="18"/>
  <c r="H164" i="18"/>
  <c r="G165" i="18"/>
  <c r="H165" i="18"/>
  <c r="G166" i="18"/>
  <c r="H166" i="18"/>
  <c r="G167" i="18"/>
  <c r="H167" i="18"/>
  <c r="G168" i="18"/>
  <c r="H168" i="18"/>
  <c r="G169" i="18"/>
  <c r="H169" i="18"/>
  <c r="G170" i="18"/>
  <c r="H170" i="18"/>
  <c r="G171" i="18"/>
  <c r="H171" i="18"/>
  <c r="G172" i="18"/>
  <c r="H172" i="18"/>
  <c r="G173" i="18"/>
  <c r="H173" i="18"/>
  <c r="G174" i="18"/>
  <c r="H174" i="18"/>
  <c r="G175" i="18"/>
  <c r="H175" i="18"/>
  <c r="G176" i="18"/>
  <c r="H176" i="18"/>
  <c r="G177" i="18"/>
  <c r="H177" i="18"/>
  <c r="G178" i="18"/>
  <c r="H178" i="18"/>
  <c r="G179" i="18"/>
  <c r="H179" i="18"/>
  <c r="G180" i="18"/>
  <c r="H180" i="18"/>
  <c r="G181" i="18"/>
  <c r="H181" i="18"/>
  <c r="G182" i="18"/>
  <c r="H182" i="18"/>
  <c r="G183" i="18"/>
  <c r="H183" i="18"/>
  <c r="G184" i="18"/>
  <c r="H184" i="18"/>
  <c r="G185" i="18"/>
  <c r="H185" i="18"/>
  <c r="G186" i="18"/>
  <c r="H186" i="18"/>
  <c r="G187" i="18"/>
  <c r="H187" i="18"/>
  <c r="G188" i="18"/>
  <c r="H188" i="18"/>
  <c r="G189" i="18"/>
  <c r="H189" i="18"/>
  <c r="G190" i="18"/>
  <c r="H190" i="18"/>
  <c r="G191" i="18"/>
  <c r="H191" i="18"/>
  <c r="G192" i="18"/>
  <c r="H192" i="18"/>
  <c r="G193" i="18"/>
  <c r="H193" i="18"/>
  <c r="G194" i="18"/>
  <c r="H194" i="18"/>
  <c r="G195" i="18"/>
  <c r="H195" i="18"/>
  <c r="G196" i="18"/>
  <c r="H196" i="18"/>
  <c r="G197" i="18"/>
  <c r="H197" i="18"/>
  <c r="G198" i="18"/>
  <c r="H198" i="18"/>
  <c r="G199" i="18"/>
  <c r="H199" i="18"/>
  <c r="G200" i="18"/>
  <c r="H200" i="18"/>
  <c r="G201" i="18"/>
  <c r="H201" i="18"/>
  <c r="G202" i="18"/>
  <c r="H202" i="18"/>
  <c r="G203" i="18"/>
  <c r="H203" i="18"/>
  <c r="G204" i="18"/>
  <c r="H204" i="18"/>
  <c r="G205" i="18"/>
  <c r="H205" i="18"/>
  <c r="G206" i="18"/>
  <c r="H206" i="18"/>
  <c r="G207" i="18"/>
  <c r="H207" i="18"/>
  <c r="G208" i="18"/>
  <c r="H208" i="18"/>
  <c r="G209" i="18"/>
  <c r="H209" i="18"/>
  <c r="G210" i="18"/>
  <c r="H210" i="18"/>
  <c r="G211" i="18"/>
  <c r="H211" i="18"/>
  <c r="G212" i="18"/>
  <c r="H212" i="18"/>
  <c r="G213" i="18"/>
  <c r="H213" i="18"/>
  <c r="H2" i="18"/>
  <c r="G2" i="18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M1161" i="9"/>
  <c r="J1161" i="9"/>
  <c r="M1160" i="9"/>
  <c r="J1160" i="9"/>
  <c r="M1159" i="9"/>
  <c r="J1159" i="9"/>
  <c r="M1158" i="9"/>
  <c r="J1158" i="9"/>
  <c r="M1157" i="9"/>
  <c r="J1157" i="9"/>
  <c r="M1156" i="9"/>
  <c r="J1156" i="9"/>
  <c r="M1155" i="9"/>
  <c r="J1155" i="9"/>
  <c r="M1154" i="9"/>
  <c r="J1154" i="9"/>
  <c r="M1153" i="9"/>
  <c r="J1153" i="9"/>
  <c r="M1152" i="9"/>
  <c r="J1152" i="9"/>
  <c r="M1151" i="9"/>
  <c r="J1151" i="9"/>
  <c r="M1150" i="9"/>
  <c r="J1150" i="9"/>
  <c r="M1149" i="9"/>
  <c r="J1149" i="9"/>
  <c r="M1148" i="9"/>
  <c r="J1148" i="9"/>
  <c r="M1147" i="9"/>
  <c r="J1147" i="9"/>
  <c r="M1146" i="9"/>
  <c r="J1146" i="9"/>
  <c r="M1145" i="9"/>
  <c r="J1145" i="9"/>
  <c r="M1144" i="9"/>
  <c r="J1144" i="9"/>
  <c r="M1143" i="9"/>
  <c r="J1143" i="9"/>
  <c r="M1142" i="9"/>
  <c r="J1142" i="9"/>
  <c r="M1141" i="9"/>
  <c r="J1141" i="9"/>
  <c r="M1140" i="9"/>
  <c r="J1140" i="9"/>
  <c r="M1139" i="9"/>
  <c r="J1139" i="9"/>
  <c r="M1138" i="9"/>
  <c r="J1138" i="9"/>
  <c r="M1137" i="9"/>
  <c r="J1137" i="9"/>
  <c r="M1136" i="9"/>
  <c r="J1136" i="9"/>
  <c r="M1135" i="9"/>
  <c r="J1135" i="9"/>
  <c r="M1134" i="9"/>
  <c r="J1134" i="9"/>
  <c r="M1133" i="9"/>
  <c r="J1133" i="9"/>
  <c r="M1132" i="9"/>
  <c r="J1132" i="9"/>
  <c r="M1131" i="9"/>
  <c r="J1131" i="9"/>
  <c r="M1130" i="9"/>
  <c r="J1130" i="9"/>
  <c r="M1129" i="9"/>
  <c r="J1129" i="9"/>
  <c r="M1128" i="9"/>
  <c r="J1128" i="9"/>
  <c r="M1127" i="9"/>
  <c r="J1127" i="9"/>
  <c r="M1126" i="9"/>
  <c r="J1126" i="9"/>
  <c r="M1125" i="9"/>
  <c r="J1125" i="9"/>
  <c r="M1124" i="9"/>
  <c r="J1124" i="9"/>
  <c r="M1123" i="9"/>
  <c r="J1123" i="9"/>
  <c r="M1122" i="9"/>
  <c r="J1122" i="9"/>
  <c r="M1121" i="9"/>
  <c r="J1121" i="9"/>
  <c r="M1120" i="9"/>
  <c r="J1120" i="9"/>
  <c r="M1119" i="9"/>
  <c r="J1119" i="9"/>
  <c r="M1118" i="9"/>
  <c r="J1118" i="9"/>
  <c r="M1117" i="9"/>
  <c r="J1117" i="9"/>
  <c r="M1116" i="9"/>
  <c r="J1116" i="9"/>
  <c r="M1115" i="9"/>
  <c r="J1115" i="9"/>
  <c r="M1114" i="9"/>
  <c r="J1114" i="9"/>
  <c r="M1113" i="9"/>
  <c r="J1113" i="9"/>
  <c r="M1112" i="9"/>
  <c r="J1112" i="9"/>
  <c r="M1111" i="9"/>
  <c r="J1111" i="9"/>
  <c r="M1110" i="9"/>
  <c r="J1110" i="9"/>
  <c r="M1109" i="9"/>
  <c r="J1109" i="9"/>
  <c r="M1108" i="9"/>
  <c r="J1108" i="9"/>
  <c r="M1107" i="9"/>
  <c r="J1107" i="9"/>
  <c r="M1106" i="9"/>
  <c r="J1106" i="9"/>
  <c r="M1105" i="9"/>
  <c r="J1105" i="9"/>
  <c r="M1104" i="9"/>
  <c r="J1104" i="9"/>
  <c r="M1103" i="9"/>
  <c r="J1103" i="9"/>
  <c r="M1102" i="9"/>
  <c r="J1102" i="9"/>
  <c r="M1101" i="9"/>
  <c r="J1101" i="9"/>
  <c r="M1100" i="9"/>
  <c r="J1100" i="9"/>
  <c r="M1099" i="9"/>
  <c r="J1099" i="9"/>
  <c r="M1098" i="9"/>
  <c r="J1098" i="9"/>
  <c r="M1097" i="9"/>
  <c r="J1097" i="9"/>
  <c r="M1096" i="9"/>
  <c r="J1096" i="9"/>
  <c r="M1095" i="9"/>
  <c r="J1095" i="9"/>
  <c r="M1094" i="9"/>
  <c r="J1094" i="9"/>
  <c r="M1093" i="9"/>
  <c r="J1093" i="9"/>
  <c r="M1092" i="9"/>
  <c r="J1092" i="9"/>
  <c r="M1091" i="9"/>
  <c r="J1091" i="9"/>
  <c r="M1090" i="9"/>
  <c r="J1090" i="9"/>
  <c r="M1089" i="9"/>
  <c r="J1089" i="9"/>
  <c r="M1088" i="9"/>
  <c r="J1088" i="9"/>
  <c r="M1087" i="9"/>
  <c r="J1087" i="9"/>
  <c r="M1086" i="9"/>
  <c r="J1086" i="9"/>
  <c r="M1085" i="9"/>
  <c r="J1085" i="9"/>
  <c r="M1084" i="9"/>
  <c r="J1084" i="9"/>
  <c r="M1083" i="9"/>
  <c r="J1083" i="9"/>
  <c r="M1082" i="9"/>
  <c r="J1082" i="9"/>
  <c r="M1081" i="9"/>
  <c r="J1081" i="9"/>
  <c r="M1080" i="9"/>
  <c r="J1080" i="9"/>
  <c r="M1079" i="9"/>
  <c r="J1079" i="9"/>
  <c r="M1078" i="9"/>
  <c r="J1078" i="9"/>
  <c r="M1077" i="9"/>
  <c r="J1077" i="9"/>
  <c r="M1076" i="9"/>
  <c r="J1076" i="9"/>
  <c r="M1075" i="9"/>
  <c r="J1075" i="9"/>
  <c r="M1074" i="9"/>
  <c r="J1074" i="9"/>
  <c r="M1073" i="9"/>
  <c r="J1073" i="9"/>
  <c r="M1072" i="9"/>
  <c r="J1072" i="9"/>
  <c r="M1071" i="9"/>
  <c r="J1071" i="9"/>
  <c r="M1070" i="9"/>
  <c r="J1070" i="9"/>
  <c r="M1069" i="9"/>
  <c r="J1069" i="9"/>
  <c r="M1068" i="9"/>
  <c r="J1068" i="9"/>
  <c r="M1067" i="9"/>
  <c r="J1067" i="9"/>
  <c r="M1066" i="9"/>
  <c r="J1066" i="9"/>
  <c r="M1065" i="9"/>
  <c r="J1065" i="9"/>
  <c r="M1064" i="9"/>
  <c r="J1064" i="9"/>
  <c r="M1063" i="9"/>
  <c r="J1063" i="9"/>
  <c r="M1062" i="9"/>
  <c r="J1062" i="9"/>
  <c r="M1061" i="9"/>
  <c r="J1061" i="9"/>
  <c r="M1060" i="9"/>
  <c r="J1060" i="9"/>
  <c r="M1059" i="9"/>
  <c r="J1059" i="9"/>
  <c r="M1058" i="9"/>
  <c r="J1058" i="9"/>
  <c r="M1057" i="9"/>
  <c r="J1057" i="9"/>
  <c r="M1056" i="9"/>
  <c r="J1056" i="9"/>
  <c r="M1055" i="9"/>
  <c r="J1055" i="9"/>
  <c r="M1054" i="9"/>
  <c r="J1054" i="9"/>
  <c r="M1053" i="9"/>
  <c r="J1053" i="9"/>
  <c r="M1052" i="9"/>
  <c r="J1052" i="9"/>
  <c r="M1051" i="9"/>
  <c r="J1051" i="9"/>
  <c r="M1050" i="9"/>
  <c r="J1050" i="9"/>
  <c r="M1049" i="9"/>
  <c r="J1049" i="9"/>
  <c r="M1048" i="9"/>
  <c r="J1048" i="9"/>
  <c r="M1047" i="9"/>
  <c r="J1047" i="9"/>
  <c r="M1046" i="9"/>
  <c r="J1046" i="9"/>
  <c r="M1045" i="9"/>
  <c r="J1045" i="9"/>
  <c r="M1044" i="9"/>
  <c r="J1044" i="9"/>
  <c r="M1043" i="9"/>
  <c r="J1043" i="9"/>
  <c r="M1042" i="9"/>
  <c r="J1042" i="9"/>
  <c r="M1041" i="9"/>
  <c r="J1041" i="9"/>
  <c r="M1040" i="9"/>
  <c r="J1040" i="9"/>
  <c r="M1039" i="9"/>
  <c r="J1039" i="9"/>
  <c r="M1038" i="9"/>
  <c r="J1038" i="9"/>
  <c r="M1037" i="9"/>
  <c r="J1037" i="9"/>
  <c r="M1036" i="9"/>
  <c r="J1036" i="9"/>
  <c r="M1035" i="9"/>
  <c r="J1035" i="9"/>
  <c r="M1034" i="9"/>
  <c r="J1034" i="9"/>
  <c r="M1033" i="9"/>
  <c r="J1033" i="9"/>
  <c r="M1032" i="9"/>
  <c r="J1032" i="9"/>
  <c r="M1031" i="9"/>
  <c r="J1031" i="9"/>
  <c r="M1030" i="9"/>
  <c r="J1030" i="9"/>
  <c r="M1029" i="9"/>
  <c r="J1029" i="9"/>
  <c r="M1028" i="9"/>
  <c r="J1028" i="9"/>
  <c r="M1027" i="9"/>
  <c r="J1027" i="9"/>
  <c r="M1026" i="9"/>
  <c r="J1026" i="9"/>
  <c r="M1025" i="9"/>
  <c r="J1025" i="9"/>
  <c r="M1024" i="9"/>
  <c r="J1024" i="9"/>
  <c r="M1023" i="9"/>
  <c r="J1023" i="9"/>
  <c r="M1022" i="9"/>
  <c r="J1022" i="9"/>
  <c r="M1021" i="9"/>
  <c r="J1021" i="9"/>
  <c r="M1020" i="9"/>
  <c r="J1020" i="9"/>
  <c r="M1019" i="9"/>
  <c r="J1019" i="9"/>
  <c r="M1018" i="9"/>
  <c r="J1018" i="9"/>
  <c r="M1017" i="9"/>
  <c r="J1017" i="9"/>
  <c r="M1016" i="9"/>
  <c r="J1016" i="9"/>
  <c r="M1015" i="9"/>
  <c r="J1015" i="9"/>
  <c r="M1014" i="9"/>
  <c r="J1014" i="9"/>
  <c r="M1013" i="9"/>
  <c r="J1013" i="9"/>
  <c r="M1012" i="9"/>
  <c r="J1012" i="9"/>
  <c r="M1011" i="9"/>
  <c r="J1011" i="9"/>
  <c r="M1010" i="9"/>
  <c r="J1010" i="9"/>
  <c r="M1009" i="9"/>
  <c r="J1009" i="9"/>
  <c r="M1008" i="9"/>
  <c r="J1008" i="9"/>
  <c r="M1007" i="9"/>
  <c r="J1007" i="9"/>
  <c r="M1006" i="9"/>
  <c r="J1006" i="9"/>
  <c r="M1005" i="9"/>
  <c r="J1005" i="9"/>
  <c r="M1004" i="9"/>
  <c r="J1004" i="9"/>
  <c r="M1003" i="9"/>
  <c r="J1003" i="9"/>
  <c r="M1002" i="9"/>
  <c r="J1002" i="9"/>
  <c r="M1001" i="9"/>
  <c r="J1001" i="9"/>
  <c r="M1000" i="9"/>
  <c r="J1000" i="9"/>
  <c r="M999" i="9"/>
  <c r="J999" i="9"/>
  <c r="M998" i="9"/>
  <c r="J998" i="9"/>
  <c r="M997" i="9"/>
  <c r="J997" i="9"/>
  <c r="M996" i="9"/>
  <c r="J996" i="9"/>
  <c r="M995" i="9"/>
  <c r="J995" i="9"/>
  <c r="M994" i="9"/>
  <c r="J994" i="9"/>
  <c r="M993" i="9"/>
  <c r="J993" i="9"/>
  <c r="M992" i="9"/>
  <c r="J992" i="9"/>
  <c r="M991" i="9"/>
  <c r="J991" i="9"/>
  <c r="M990" i="9"/>
  <c r="J990" i="9"/>
  <c r="M989" i="9"/>
  <c r="J989" i="9"/>
  <c r="M988" i="9"/>
  <c r="J988" i="9"/>
  <c r="M987" i="9"/>
  <c r="J987" i="9"/>
  <c r="M986" i="9"/>
  <c r="J986" i="9"/>
  <c r="M985" i="9"/>
  <c r="J985" i="9"/>
  <c r="M984" i="9"/>
  <c r="J984" i="9"/>
  <c r="M983" i="9"/>
  <c r="J983" i="9"/>
  <c r="M982" i="9"/>
  <c r="J982" i="9"/>
  <c r="M981" i="9"/>
  <c r="J981" i="9"/>
  <c r="M980" i="9"/>
  <c r="J980" i="9"/>
  <c r="M979" i="9"/>
  <c r="J979" i="9"/>
  <c r="M978" i="9"/>
  <c r="J978" i="9"/>
  <c r="M977" i="9"/>
  <c r="J977" i="9"/>
  <c r="M976" i="9"/>
  <c r="J976" i="9"/>
  <c r="M975" i="9"/>
  <c r="J975" i="9"/>
  <c r="M974" i="9"/>
  <c r="J974" i="9"/>
  <c r="M973" i="9"/>
  <c r="J973" i="9"/>
  <c r="M972" i="9"/>
  <c r="J972" i="9"/>
  <c r="M971" i="9"/>
  <c r="J971" i="9"/>
  <c r="M970" i="9"/>
  <c r="J970" i="9"/>
  <c r="M969" i="9"/>
  <c r="J969" i="9"/>
  <c r="M968" i="9"/>
  <c r="J968" i="9"/>
  <c r="M967" i="9"/>
  <c r="J967" i="9"/>
  <c r="M966" i="9"/>
  <c r="J966" i="9"/>
  <c r="M965" i="9"/>
  <c r="J965" i="9"/>
  <c r="M964" i="9"/>
  <c r="J964" i="9"/>
  <c r="M963" i="9"/>
  <c r="J963" i="9"/>
  <c r="M962" i="9"/>
  <c r="J962" i="9"/>
  <c r="M961" i="9"/>
  <c r="J961" i="9"/>
  <c r="M960" i="9"/>
  <c r="J960" i="9"/>
  <c r="M959" i="9"/>
  <c r="J959" i="9"/>
  <c r="M958" i="9"/>
  <c r="J958" i="9"/>
  <c r="M957" i="9"/>
  <c r="J957" i="9"/>
  <c r="M956" i="9"/>
  <c r="J956" i="9"/>
  <c r="M955" i="9"/>
  <c r="J955" i="9"/>
  <c r="M954" i="9"/>
  <c r="J954" i="9"/>
  <c r="M953" i="9"/>
  <c r="J953" i="9"/>
  <c r="M952" i="9"/>
  <c r="J952" i="9"/>
  <c r="M951" i="9"/>
  <c r="J951" i="9"/>
  <c r="M950" i="9"/>
  <c r="J950" i="9"/>
  <c r="M949" i="9"/>
  <c r="J949" i="9"/>
  <c r="M948" i="9"/>
  <c r="J948" i="9"/>
  <c r="M947" i="9"/>
  <c r="J947" i="9"/>
  <c r="M946" i="9"/>
  <c r="J946" i="9"/>
  <c r="M945" i="9"/>
  <c r="J945" i="9"/>
  <c r="M944" i="9"/>
  <c r="J944" i="9"/>
  <c r="M943" i="9"/>
  <c r="J943" i="9"/>
  <c r="M942" i="9"/>
  <c r="J942" i="9"/>
  <c r="M941" i="9"/>
  <c r="J941" i="9"/>
  <c r="M940" i="9"/>
  <c r="J940" i="9"/>
  <c r="M939" i="9"/>
  <c r="J939" i="9"/>
  <c r="M938" i="9"/>
  <c r="J938" i="9"/>
  <c r="M937" i="9"/>
  <c r="J937" i="9"/>
  <c r="M936" i="9"/>
  <c r="J936" i="9"/>
  <c r="M935" i="9"/>
  <c r="J935" i="9"/>
  <c r="M934" i="9"/>
  <c r="J934" i="9"/>
  <c r="M933" i="9"/>
  <c r="J933" i="9"/>
  <c r="M932" i="9"/>
  <c r="J932" i="9"/>
  <c r="M931" i="9"/>
  <c r="J931" i="9"/>
  <c r="M930" i="9"/>
  <c r="J930" i="9"/>
  <c r="M929" i="9"/>
  <c r="J929" i="9"/>
  <c r="M928" i="9"/>
  <c r="J928" i="9"/>
  <c r="M927" i="9"/>
  <c r="J927" i="9"/>
  <c r="M926" i="9"/>
  <c r="J926" i="9"/>
  <c r="M925" i="9"/>
  <c r="J925" i="9"/>
  <c r="M924" i="9"/>
  <c r="J924" i="9"/>
  <c r="M923" i="9"/>
  <c r="J923" i="9"/>
  <c r="M922" i="9"/>
  <c r="J922" i="9"/>
  <c r="M921" i="9"/>
  <c r="J921" i="9"/>
  <c r="M920" i="9"/>
  <c r="J920" i="9"/>
  <c r="M919" i="9"/>
  <c r="J919" i="9"/>
  <c r="M918" i="9"/>
  <c r="J918" i="9"/>
  <c r="M917" i="9"/>
  <c r="J917" i="9"/>
  <c r="M916" i="9"/>
  <c r="J916" i="9"/>
  <c r="M915" i="9"/>
  <c r="J915" i="9"/>
  <c r="M914" i="9"/>
  <c r="J914" i="9"/>
  <c r="M913" i="9"/>
  <c r="J913" i="9"/>
  <c r="M912" i="9"/>
  <c r="J912" i="9"/>
  <c r="M911" i="9"/>
  <c r="J911" i="9"/>
  <c r="M910" i="9"/>
  <c r="J910" i="9"/>
  <c r="M909" i="9"/>
  <c r="J909" i="9"/>
  <c r="M908" i="9"/>
  <c r="J908" i="9"/>
  <c r="M907" i="9"/>
  <c r="J907" i="9"/>
  <c r="M906" i="9"/>
  <c r="J906" i="9"/>
  <c r="M905" i="9"/>
  <c r="J905" i="9"/>
  <c r="M904" i="9"/>
  <c r="J904" i="9"/>
  <c r="M903" i="9"/>
  <c r="J903" i="9"/>
  <c r="M902" i="9"/>
  <c r="J902" i="9"/>
  <c r="M901" i="9"/>
  <c r="J901" i="9"/>
  <c r="M900" i="9"/>
  <c r="J900" i="9"/>
  <c r="M899" i="9"/>
  <c r="J899" i="9"/>
  <c r="M898" i="9"/>
  <c r="J898" i="9"/>
  <c r="M897" i="9"/>
  <c r="J897" i="9"/>
  <c r="M896" i="9"/>
  <c r="J896" i="9"/>
  <c r="M895" i="9"/>
  <c r="J895" i="9"/>
  <c r="M894" i="9"/>
  <c r="J894" i="9"/>
  <c r="M893" i="9"/>
  <c r="J893" i="9"/>
  <c r="M892" i="9"/>
  <c r="J892" i="9"/>
  <c r="M891" i="9"/>
  <c r="J891" i="9"/>
  <c r="M890" i="9"/>
  <c r="J890" i="9"/>
  <c r="M889" i="9"/>
  <c r="J889" i="9"/>
  <c r="M888" i="9"/>
  <c r="J888" i="9"/>
  <c r="M887" i="9"/>
  <c r="J887" i="9"/>
  <c r="M886" i="9"/>
  <c r="J886" i="9"/>
  <c r="M885" i="9"/>
  <c r="J885" i="9"/>
  <c r="M884" i="9"/>
  <c r="J884" i="9"/>
  <c r="M883" i="9"/>
  <c r="J883" i="9"/>
  <c r="M882" i="9"/>
  <c r="J882" i="9"/>
  <c r="M881" i="9"/>
  <c r="J881" i="9"/>
  <c r="M880" i="9"/>
  <c r="J880" i="9"/>
  <c r="M879" i="9"/>
  <c r="J879" i="9"/>
  <c r="M878" i="9"/>
  <c r="J878" i="9"/>
  <c r="M877" i="9"/>
  <c r="J877" i="9"/>
  <c r="M876" i="9"/>
  <c r="J876" i="9"/>
  <c r="M875" i="9"/>
  <c r="J875" i="9"/>
  <c r="M874" i="9"/>
  <c r="J874" i="9"/>
  <c r="M873" i="9"/>
  <c r="J873" i="9"/>
  <c r="M872" i="9"/>
  <c r="J872" i="9"/>
  <c r="M871" i="9"/>
  <c r="J871" i="9"/>
  <c r="M870" i="9"/>
  <c r="J870" i="9"/>
  <c r="M869" i="9"/>
  <c r="J869" i="9"/>
  <c r="M868" i="9"/>
  <c r="J868" i="9"/>
  <c r="M867" i="9"/>
  <c r="J867" i="9"/>
  <c r="M866" i="9"/>
  <c r="J866" i="9"/>
  <c r="M865" i="9"/>
  <c r="J865" i="9"/>
  <c r="M864" i="9"/>
  <c r="J864" i="9"/>
  <c r="M863" i="9"/>
  <c r="J863" i="9"/>
  <c r="M862" i="9"/>
  <c r="J862" i="9"/>
  <c r="M861" i="9"/>
  <c r="J861" i="9"/>
  <c r="M860" i="9"/>
  <c r="J860" i="9"/>
  <c r="M859" i="9"/>
  <c r="J859" i="9"/>
  <c r="M858" i="9"/>
  <c r="J858" i="9"/>
  <c r="M857" i="9"/>
  <c r="J857" i="9"/>
  <c r="M856" i="9"/>
  <c r="J856" i="9"/>
  <c r="M855" i="9"/>
  <c r="J855" i="9"/>
  <c r="M854" i="9"/>
  <c r="J854" i="9"/>
  <c r="M853" i="9"/>
  <c r="J853" i="9"/>
  <c r="M852" i="9"/>
  <c r="J852" i="9"/>
  <c r="M851" i="9"/>
  <c r="J851" i="9"/>
  <c r="M850" i="9"/>
  <c r="J850" i="9"/>
  <c r="M849" i="9"/>
  <c r="J849" i="9"/>
  <c r="M848" i="9"/>
  <c r="J848" i="9"/>
  <c r="M847" i="9"/>
  <c r="J847" i="9"/>
  <c r="M846" i="9"/>
  <c r="J846" i="9"/>
  <c r="M845" i="9"/>
  <c r="J845" i="9"/>
  <c r="M844" i="9"/>
  <c r="J844" i="9"/>
  <c r="M843" i="9"/>
  <c r="J843" i="9"/>
  <c r="M842" i="9"/>
  <c r="J842" i="9"/>
  <c r="M841" i="9"/>
  <c r="J841" i="9"/>
  <c r="M840" i="9"/>
  <c r="J840" i="9"/>
  <c r="M839" i="9"/>
  <c r="J839" i="9"/>
  <c r="M838" i="9"/>
  <c r="J838" i="9"/>
  <c r="M837" i="9"/>
  <c r="J837" i="9"/>
  <c r="M836" i="9"/>
  <c r="J836" i="9"/>
  <c r="M835" i="9"/>
  <c r="J835" i="9"/>
  <c r="M834" i="9"/>
  <c r="J834" i="9"/>
  <c r="M833" i="9"/>
  <c r="J833" i="9"/>
  <c r="M832" i="9"/>
  <c r="J832" i="9"/>
  <c r="M831" i="9"/>
  <c r="J831" i="9"/>
  <c r="M830" i="9"/>
  <c r="J830" i="9"/>
  <c r="M829" i="9"/>
  <c r="J829" i="9"/>
  <c r="M828" i="9"/>
  <c r="J828" i="9"/>
  <c r="M827" i="9"/>
  <c r="J827" i="9"/>
  <c r="M826" i="9"/>
  <c r="J826" i="9"/>
  <c r="M825" i="9"/>
  <c r="J825" i="9"/>
  <c r="M824" i="9"/>
  <c r="J824" i="9"/>
  <c r="M823" i="9"/>
  <c r="J823" i="9"/>
  <c r="M822" i="9"/>
  <c r="J822" i="9"/>
  <c r="M821" i="9"/>
  <c r="J821" i="9"/>
  <c r="M820" i="9"/>
  <c r="J820" i="9"/>
  <c r="M819" i="9"/>
  <c r="J819" i="9"/>
  <c r="M818" i="9"/>
  <c r="J818" i="9"/>
  <c r="M817" i="9"/>
  <c r="J817" i="9"/>
  <c r="M816" i="9"/>
  <c r="J816" i="9"/>
  <c r="M815" i="9"/>
  <c r="J815" i="9"/>
  <c r="M814" i="9"/>
  <c r="J814" i="9"/>
  <c r="M813" i="9"/>
  <c r="J813" i="9"/>
  <c r="M812" i="9"/>
  <c r="J812" i="9"/>
  <c r="M811" i="9"/>
  <c r="J811" i="9"/>
  <c r="M810" i="9"/>
  <c r="J810" i="9"/>
  <c r="M809" i="9"/>
  <c r="J809" i="9"/>
  <c r="M808" i="9"/>
  <c r="J808" i="9"/>
  <c r="M807" i="9"/>
  <c r="J807" i="9"/>
  <c r="M806" i="9"/>
  <c r="J806" i="9"/>
  <c r="M805" i="9"/>
  <c r="J805" i="9"/>
  <c r="M804" i="9"/>
  <c r="J804" i="9"/>
  <c r="M803" i="9"/>
  <c r="J803" i="9"/>
  <c r="M802" i="9"/>
  <c r="J802" i="9"/>
  <c r="M801" i="9"/>
  <c r="J801" i="9"/>
  <c r="M800" i="9"/>
  <c r="J800" i="9"/>
  <c r="M799" i="9"/>
  <c r="J799" i="9"/>
  <c r="M798" i="9"/>
  <c r="J798" i="9"/>
  <c r="M797" i="9"/>
  <c r="J797" i="9"/>
  <c r="M796" i="9"/>
  <c r="J796" i="9"/>
  <c r="M795" i="9"/>
  <c r="J795" i="9"/>
  <c r="M794" i="9"/>
  <c r="J794" i="9"/>
  <c r="M793" i="9"/>
  <c r="J793" i="9"/>
  <c r="M792" i="9"/>
  <c r="J792" i="9"/>
  <c r="M791" i="9"/>
  <c r="J791" i="9"/>
  <c r="M790" i="9"/>
  <c r="J790" i="9"/>
  <c r="M789" i="9"/>
  <c r="J789" i="9"/>
  <c r="M788" i="9"/>
  <c r="J788" i="9"/>
  <c r="M787" i="9"/>
  <c r="J787" i="9"/>
  <c r="M786" i="9"/>
  <c r="J786" i="9"/>
  <c r="M785" i="9"/>
  <c r="J785" i="9"/>
  <c r="M784" i="9"/>
  <c r="J784" i="9"/>
  <c r="M783" i="9"/>
  <c r="J783" i="9"/>
  <c r="M782" i="9"/>
  <c r="J782" i="9"/>
  <c r="M781" i="9"/>
  <c r="J781" i="9"/>
  <c r="M780" i="9"/>
  <c r="J780" i="9"/>
  <c r="M779" i="9"/>
  <c r="J779" i="9"/>
  <c r="M778" i="9"/>
  <c r="J778" i="9"/>
  <c r="M777" i="9"/>
  <c r="J777" i="9"/>
  <c r="M776" i="9"/>
  <c r="J776" i="9"/>
  <c r="M775" i="9"/>
  <c r="J775" i="9"/>
  <c r="M774" i="9"/>
  <c r="J774" i="9"/>
  <c r="M773" i="9"/>
  <c r="J773" i="9"/>
  <c r="M772" i="9"/>
  <c r="J772" i="9"/>
  <c r="M771" i="9"/>
  <c r="J771" i="9"/>
  <c r="M770" i="9"/>
  <c r="J770" i="9"/>
  <c r="M769" i="9"/>
  <c r="J769" i="9"/>
  <c r="M768" i="9"/>
  <c r="J768" i="9"/>
  <c r="M767" i="9"/>
  <c r="J767" i="9"/>
  <c r="M766" i="9"/>
  <c r="J766" i="9"/>
  <c r="M765" i="9"/>
  <c r="J765" i="9"/>
  <c r="M764" i="9"/>
  <c r="J764" i="9"/>
  <c r="M763" i="9"/>
  <c r="J763" i="9"/>
  <c r="M762" i="9"/>
  <c r="J762" i="9"/>
  <c r="M761" i="9"/>
  <c r="J761" i="9"/>
  <c r="M760" i="9"/>
  <c r="J760" i="9"/>
  <c r="M759" i="9"/>
  <c r="J759" i="9"/>
  <c r="M758" i="9"/>
  <c r="J758" i="9"/>
  <c r="M757" i="9"/>
  <c r="J757" i="9"/>
  <c r="M756" i="9"/>
  <c r="J756" i="9"/>
  <c r="M755" i="9"/>
  <c r="J755" i="9"/>
  <c r="M754" i="9"/>
  <c r="J754" i="9"/>
  <c r="M753" i="9"/>
  <c r="J753" i="9"/>
  <c r="M752" i="9"/>
  <c r="J752" i="9"/>
  <c r="M751" i="9"/>
  <c r="J751" i="9"/>
  <c r="M750" i="9"/>
  <c r="J750" i="9"/>
  <c r="M749" i="9"/>
  <c r="J749" i="9"/>
  <c r="M748" i="9"/>
  <c r="J748" i="9"/>
  <c r="M747" i="9"/>
  <c r="J747" i="9"/>
  <c r="M746" i="9"/>
  <c r="J746" i="9"/>
  <c r="M745" i="9"/>
  <c r="J745" i="9"/>
  <c r="M744" i="9"/>
  <c r="J744" i="9"/>
  <c r="M743" i="9"/>
  <c r="J743" i="9"/>
  <c r="M742" i="9"/>
  <c r="J742" i="9"/>
  <c r="M741" i="9"/>
  <c r="J741" i="9"/>
  <c r="M740" i="9"/>
  <c r="J740" i="9"/>
  <c r="M739" i="9"/>
  <c r="J739" i="9"/>
  <c r="M738" i="9"/>
  <c r="J738" i="9"/>
  <c r="M737" i="9"/>
  <c r="J737" i="9"/>
  <c r="M736" i="9"/>
  <c r="J736" i="9"/>
  <c r="M735" i="9"/>
  <c r="J735" i="9"/>
  <c r="M734" i="9"/>
  <c r="J734" i="9"/>
  <c r="M733" i="9"/>
  <c r="J733" i="9"/>
  <c r="M732" i="9"/>
  <c r="J732" i="9"/>
  <c r="M731" i="9"/>
  <c r="J731" i="9"/>
  <c r="M730" i="9"/>
  <c r="J730" i="9"/>
  <c r="M729" i="9"/>
  <c r="J729" i="9"/>
  <c r="M728" i="9"/>
  <c r="J728" i="9"/>
  <c r="M727" i="9"/>
  <c r="J727" i="9"/>
  <c r="M726" i="9"/>
  <c r="J726" i="9"/>
  <c r="M725" i="9"/>
  <c r="J725" i="9"/>
  <c r="M724" i="9"/>
  <c r="J724" i="9"/>
  <c r="M723" i="9"/>
  <c r="J723" i="9"/>
  <c r="M722" i="9"/>
  <c r="J722" i="9"/>
  <c r="M721" i="9"/>
  <c r="J721" i="9"/>
  <c r="M720" i="9"/>
  <c r="J720" i="9"/>
  <c r="M719" i="9"/>
  <c r="J719" i="9"/>
  <c r="M718" i="9"/>
  <c r="J718" i="9"/>
  <c r="M717" i="9"/>
  <c r="J717" i="9"/>
  <c r="M716" i="9"/>
  <c r="J716" i="9"/>
  <c r="M715" i="9"/>
  <c r="J715" i="9"/>
  <c r="M714" i="9"/>
  <c r="J714" i="9"/>
  <c r="M713" i="9"/>
  <c r="J713" i="9"/>
  <c r="M712" i="9"/>
  <c r="J712" i="9"/>
  <c r="M711" i="9"/>
  <c r="J711" i="9"/>
  <c r="M710" i="9"/>
  <c r="J710" i="9"/>
  <c r="M709" i="9"/>
  <c r="J709" i="9"/>
  <c r="M708" i="9"/>
  <c r="J708" i="9"/>
  <c r="M707" i="9"/>
  <c r="J707" i="9"/>
  <c r="M706" i="9"/>
  <c r="J706" i="9"/>
  <c r="M705" i="9"/>
  <c r="J705" i="9"/>
  <c r="M704" i="9"/>
  <c r="J704" i="9"/>
  <c r="M703" i="9"/>
  <c r="J703" i="9"/>
  <c r="M702" i="9"/>
  <c r="J702" i="9"/>
  <c r="M701" i="9"/>
  <c r="J701" i="9"/>
  <c r="M700" i="9"/>
  <c r="J700" i="9"/>
  <c r="M699" i="9"/>
  <c r="J699" i="9"/>
  <c r="M698" i="9"/>
  <c r="J698" i="9"/>
  <c r="M697" i="9"/>
  <c r="J697" i="9"/>
  <c r="M696" i="9"/>
  <c r="J696" i="9"/>
  <c r="M695" i="9"/>
  <c r="J695" i="9"/>
  <c r="M694" i="9"/>
  <c r="J694" i="9"/>
  <c r="M693" i="9"/>
  <c r="J693" i="9"/>
  <c r="M692" i="9"/>
  <c r="J692" i="9"/>
  <c r="M691" i="9"/>
  <c r="J691" i="9"/>
  <c r="M690" i="9"/>
  <c r="J690" i="9"/>
  <c r="M689" i="9"/>
  <c r="J689" i="9"/>
  <c r="M688" i="9"/>
  <c r="J688" i="9"/>
  <c r="M687" i="9"/>
  <c r="J687" i="9"/>
  <c r="M686" i="9"/>
  <c r="J686" i="9"/>
  <c r="M685" i="9"/>
  <c r="J685" i="9"/>
  <c r="M684" i="9"/>
  <c r="J684" i="9"/>
  <c r="M683" i="9"/>
  <c r="J683" i="9"/>
  <c r="M682" i="9"/>
  <c r="J682" i="9"/>
  <c r="M681" i="9"/>
  <c r="J681" i="9"/>
  <c r="M680" i="9"/>
  <c r="J680" i="9"/>
  <c r="M679" i="9"/>
  <c r="J679" i="9"/>
  <c r="M678" i="9"/>
  <c r="J678" i="9"/>
  <c r="M677" i="9"/>
  <c r="J677" i="9"/>
  <c r="M676" i="9"/>
  <c r="J676" i="9"/>
  <c r="M675" i="9"/>
  <c r="J675" i="9"/>
  <c r="M674" i="9"/>
  <c r="J674" i="9"/>
  <c r="M673" i="9"/>
  <c r="J673" i="9"/>
  <c r="M672" i="9"/>
  <c r="J672" i="9"/>
  <c r="M671" i="9"/>
  <c r="J671" i="9"/>
  <c r="M670" i="9"/>
  <c r="J670" i="9"/>
  <c r="M669" i="9"/>
  <c r="J669" i="9"/>
  <c r="M668" i="9"/>
  <c r="J668" i="9"/>
  <c r="M667" i="9"/>
  <c r="J667" i="9"/>
  <c r="M666" i="9"/>
  <c r="J666" i="9"/>
  <c r="M665" i="9"/>
  <c r="J665" i="9"/>
  <c r="M664" i="9"/>
  <c r="J664" i="9"/>
  <c r="M663" i="9"/>
  <c r="J663" i="9"/>
  <c r="M662" i="9"/>
  <c r="J662" i="9"/>
  <c r="M661" i="9"/>
  <c r="J661" i="9"/>
  <c r="M660" i="9"/>
  <c r="J660" i="9"/>
  <c r="M659" i="9"/>
  <c r="J659" i="9"/>
  <c r="M658" i="9"/>
  <c r="J658" i="9"/>
  <c r="M657" i="9"/>
  <c r="J657" i="9"/>
  <c r="M656" i="9"/>
  <c r="J656" i="9"/>
  <c r="M655" i="9"/>
  <c r="J655" i="9"/>
  <c r="M654" i="9"/>
  <c r="J654" i="9"/>
  <c r="M653" i="9"/>
  <c r="J653" i="9"/>
  <c r="M652" i="9"/>
  <c r="J652" i="9"/>
  <c r="M651" i="9"/>
  <c r="J651" i="9"/>
  <c r="M650" i="9"/>
  <c r="J650" i="9"/>
  <c r="M649" i="9"/>
  <c r="J649" i="9"/>
  <c r="M648" i="9"/>
  <c r="J648" i="9"/>
  <c r="M647" i="9"/>
  <c r="J647" i="9"/>
  <c r="M646" i="9"/>
  <c r="J646" i="9"/>
  <c r="M645" i="9"/>
  <c r="J645" i="9"/>
  <c r="M644" i="9"/>
  <c r="J644" i="9"/>
  <c r="M643" i="9"/>
  <c r="J643" i="9"/>
  <c r="M642" i="9"/>
  <c r="J642" i="9"/>
  <c r="M641" i="9"/>
  <c r="J641" i="9"/>
  <c r="M640" i="9"/>
  <c r="J640" i="9"/>
  <c r="M639" i="9"/>
  <c r="J639" i="9"/>
  <c r="M638" i="9"/>
  <c r="J638" i="9"/>
  <c r="M637" i="9"/>
  <c r="J637" i="9"/>
  <c r="M636" i="9"/>
  <c r="J636" i="9"/>
  <c r="M635" i="9"/>
  <c r="J635" i="9"/>
  <c r="M634" i="9"/>
  <c r="J634" i="9"/>
  <c r="M633" i="9"/>
  <c r="J633" i="9"/>
  <c r="M632" i="9"/>
  <c r="J632" i="9"/>
  <c r="M631" i="9"/>
  <c r="J631" i="9"/>
  <c r="M630" i="9"/>
  <c r="J630" i="9"/>
  <c r="M629" i="9"/>
  <c r="J629" i="9"/>
  <c r="M628" i="9"/>
  <c r="J628" i="9"/>
  <c r="M627" i="9"/>
  <c r="J627" i="9"/>
  <c r="M626" i="9"/>
  <c r="J626" i="9"/>
  <c r="M625" i="9"/>
  <c r="J625" i="9"/>
  <c r="M624" i="9"/>
  <c r="J624" i="9"/>
  <c r="M623" i="9"/>
  <c r="J623" i="9"/>
  <c r="M622" i="9"/>
  <c r="J622" i="9"/>
  <c r="M621" i="9"/>
  <c r="J621" i="9"/>
  <c r="M620" i="9"/>
  <c r="J620" i="9"/>
  <c r="M619" i="9"/>
  <c r="J619" i="9"/>
  <c r="M618" i="9"/>
  <c r="J618" i="9"/>
  <c r="M617" i="9"/>
  <c r="J617" i="9"/>
  <c r="M616" i="9"/>
  <c r="J616" i="9"/>
  <c r="M615" i="9"/>
  <c r="J615" i="9"/>
  <c r="M614" i="9"/>
  <c r="J614" i="9"/>
  <c r="M613" i="9"/>
  <c r="J613" i="9"/>
  <c r="M612" i="9"/>
  <c r="J612" i="9"/>
  <c r="M611" i="9"/>
  <c r="J611" i="9"/>
  <c r="M610" i="9"/>
  <c r="J610" i="9"/>
  <c r="M609" i="9"/>
  <c r="J609" i="9"/>
  <c r="M608" i="9"/>
  <c r="J608" i="9"/>
  <c r="M607" i="9"/>
  <c r="J607" i="9"/>
  <c r="M606" i="9"/>
  <c r="J606" i="9"/>
  <c r="M605" i="9"/>
  <c r="J605" i="9"/>
  <c r="M604" i="9"/>
  <c r="J604" i="9"/>
  <c r="M603" i="9"/>
  <c r="J603" i="9"/>
  <c r="M602" i="9"/>
  <c r="J602" i="9"/>
  <c r="M601" i="9"/>
  <c r="J601" i="9"/>
  <c r="M600" i="9"/>
  <c r="J600" i="9"/>
  <c r="M599" i="9"/>
  <c r="J599" i="9"/>
  <c r="M598" i="9"/>
  <c r="J598" i="9"/>
  <c r="M597" i="9"/>
  <c r="J597" i="9"/>
  <c r="M596" i="9"/>
  <c r="J596" i="9"/>
  <c r="M595" i="9"/>
  <c r="J595" i="9"/>
  <c r="M594" i="9"/>
  <c r="J594" i="9"/>
  <c r="M593" i="9"/>
  <c r="J593" i="9"/>
  <c r="M592" i="9"/>
  <c r="J592" i="9"/>
  <c r="M591" i="9"/>
  <c r="J591" i="9"/>
  <c r="M590" i="9"/>
  <c r="J590" i="9"/>
  <c r="M589" i="9"/>
  <c r="J589" i="9"/>
  <c r="M588" i="9"/>
  <c r="J588" i="9"/>
  <c r="M587" i="9"/>
  <c r="J587" i="9"/>
  <c r="M586" i="9"/>
  <c r="J586" i="9"/>
  <c r="M585" i="9"/>
  <c r="J585" i="9"/>
  <c r="M584" i="9"/>
  <c r="J584" i="9"/>
  <c r="M583" i="9"/>
  <c r="J583" i="9"/>
  <c r="M582" i="9"/>
  <c r="J582" i="9"/>
  <c r="M581" i="9"/>
  <c r="J581" i="9"/>
  <c r="M580" i="9"/>
  <c r="J580" i="9"/>
  <c r="M579" i="9"/>
  <c r="J579" i="9"/>
  <c r="M578" i="9"/>
  <c r="J578" i="9"/>
  <c r="M577" i="9"/>
  <c r="J577" i="9"/>
  <c r="M576" i="9"/>
  <c r="J576" i="9"/>
  <c r="M575" i="9"/>
  <c r="J575" i="9"/>
  <c r="M574" i="9"/>
  <c r="J574" i="9"/>
  <c r="M573" i="9"/>
  <c r="J573" i="9"/>
  <c r="M572" i="9"/>
  <c r="J572" i="9"/>
  <c r="M571" i="9"/>
  <c r="J571" i="9"/>
  <c r="M570" i="9"/>
  <c r="J570" i="9"/>
  <c r="M569" i="9"/>
  <c r="J569" i="9"/>
  <c r="M568" i="9"/>
  <c r="J568" i="9"/>
  <c r="M567" i="9"/>
  <c r="J567" i="9"/>
  <c r="M566" i="9"/>
  <c r="J566" i="9"/>
  <c r="M565" i="9"/>
  <c r="J565" i="9"/>
  <c r="M564" i="9"/>
  <c r="J564" i="9"/>
  <c r="M563" i="9"/>
  <c r="J563" i="9"/>
  <c r="M562" i="9"/>
  <c r="J562" i="9"/>
  <c r="M561" i="9"/>
  <c r="J561" i="9"/>
  <c r="M560" i="9"/>
  <c r="J560" i="9"/>
  <c r="M559" i="9"/>
  <c r="J559" i="9"/>
  <c r="M558" i="9"/>
  <c r="J558" i="9"/>
  <c r="M557" i="9"/>
  <c r="J557" i="9"/>
  <c r="M556" i="9"/>
  <c r="J556" i="9"/>
  <c r="M555" i="9"/>
  <c r="J555" i="9"/>
  <c r="M554" i="9"/>
  <c r="J554" i="9"/>
  <c r="M553" i="9"/>
  <c r="J553" i="9"/>
  <c r="M552" i="9"/>
  <c r="J552" i="9"/>
  <c r="M551" i="9"/>
  <c r="J551" i="9"/>
  <c r="M550" i="9"/>
  <c r="J550" i="9"/>
  <c r="M549" i="9"/>
  <c r="J549" i="9"/>
  <c r="M548" i="9"/>
  <c r="J548" i="9"/>
  <c r="M547" i="9"/>
  <c r="J547" i="9"/>
  <c r="M546" i="9"/>
  <c r="J546" i="9"/>
  <c r="M545" i="9"/>
  <c r="J545" i="9"/>
  <c r="M544" i="9"/>
  <c r="J544" i="9"/>
  <c r="M543" i="9"/>
  <c r="J543" i="9"/>
  <c r="M542" i="9"/>
  <c r="J542" i="9"/>
  <c r="M541" i="9"/>
  <c r="J541" i="9"/>
  <c r="M540" i="9"/>
  <c r="J540" i="9"/>
  <c r="M539" i="9"/>
  <c r="J539" i="9"/>
  <c r="M538" i="9"/>
  <c r="J538" i="9"/>
  <c r="M537" i="9"/>
  <c r="J537" i="9"/>
  <c r="M536" i="9"/>
  <c r="J536" i="9"/>
  <c r="M535" i="9"/>
  <c r="J535" i="9"/>
  <c r="M534" i="9"/>
  <c r="J534" i="9"/>
  <c r="M533" i="9"/>
  <c r="J533" i="9"/>
  <c r="M532" i="9"/>
  <c r="J532" i="9"/>
  <c r="M531" i="9"/>
  <c r="J531" i="9"/>
  <c r="M530" i="9"/>
  <c r="J530" i="9"/>
  <c r="M529" i="9"/>
  <c r="J529" i="9"/>
  <c r="M528" i="9"/>
  <c r="J528" i="9"/>
  <c r="M527" i="9"/>
  <c r="J527" i="9"/>
  <c r="M526" i="9"/>
  <c r="J526" i="9"/>
  <c r="M525" i="9"/>
  <c r="J525" i="9"/>
  <c r="M524" i="9"/>
  <c r="J524" i="9"/>
  <c r="M523" i="9"/>
  <c r="J523" i="9"/>
  <c r="M522" i="9"/>
  <c r="J522" i="9"/>
  <c r="M521" i="9"/>
  <c r="J521" i="9"/>
  <c r="M520" i="9"/>
  <c r="J520" i="9"/>
  <c r="M519" i="9"/>
  <c r="J519" i="9"/>
  <c r="M518" i="9"/>
  <c r="J518" i="9"/>
  <c r="M517" i="9"/>
  <c r="J517" i="9"/>
  <c r="M516" i="9"/>
  <c r="J516" i="9"/>
  <c r="M515" i="9"/>
  <c r="J515" i="9"/>
  <c r="M514" i="9"/>
  <c r="J514" i="9"/>
  <c r="M513" i="9"/>
  <c r="J513" i="9"/>
  <c r="M512" i="9"/>
  <c r="J512" i="9"/>
  <c r="M511" i="9"/>
  <c r="J511" i="9"/>
  <c r="M510" i="9"/>
  <c r="J510" i="9"/>
  <c r="M509" i="9"/>
  <c r="J509" i="9"/>
  <c r="M508" i="9"/>
  <c r="J508" i="9"/>
  <c r="M507" i="9"/>
  <c r="J507" i="9"/>
  <c r="M506" i="9"/>
  <c r="J506" i="9"/>
  <c r="M505" i="9"/>
  <c r="J505" i="9"/>
  <c r="M504" i="9"/>
  <c r="J504" i="9"/>
  <c r="M503" i="9"/>
  <c r="J503" i="9"/>
  <c r="M502" i="9"/>
  <c r="J502" i="9"/>
  <c r="M501" i="9"/>
  <c r="J501" i="9"/>
  <c r="M500" i="9"/>
  <c r="J500" i="9"/>
  <c r="M499" i="9"/>
  <c r="J499" i="9"/>
  <c r="M498" i="9"/>
  <c r="J498" i="9"/>
  <c r="M497" i="9"/>
  <c r="J497" i="9"/>
  <c r="M496" i="9"/>
  <c r="J496" i="9"/>
  <c r="M495" i="9"/>
  <c r="J495" i="9"/>
  <c r="M494" i="9"/>
  <c r="J494" i="9"/>
  <c r="M493" i="9"/>
  <c r="J493" i="9"/>
  <c r="M492" i="9"/>
  <c r="J492" i="9"/>
  <c r="M491" i="9"/>
  <c r="J491" i="9"/>
  <c r="M490" i="9"/>
  <c r="J490" i="9"/>
  <c r="M489" i="9"/>
  <c r="J489" i="9"/>
  <c r="M488" i="9"/>
  <c r="J488" i="9"/>
  <c r="M487" i="9"/>
  <c r="J487" i="9"/>
  <c r="M486" i="9"/>
  <c r="J486" i="9"/>
  <c r="M485" i="9"/>
  <c r="J485" i="9"/>
  <c r="M484" i="9"/>
  <c r="J484" i="9"/>
  <c r="M483" i="9"/>
  <c r="J483" i="9"/>
  <c r="M482" i="9"/>
  <c r="J482" i="9"/>
  <c r="M481" i="9"/>
  <c r="J481" i="9"/>
  <c r="M480" i="9"/>
  <c r="J480" i="9"/>
  <c r="M479" i="9"/>
  <c r="J479" i="9"/>
  <c r="M478" i="9"/>
  <c r="J478" i="9"/>
  <c r="M477" i="9"/>
  <c r="J477" i="9"/>
  <c r="M476" i="9"/>
  <c r="J476" i="9"/>
  <c r="M475" i="9"/>
  <c r="J475" i="9"/>
  <c r="M474" i="9"/>
  <c r="J474" i="9"/>
  <c r="M473" i="9"/>
  <c r="J473" i="9"/>
  <c r="M472" i="9"/>
  <c r="J472" i="9"/>
  <c r="M471" i="9"/>
  <c r="J471" i="9"/>
  <c r="M470" i="9"/>
  <c r="J470" i="9"/>
  <c r="M469" i="9"/>
  <c r="J469" i="9"/>
  <c r="M468" i="9"/>
  <c r="J468" i="9"/>
  <c r="M467" i="9"/>
  <c r="J467" i="9"/>
  <c r="M466" i="9"/>
  <c r="J466" i="9"/>
  <c r="M465" i="9"/>
  <c r="J465" i="9"/>
  <c r="M464" i="9"/>
  <c r="J464" i="9"/>
  <c r="M463" i="9"/>
  <c r="J463" i="9"/>
  <c r="M462" i="9"/>
  <c r="J462" i="9"/>
  <c r="M461" i="9"/>
  <c r="J461" i="9"/>
  <c r="M460" i="9"/>
  <c r="J460" i="9"/>
  <c r="M459" i="9"/>
  <c r="J459" i="9"/>
  <c r="M458" i="9"/>
  <c r="J458" i="9"/>
  <c r="M457" i="9"/>
  <c r="J457" i="9"/>
  <c r="M456" i="9"/>
  <c r="J456" i="9"/>
  <c r="M455" i="9"/>
  <c r="J455" i="9"/>
  <c r="M454" i="9"/>
  <c r="J454" i="9"/>
  <c r="M453" i="9"/>
  <c r="J453" i="9"/>
  <c r="M452" i="9"/>
  <c r="J452" i="9"/>
  <c r="M451" i="9"/>
  <c r="J451" i="9"/>
  <c r="M450" i="9"/>
  <c r="J450" i="9"/>
  <c r="M449" i="9"/>
  <c r="J449" i="9"/>
  <c r="M448" i="9"/>
  <c r="J448" i="9"/>
  <c r="M447" i="9"/>
  <c r="J447" i="9"/>
  <c r="M446" i="9"/>
  <c r="J446" i="9"/>
  <c r="M445" i="9"/>
  <c r="J445" i="9"/>
  <c r="M444" i="9"/>
  <c r="J444" i="9"/>
  <c r="M443" i="9"/>
  <c r="J443" i="9"/>
  <c r="M442" i="9"/>
  <c r="J442" i="9"/>
  <c r="M441" i="9"/>
  <c r="J441" i="9"/>
  <c r="M440" i="9"/>
  <c r="J440" i="9"/>
  <c r="M439" i="9"/>
  <c r="J439" i="9"/>
  <c r="M438" i="9"/>
  <c r="J438" i="9"/>
  <c r="M437" i="9"/>
  <c r="J437" i="9"/>
  <c r="M436" i="9"/>
  <c r="J436" i="9"/>
  <c r="M435" i="9"/>
  <c r="J435" i="9"/>
  <c r="M434" i="9"/>
  <c r="J434" i="9"/>
  <c r="M433" i="9"/>
  <c r="J433" i="9"/>
  <c r="M432" i="9"/>
  <c r="J432" i="9"/>
  <c r="M431" i="9"/>
  <c r="J431" i="9"/>
  <c r="M430" i="9"/>
  <c r="J430" i="9"/>
  <c r="M429" i="9"/>
  <c r="J429" i="9"/>
  <c r="M428" i="9"/>
  <c r="J428" i="9"/>
  <c r="M427" i="9"/>
  <c r="J427" i="9"/>
  <c r="M426" i="9"/>
  <c r="J426" i="9"/>
  <c r="M425" i="9"/>
  <c r="J425" i="9"/>
  <c r="M424" i="9"/>
  <c r="J424" i="9"/>
  <c r="M423" i="9"/>
  <c r="J423" i="9"/>
  <c r="M422" i="9"/>
  <c r="J422" i="9"/>
  <c r="M421" i="9"/>
  <c r="J421" i="9"/>
  <c r="M420" i="9"/>
  <c r="J420" i="9"/>
  <c r="M419" i="9"/>
  <c r="J419" i="9"/>
  <c r="M418" i="9"/>
  <c r="J418" i="9"/>
  <c r="M417" i="9"/>
  <c r="J417" i="9"/>
  <c r="M416" i="9"/>
  <c r="J416" i="9"/>
  <c r="M415" i="9"/>
  <c r="J415" i="9"/>
  <c r="M414" i="9"/>
  <c r="J414" i="9"/>
  <c r="M413" i="9"/>
  <c r="J413" i="9"/>
  <c r="M412" i="9"/>
  <c r="J412" i="9"/>
  <c r="M411" i="9"/>
  <c r="J411" i="9"/>
  <c r="M410" i="9"/>
  <c r="J410" i="9"/>
  <c r="M409" i="9"/>
  <c r="J409" i="9"/>
  <c r="M408" i="9"/>
  <c r="J408" i="9"/>
  <c r="M407" i="9"/>
  <c r="J407" i="9"/>
  <c r="M406" i="9"/>
  <c r="J406" i="9"/>
  <c r="M405" i="9"/>
  <c r="J405" i="9"/>
  <c r="M404" i="9"/>
  <c r="J404" i="9"/>
  <c r="M403" i="9"/>
  <c r="J403" i="9"/>
  <c r="M402" i="9"/>
  <c r="J402" i="9"/>
  <c r="M401" i="9"/>
  <c r="J401" i="9"/>
  <c r="M400" i="9"/>
  <c r="J400" i="9"/>
  <c r="M399" i="9"/>
  <c r="J399" i="9"/>
  <c r="M398" i="9"/>
  <c r="J398" i="9"/>
  <c r="M397" i="9"/>
  <c r="J397" i="9"/>
  <c r="M396" i="9"/>
  <c r="J396" i="9"/>
  <c r="M395" i="9"/>
  <c r="J395" i="9"/>
  <c r="M394" i="9"/>
  <c r="J394" i="9"/>
  <c r="M393" i="9"/>
  <c r="J393" i="9"/>
  <c r="M392" i="9"/>
  <c r="J392" i="9"/>
  <c r="M391" i="9"/>
  <c r="J391" i="9"/>
  <c r="M390" i="9"/>
  <c r="J390" i="9"/>
  <c r="M389" i="9"/>
  <c r="J389" i="9"/>
  <c r="M388" i="9"/>
  <c r="J388" i="9"/>
  <c r="M387" i="9"/>
  <c r="J387" i="9"/>
  <c r="M386" i="9"/>
  <c r="J386" i="9"/>
  <c r="M385" i="9"/>
  <c r="J385" i="9"/>
  <c r="M384" i="9"/>
  <c r="J384" i="9"/>
  <c r="M383" i="9"/>
  <c r="J383" i="9"/>
  <c r="M382" i="9"/>
  <c r="J382" i="9"/>
  <c r="M381" i="9"/>
  <c r="J381" i="9"/>
  <c r="M380" i="9"/>
  <c r="J380" i="9"/>
  <c r="M379" i="9"/>
  <c r="J379" i="9"/>
  <c r="M378" i="9"/>
  <c r="J378" i="9"/>
  <c r="M377" i="9"/>
  <c r="J377" i="9"/>
  <c r="M376" i="9"/>
  <c r="J376" i="9"/>
  <c r="M375" i="9"/>
  <c r="J375" i="9"/>
  <c r="M374" i="9"/>
  <c r="J374" i="9"/>
  <c r="M373" i="9"/>
  <c r="J373" i="9"/>
  <c r="M372" i="9"/>
  <c r="J372" i="9"/>
  <c r="M371" i="9"/>
  <c r="J371" i="9"/>
  <c r="M370" i="9"/>
  <c r="J370" i="9"/>
  <c r="M369" i="9"/>
  <c r="J369" i="9"/>
  <c r="M368" i="9"/>
  <c r="J368" i="9"/>
  <c r="M367" i="9"/>
  <c r="J367" i="9"/>
  <c r="M366" i="9"/>
  <c r="J366" i="9"/>
  <c r="M365" i="9"/>
  <c r="J365" i="9"/>
  <c r="M364" i="9"/>
  <c r="J364" i="9"/>
  <c r="M363" i="9"/>
  <c r="J363" i="9"/>
  <c r="M362" i="9"/>
  <c r="J362" i="9"/>
  <c r="M361" i="9"/>
  <c r="J361" i="9"/>
  <c r="M360" i="9"/>
  <c r="J360" i="9"/>
  <c r="M359" i="9"/>
  <c r="J359" i="9"/>
  <c r="M358" i="9"/>
  <c r="J358" i="9"/>
  <c r="M357" i="9"/>
  <c r="J357" i="9"/>
  <c r="M356" i="9"/>
  <c r="J356" i="9"/>
  <c r="M355" i="9"/>
  <c r="J355" i="9"/>
  <c r="M354" i="9"/>
  <c r="J354" i="9"/>
  <c r="M353" i="9"/>
  <c r="J353" i="9"/>
  <c r="M352" i="9"/>
  <c r="J352" i="9"/>
  <c r="M351" i="9"/>
  <c r="J351" i="9"/>
  <c r="M350" i="9"/>
  <c r="J350" i="9"/>
  <c r="M349" i="9"/>
  <c r="J349" i="9"/>
  <c r="M348" i="9"/>
  <c r="J348" i="9"/>
  <c r="M347" i="9"/>
  <c r="J347" i="9"/>
  <c r="M346" i="9"/>
  <c r="J346" i="9"/>
  <c r="M345" i="9"/>
  <c r="J345" i="9"/>
  <c r="M344" i="9"/>
  <c r="J344" i="9"/>
  <c r="M343" i="9"/>
  <c r="J343" i="9"/>
  <c r="M342" i="9"/>
  <c r="J342" i="9"/>
  <c r="M341" i="9"/>
  <c r="J341" i="9"/>
  <c r="M340" i="9"/>
  <c r="J340" i="9"/>
  <c r="M339" i="9"/>
  <c r="J339" i="9"/>
  <c r="M338" i="9"/>
  <c r="J338" i="9"/>
  <c r="M337" i="9"/>
  <c r="J337" i="9"/>
  <c r="M336" i="9"/>
  <c r="J336" i="9"/>
  <c r="M335" i="9"/>
  <c r="J335" i="9"/>
  <c r="M334" i="9"/>
  <c r="J334" i="9"/>
  <c r="M333" i="9"/>
  <c r="J333" i="9"/>
  <c r="M332" i="9"/>
  <c r="J332" i="9"/>
  <c r="M331" i="9"/>
  <c r="J331" i="9"/>
  <c r="M330" i="9"/>
  <c r="J330" i="9"/>
  <c r="M329" i="9"/>
  <c r="J329" i="9"/>
  <c r="M328" i="9"/>
  <c r="J328" i="9"/>
  <c r="M327" i="9"/>
  <c r="J327" i="9"/>
  <c r="M326" i="9"/>
  <c r="J326" i="9"/>
  <c r="M325" i="9"/>
  <c r="J325" i="9"/>
  <c r="M324" i="9"/>
  <c r="J324" i="9"/>
  <c r="M323" i="9"/>
  <c r="J323" i="9"/>
  <c r="M322" i="9"/>
  <c r="J322" i="9"/>
  <c r="M321" i="9"/>
  <c r="J321" i="9"/>
  <c r="M320" i="9"/>
  <c r="J320" i="9"/>
  <c r="M319" i="9"/>
  <c r="J319" i="9"/>
  <c r="M318" i="9"/>
  <c r="J318" i="9"/>
  <c r="M317" i="9"/>
  <c r="J317" i="9"/>
  <c r="M316" i="9"/>
  <c r="J316" i="9"/>
  <c r="M315" i="9"/>
  <c r="J315" i="9"/>
  <c r="M314" i="9"/>
  <c r="J314" i="9"/>
  <c r="M313" i="9"/>
  <c r="J313" i="9"/>
  <c r="M312" i="9"/>
  <c r="J312" i="9"/>
  <c r="M311" i="9"/>
  <c r="J311" i="9"/>
  <c r="M310" i="9"/>
  <c r="J310" i="9"/>
  <c r="M309" i="9"/>
  <c r="J309" i="9"/>
  <c r="M308" i="9"/>
  <c r="J308" i="9"/>
  <c r="M307" i="9"/>
  <c r="J307" i="9"/>
  <c r="M306" i="9"/>
  <c r="J306" i="9"/>
  <c r="M305" i="9"/>
  <c r="J305" i="9"/>
  <c r="M304" i="9"/>
  <c r="J304" i="9"/>
  <c r="M303" i="9"/>
  <c r="J303" i="9"/>
  <c r="M302" i="9"/>
  <c r="J302" i="9"/>
  <c r="M301" i="9"/>
  <c r="J301" i="9"/>
  <c r="M300" i="9"/>
  <c r="J300" i="9"/>
  <c r="M299" i="9"/>
  <c r="J299" i="9"/>
  <c r="M298" i="9"/>
  <c r="J298" i="9"/>
  <c r="M297" i="9"/>
  <c r="J297" i="9"/>
  <c r="M296" i="9"/>
  <c r="J296" i="9"/>
  <c r="M295" i="9"/>
  <c r="J295" i="9"/>
  <c r="M294" i="9"/>
  <c r="J294" i="9"/>
  <c r="M293" i="9"/>
  <c r="J293" i="9"/>
  <c r="M292" i="9"/>
  <c r="J292" i="9"/>
  <c r="M291" i="9"/>
  <c r="J291" i="9"/>
  <c r="M290" i="9"/>
  <c r="J290" i="9"/>
  <c r="M289" i="9"/>
  <c r="J289" i="9"/>
  <c r="M288" i="9"/>
  <c r="J288" i="9"/>
  <c r="M287" i="9"/>
  <c r="J287" i="9"/>
  <c r="M286" i="9"/>
  <c r="J286" i="9"/>
  <c r="M285" i="9"/>
  <c r="J285" i="9"/>
  <c r="M284" i="9"/>
  <c r="J284" i="9"/>
  <c r="M283" i="9"/>
  <c r="J283" i="9"/>
  <c r="M282" i="9"/>
  <c r="J282" i="9"/>
  <c r="M281" i="9"/>
  <c r="J281" i="9"/>
  <c r="M280" i="9"/>
  <c r="J280" i="9"/>
  <c r="M279" i="9"/>
  <c r="J279" i="9"/>
  <c r="M278" i="9"/>
  <c r="J278" i="9"/>
  <c r="M277" i="9"/>
  <c r="J277" i="9"/>
  <c r="M276" i="9"/>
  <c r="J276" i="9"/>
  <c r="M275" i="9"/>
  <c r="J275" i="9"/>
  <c r="M274" i="9"/>
  <c r="J274" i="9"/>
  <c r="M273" i="9"/>
  <c r="J273" i="9"/>
  <c r="M272" i="9"/>
  <c r="J272" i="9"/>
  <c r="M271" i="9"/>
  <c r="J271" i="9"/>
  <c r="M270" i="9"/>
  <c r="J270" i="9"/>
  <c r="M269" i="9"/>
  <c r="J269" i="9"/>
  <c r="M268" i="9"/>
  <c r="J268" i="9"/>
  <c r="M267" i="9"/>
  <c r="J267" i="9"/>
  <c r="M266" i="9"/>
  <c r="J266" i="9"/>
  <c r="M265" i="9"/>
  <c r="J265" i="9"/>
  <c r="M264" i="9"/>
  <c r="J264" i="9"/>
  <c r="M263" i="9"/>
  <c r="J263" i="9"/>
  <c r="M262" i="9"/>
  <c r="J262" i="9"/>
  <c r="M261" i="9"/>
  <c r="J261" i="9"/>
  <c r="M260" i="9"/>
  <c r="J260" i="9"/>
  <c r="M259" i="9"/>
  <c r="J259" i="9"/>
  <c r="M258" i="9"/>
  <c r="J258" i="9"/>
  <c r="M257" i="9"/>
  <c r="J257" i="9"/>
  <c r="M256" i="9"/>
  <c r="J256" i="9"/>
  <c r="M255" i="9"/>
  <c r="J255" i="9"/>
  <c r="M254" i="9"/>
  <c r="J254" i="9"/>
  <c r="M253" i="9"/>
  <c r="J253" i="9"/>
  <c r="M252" i="9"/>
  <c r="J252" i="9"/>
  <c r="M251" i="9"/>
  <c r="J251" i="9"/>
  <c r="M250" i="9"/>
  <c r="J250" i="9"/>
  <c r="M249" i="9"/>
  <c r="J249" i="9"/>
  <c r="M248" i="9"/>
  <c r="J248" i="9"/>
  <c r="M247" i="9"/>
  <c r="J247" i="9"/>
  <c r="M246" i="9"/>
  <c r="J246" i="9"/>
  <c r="M245" i="9"/>
  <c r="J245" i="9"/>
  <c r="M244" i="9"/>
  <c r="J244" i="9"/>
  <c r="M243" i="9"/>
  <c r="J243" i="9"/>
  <c r="M242" i="9"/>
  <c r="J242" i="9"/>
  <c r="M241" i="9"/>
  <c r="J241" i="9"/>
  <c r="M240" i="9"/>
  <c r="J240" i="9"/>
  <c r="M239" i="9"/>
  <c r="J239" i="9"/>
  <c r="M238" i="9"/>
  <c r="J238" i="9"/>
  <c r="M237" i="9"/>
  <c r="J237" i="9"/>
  <c r="M236" i="9"/>
  <c r="J236" i="9"/>
  <c r="M235" i="9"/>
  <c r="J235" i="9"/>
  <c r="M234" i="9"/>
  <c r="J234" i="9"/>
  <c r="M233" i="9"/>
  <c r="J233" i="9"/>
  <c r="M232" i="9"/>
  <c r="J232" i="9"/>
  <c r="M231" i="9"/>
  <c r="J231" i="9"/>
  <c r="M230" i="9"/>
  <c r="J230" i="9"/>
  <c r="M229" i="9"/>
  <c r="J229" i="9"/>
  <c r="M228" i="9"/>
  <c r="J228" i="9"/>
  <c r="M227" i="9"/>
  <c r="J227" i="9"/>
  <c r="M226" i="9"/>
  <c r="J226" i="9"/>
  <c r="M225" i="9"/>
  <c r="J225" i="9"/>
  <c r="M224" i="9"/>
  <c r="J224" i="9"/>
  <c r="M223" i="9"/>
  <c r="J223" i="9"/>
  <c r="M222" i="9"/>
  <c r="J222" i="9"/>
  <c r="M221" i="9"/>
  <c r="J221" i="9"/>
  <c r="M220" i="9"/>
  <c r="J220" i="9"/>
  <c r="M219" i="9"/>
  <c r="J219" i="9"/>
  <c r="M218" i="9"/>
  <c r="J218" i="9"/>
  <c r="M217" i="9"/>
  <c r="J217" i="9"/>
  <c r="M216" i="9"/>
  <c r="J216" i="9"/>
  <c r="M215" i="9"/>
  <c r="J215" i="9"/>
  <c r="M214" i="9"/>
  <c r="J214" i="9"/>
  <c r="M213" i="9"/>
  <c r="J213" i="9"/>
  <c r="M212" i="9"/>
  <c r="J212" i="9"/>
  <c r="M211" i="9"/>
  <c r="J211" i="9"/>
  <c r="M210" i="9"/>
  <c r="J210" i="9"/>
  <c r="M209" i="9"/>
  <c r="J209" i="9"/>
  <c r="M208" i="9"/>
  <c r="J208" i="9"/>
  <c r="M207" i="9"/>
  <c r="J207" i="9"/>
  <c r="M206" i="9"/>
  <c r="J206" i="9"/>
  <c r="M205" i="9"/>
  <c r="J205" i="9"/>
  <c r="M204" i="9"/>
  <c r="J204" i="9"/>
  <c r="M203" i="9"/>
  <c r="J203" i="9"/>
  <c r="M202" i="9"/>
  <c r="J202" i="9"/>
  <c r="M201" i="9"/>
  <c r="J201" i="9"/>
  <c r="M200" i="9"/>
  <c r="J200" i="9"/>
  <c r="M199" i="9"/>
  <c r="J199" i="9"/>
  <c r="M198" i="9"/>
  <c r="J198" i="9"/>
  <c r="M197" i="9"/>
  <c r="J197" i="9"/>
  <c r="M196" i="9"/>
  <c r="J196" i="9"/>
  <c r="M195" i="9"/>
  <c r="J195" i="9"/>
  <c r="M194" i="9"/>
  <c r="J194" i="9"/>
  <c r="M193" i="9"/>
  <c r="J193" i="9"/>
  <c r="M192" i="9"/>
  <c r="J192" i="9"/>
  <c r="M191" i="9"/>
  <c r="J191" i="9"/>
  <c r="M190" i="9"/>
  <c r="J190" i="9"/>
  <c r="M189" i="9"/>
  <c r="J189" i="9"/>
  <c r="M188" i="9"/>
  <c r="J188" i="9"/>
  <c r="M187" i="9"/>
  <c r="J187" i="9"/>
  <c r="M186" i="9"/>
  <c r="J186" i="9"/>
  <c r="M185" i="9"/>
  <c r="J185" i="9"/>
  <c r="M184" i="9"/>
  <c r="J184" i="9"/>
  <c r="M183" i="9"/>
  <c r="J183" i="9"/>
  <c r="M182" i="9"/>
  <c r="J182" i="9"/>
  <c r="M181" i="9"/>
  <c r="J181" i="9"/>
  <c r="M180" i="9"/>
  <c r="J180" i="9"/>
  <c r="M179" i="9"/>
  <c r="J179" i="9"/>
  <c r="M178" i="9"/>
  <c r="J178" i="9"/>
  <c r="M177" i="9"/>
  <c r="J177" i="9"/>
  <c r="M176" i="9"/>
  <c r="J176" i="9"/>
  <c r="M175" i="9"/>
  <c r="J175" i="9"/>
  <c r="M174" i="9"/>
  <c r="J174" i="9"/>
  <c r="M173" i="9"/>
  <c r="J173" i="9"/>
  <c r="M172" i="9"/>
  <c r="J172" i="9"/>
  <c r="M171" i="9"/>
  <c r="J171" i="9"/>
  <c r="M170" i="9"/>
  <c r="J170" i="9"/>
  <c r="M169" i="9"/>
  <c r="J169" i="9"/>
  <c r="M168" i="9"/>
  <c r="J168" i="9"/>
  <c r="M167" i="9"/>
  <c r="J167" i="9"/>
  <c r="M166" i="9"/>
  <c r="J166" i="9"/>
  <c r="M165" i="9"/>
  <c r="J165" i="9"/>
  <c r="M164" i="9"/>
  <c r="J164" i="9"/>
  <c r="M163" i="9"/>
  <c r="J163" i="9"/>
  <c r="M162" i="9"/>
  <c r="J162" i="9"/>
  <c r="M161" i="9"/>
  <c r="J161" i="9"/>
  <c r="M160" i="9"/>
  <c r="J160" i="9"/>
  <c r="M159" i="9"/>
  <c r="J159" i="9"/>
  <c r="M158" i="9"/>
  <c r="J158" i="9"/>
  <c r="M157" i="9"/>
  <c r="J157" i="9"/>
  <c r="M156" i="9"/>
  <c r="J156" i="9"/>
  <c r="M155" i="9"/>
  <c r="J155" i="9"/>
  <c r="M154" i="9"/>
  <c r="J154" i="9"/>
  <c r="M153" i="9"/>
  <c r="J153" i="9"/>
  <c r="M152" i="9"/>
  <c r="J152" i="9"/>
  <c r="M151" i="9"/>
  <c r="J151" i="9"/>
  <c r="M150" i="9"/>
  <c r="J150" i="9"/>
  <c r="M149" i="9"/>
  <c r="J149" i="9"/>
  <c r="M148" i="9"/>
  <c r="J148" i="9"/>
  <c r="M147" i="9"/>
  <c r="J147" i="9"/>
  <c r="M146" i="9"/>
  <c r="J146" i="9"/>
  <c r="M145" i="9"/>
  <c r="J145" i="9"/>
  <c r="M144" i="9"/>
  <c r="J144" i="9"/>
  <c r="M143" i="9"/>
  <c r="J143" i="9"/>
  <c r="M142" i="9"/>
  <c r="J142" i="9"/>
  <c r="M141" i="9"/>
  <c r="J141" i="9"/>
  <c r="M140" i="9"/>
  <c r="J140" i="9"/>
  <c r="M139" i="9"/>
  <c r="J139" i="9"/>
  <c r="M138" i="9"/>
  <c r="J138" i="9"/>
  <c r="M137" i="9"/>
  <c r="J137" i="9"/>
  <c r="M136" i="9"/>
  <c r="J136" i="9"/>
  <c r="M135" i="9"/>
  <c r="J135" i="9"/>
  <c r="M134" i="9"/>
  <c r="J134" i="9"/>
  <c r="M133" i="9"/>
  <c r="J133" i="9"/>
  <c r="M132" i="9"/>
  <c r="J132" i="9"/>
  <c r="M131" i="9"/>
  <c r="J131" i="9"/>
  <c r="M130" i="9"/>
  <c r="J130" i="9"/>
  <c r="M129" i="9"/>
  <c r="J129" i="9"/>
  <c r="M128" i="9"/>
  <c r="J128" i="9"/>
  <c r="M127" i="9"/>
  <c r="J127" i="9"/>
  <c r="M126" i="9"/>
  <c r="J126" i="9"/>
  <c r="M125" i="9"/>
  <c r="J125" i="9"/>
  <c r="M124" i="9"/>
  <c r="J124" i="9"/>
  <c r="M123" i="9"/>
  <c r="J123" i="9"/>
  <c r="M122" i="9"/>
  <c r="J122" i="9"/>
  <c r="M121" i="9"/>
  <c r="J121" i="9"/>
  <c r="M120" i="9"/>
  <c r="J120" i="9"/>
  <c r="M119" i="9"/>
  <c r="J119" i="9"/>
  <c r="M118" i="9"/>
  <c r="J118" i="9"/>
  <c r="M117" i="9"/>
  <c r="J117" i="9"/>
  <c r="M116" i="9"/>
  <c r="J116" i="9"/>
  <c r="M115" i="9"/>
  <c r="J115" i="9"/>
  <c r="M114" i="9"/>
  <c r="J114" i="9"/>
  <c r="M113" i="9"/>
  <c r="J113" i="9"/>
  <c r="M112" i="9"/>
  <c r="J112" i="9"/>
  <c r="M111" i="9"/>
  <c r="J111" i="9"/>
  <c r="M110" i="9"/>
  <c r="J110" i="9"/>
  <c r="M109" i="9"/>
  <c r="J109" i="9"/>
  <c r="M108" i="9"/>
  <c r="J108" i="9"/>
  <c r="M107" i="9"/>
  <c r="J107" i="9"/>
  <c r="M106" i="9"/>
  <c r="J106" i="9"/>
  <c r="M105" i="9"/>
  <c r="J105" i="9"/>
  <c r="M104" i="9"/>
  <c r="J104" i="9"/>
  <c r="M103" i="9"/>
  <c r="J103" i="9"/>
  <c r="M102" i="9"/>
  <c r="J102" i="9"/>
  <c r="M101" i="9"/>
  <c r="J101" i="9"/>
  <c r="M100" i="9"/>
  <c r="J100" i="9"/>
  <c r="M99" i="9"/>
  <c r="J99" i="9"/>
  <c r="M98" i="9"/>
  <c r="J98" i="9"/>
  <c r="M97" i="9"/>
  <c r="J97" i="9"/>
  <c r="M96" i="9"/>
  <c r="J96" i="9"/>
  <c r="M95" i="9"/>
  <c r="J95" i="9"/>
  <c r="M94" i="9"/>
  <c r="J94" i="9"/>
  <c r="M93" i="9"/>
  <c r="J93" i="9"/>
  <c r="M92" i="9"/>
  <c r="J92" i="9"/>
  <c r="M91" i="9"/>
  <c r="J91" i="9"/>
  <c r="M90" i="9"/>
  <c r="J90" i="9"/>
  <c r="M89" i="9"/>
  <c r="J89" i="9"/>
  <c r="M88" i="9"/>
  <c r="J88" i="9"/>
  <c r="M87" i="9"/>
  <c r="J87" i="9"/>
  <c r="M86" i="9"/>
  <c r="J86" i="9"/>
  <c r="M85" i="9"/>
  <c r="J85" i="9"/>
  <c r="M84" i="9"/>
  <c r="J84" i="9"/>
  <c r="M83" i="9"/>
  <c r="J83" i="9"/>
  <c r="M82" i="9"/>
  <c r="J82" i="9"/>
  <c r="M81" i="9"/>
  <c r="J81" i="9"/>
  <c r="M80" i="9"/>
  <c r="J80" i="9"/>
  <c r="M79" i="9"/>
  <c r="J79" i="9"/>
  <c r="M78" i="9"/>
  <c r="J78" i="9"/>
  <c r="M77" i="9"/>
  <c r="J77" i="9"/>
  <c r="M76" i="9"/>
  <c r="J76" i="9"/>
  <c r="M75" i="9"/>
  <c r="J75" i="9"/>
  <c r="M74" i="9"/>
  <c r="J74" i="9"/>
  <c r="M73" i="9"/>
  <c r="J73" i="9"/>
  <c r="M72" i="9"/>
  <c r="J72" i="9"/>
  <c r="M71" i="9"/>
  <c r="J71" i="9"/>
  <c r="M70" i="9"/>
  <c r="J70" i="9"/>
  <c r="M69" i="9"/>
  <c r="J69" i="9"/>
  <c r="M68" i="9"/>
  <c r="J68" i="9"/>
  <c r="M67" i="9"/>
  <c r="J67" i="9"/>
  <c r="M66" i="9"/>
  <c r="J66" i="9"/>
  <c r="M65" i="9"/>
  <c r="J65" i="9"/>
  <c r="M64" i="9"/>
  <c r="J64" i="9"/>
  <c r="M63" i="9"/>
  <c r="J63" i="9"/>
  <c r="M62" i="9"/>
  <c r="J62" i="9"/>
  <c r="M61" i="9"/>
  <c r="J61" i="9"/>
  <c r="M60" i="9"/>
  <c r="J60" i="9"/>
  <c r="M59" i="9"/>
  <c r="J59" i="9"/>
  <c r="M58" i="9"/>
  <c r="J58" i="9"/>
  <c r="M57" i="9"/>
  <c r="J57" i="9"/>
  <c r="M56" i="9"/>
  <c r="J56" i="9"/>
  <c r="M55" i="9"/>
  <c r="J55" i="9"/>
  <c r="M54" i="9"/>
  <c r="J54" i="9"/>
  <c r="M53" i="9"/>
  <c r="J53" i="9"/>
  <c r="M52" i="9"/>
  <c r="J52" i="9"/>
  <c r="M51" i="9"/>
  <c r="J51" i="9"/>
  <c r="M50" i="9"/>
  <c r="J50" i="9"/>
  <c r="M49" i="9"/>
  <c r="J49" i="9"/>
  <c r="M48" i="9"/>
  <c r="J48" i="9"/>
  <c r="M47" i="9"/>
  <c r="J47" i="9"/>
  <c r="M46" i="9"/>
  <c r="J46" i="9"/>
  <c r="M45" i="9"/>
  <c r="J45" i="9"/>
  <c r="M44" i="9"/>
  <c r="J44" i="9"/>
  <c r="M43" i="9"/>
  <c r="J43" i="9"/>
  <c r="M42" i="9"/>
  <c r="J42" i="9"/>
  <c r="M41" i="9"/>
  <c r="J41" i="9"/>
  <c r="M40" i="9"/>
  <c r="J40" i="9"/>
  <c r="M39" i="9"/>
  <c r="J39" i="9"/>
  <c r="M38" i="9"/>
  <c r="J38" i="9"/>
  <c r="M37" i="9"/>
  <c r="J37" i="9"/>
  <c r="M36" i="9"/>
  <c r="J36" i="9"/>
  <c r="M35" i="9"/>
  <c r="J35" i="9"/>
  <c r="M34" i="9"/>
  <c r="J34" i="9"/>
  <c r="M33" i="9"/>
  <c r="J33" i="9"/>
  <c r="M32" i="9"/>
  <c r="J32" i="9"/>
  <c r="M31" i="9"/>
  <c r="J31" i="9"/>
  <c r="M30" i="9"/>
  <c r="J30" i="9"/>
  <c r="M29" i="9"/>
  <c r="J29" i="9"/>
  <c r="M28" i="9"/>
  <c r="J28" i="9"/>
  <c r="M27" i="9"/>
  <c r="J27" i="9"/>
  <c r="M26" i="9"/>
  <c r="J26" i="9"/>
  <c r="M25" i="9"/>
  <c r="J25" i="9"/>
  <c r="M24" i="9"/>
  <c r="J24" i="9"/>
  <c r="M23" i="9"/>
  <c r="J23" i="9"/>
  <c r="M22" i="9"/>
  <c r="J22" i="9"/>
  <c r="M21" i="9"/>
  <c r="J21" i="9"/>
  <c r="M20" i="9"/>
  <c r="J20" i="9"/>
  <c r="M19" i="9"/>
  <c r="J19" i="9"/>
  <c r="M18" i="9"/>
  <c r="J18" i="9"/>
  <c r="M17" i="9"/>
  <c r="J17" i="9"/>
  <c r="M16" i="9"/>
  <c r="J16" i="9"/>
  <c r="M15" i="9"/>
  <c r="J15" i="9"/>
  <c r="M14" i="9"/>
  <c r="J14" i="9"/>
  <c r="M13" i="9"/>
  <c r="J13" i="9"/>
  <c r="M12" i="9"/>
  <c r="J12" i="9"/>
  <c r="M11" i="9"/>
  <c r="J11" i="9"/>
  <c r="M10" i="9"/>
  <c r="J10" i="9"/>
  <c r="M9" i="9"/>
  <c r="J9" i="9"/>
  <c r="M8" i="9"/>
  <c r="J8" i="9"/>
  <c r="M7" i="9"/>
  <c r="J7" i="9"/>
  <c r="M6" i="9"/>
  <c r="J6" i="9"/>
  <c r="M5" i="9"/>
  <c r="J5" i="9"/>
  <c r="M4" i="9"/>
  <c r="J4" i="9"/>
  <c r="M3" i="9"/>
  <c r="J3" i="9"/>
  <c r="M2" i="9"/>
  <c r="J2" i="9"/>
</calcChain>
</file>

<file path=xl/sharedStrings.xml><?xml version="1.0" encoding="utf-8"?>
<sst xmlns="http://schemas.openxmlformats.org/spreadsheetml/2006/main" count="25207" uniqueCount="1668">
  <si>
    <t>资产包编号</t>
  </si>
  <si>
    <t>当前还款方</t>
  </si>
  <si>
    <t>资产编号(房源)</t>
  </si>
  <si>
    <t>托管房源编码</t>
  </si>
  <si>
    <t>计划集中还款日期</t>
  </si>
  <si>
    <t>还款期数</t>
  </si>
  <si>
    <t>当期计划还款金额</t>
  </si>
  <si>
    <t>初始受让装修金额</t>
  </si>
  <si>
    <t>累计已还款金额</t>
  </si>
  <si>
    <t>剩余应还款余额</t>
  </si>
  <si>
    <t>本期还款状态</t>
  </si>
  <si>
    <t>当期实际还款金额</t>
  </si>
  <si>
    <t>本期是否逾期</t>
  </si>
  <si>
    <t>当期逾期天数</t>
  </si>
  <si>
    <t>001</t>
  </si>
  <si>
    <t>中国对外经济贸易信托有限公司</t>
  </si>
  <si>
    <t>101127075900-001</t>
  </si>
  <si>
    <t xml:space="preserve">101127075900	</t>
  </si>
  <si>
    <t>101127311840-001</t>
  </si>
  <si>
    <t xml:space="preserve">101127311840	</t>
  </si>
  <si>
    <t>101127339909-001</t>
  </si>
  <si>
    <t xml:space="preserve">101127339909	</t>
  </si>
  <si>
    <t>101127524235-001</t>
  </si>
  <si>
    <t xml:space="preserve">101127524235	</t>
  </si>
  <si>
    <t>101127626459-001</t>
  </si>
  <si>
    <t xml:space="preserve">101127626459	</t>
  </si>
  <si>
    <t>101127687701-001</t>
  </si>
  <si>
    <t xml:space="preserve">101127687701	</t>
  </si>
  <si>
    <t>101127876784-001</t>
  </si>
  <si>
    <t xml:space="preserve">101127876784	</t>
  </si>
  <si>
    <t>101127962550-001</t>
  </si>
  <si>
    <t xml:space="preserve">101127962550	</t>
  </si>
  <si>
    <t>101128141006-001</t>
  </si>
  <si>
    <t xml:space="preserve">101128141006	</t>
  </si>
  <si>
    <t>101128199395-001</t>
  </si>
  <si>
    <t xml:space="preserve">101128199395	</t>
  </si>
  <si>
    <t>101128199843-001</t>
  </si>
  <si>
    <t xml:space="preserve">101128199843	</t>
  </si>
  <si>
    <t>101128209031-001</t>
  </si>
  <si>
    <t xml:space="preserve">101128209031	</t>
  </si>
  <si>
    <t>101128209033-001</t>
  </si>
  <si>
    <t xml:space="preserve">101128209033	</t>
  </si>
  <si>
    <t>101128209038-001</t>
  </si>
  <si>
    <t xml:space="preserve">101128209038	</t>
  </si>
  <si>
    <t>101128209044-001</t>
  </si>
  <si>
    <t xml:space="preserve">101128209044	</t>
  </si>
  <si>
    <t>101128228767-001</t>
  </si>
  <si>
    <t xml:space="preserve">101128228767	</t>
  </si>
  <si>
    <t>101128371669-001</t>
  </si>
  <si>
    <t xml:space="preserve">101128371669	</t>
  </si>
  <si>
    <t>101128409796-001</t>
  </si>
  <si>
    <t>101128568095-001</t>
  </si>
  <si>
    <t xml:space="preserve">101128568095	</t>
  </si>
  <si>
    <t>101128601341-001</t>
  </si>
  <si>
    <t xml:space="preserve">101128601341	</t>
  </si>
  <si>
    <t>101128682630-001</t>
  </si>
  <si>
    <t xml:space="preserve">101128682630	</t>
  </si>
  <si>
    <t>101128689163-001</t>
  </si>
  <si>
    <t xml:space="preserve">101128689163	</t>
  </si>
  <si>
    <t>101128692234-001</t>
  </si>
  <si>
    <t xml:space="preserve">101128692234	</t>
  </si>
  <si>
    <t>101129075952-001</t>
  </si>
  <si>
    <t xml:space="preserve">101129075952	</t>
  </si>
  <si>
    <t>101129088736-001</t>
  </si>
  <si>
    <t xml:space="preserve">101129088736	</t>
  </si>
  <si>
    <t>101129113001-001</t>
  </si>
  <si>
    <t xml:space="preserve">101129113001	</t>
  </si>
  <si>
    <t>101129170432-001</t>
  </si>
  <si>
    <t xml:space="preserve">101129170432	</t>
  </si>
  <si>
    <t>101129185442-001</t>
  </si>
  <si>
    <t xml:space="preserve">101129185442	</t>
  </si>
  <si>
    <t>101129228935-001</t>
  </si>
  <si>
    <t xml:space="preserve">101129228935	</t>
  </si>
  <si>
    <t>101129256334-001</t>
  </si>
  <si>
    <t xml:space="preserve">101129256334	</t>
  </si>
  <si>
    <t>101129266919-001</t>
  </si>
  <si>
    <t xml:space="preserve">101129266919	</t>
  </si>
  <si>
    <t>101129291267-001</t>
  </si>
  <si>
    <t xml:space="preserve">101129291267	</t>
  </si>
  <si>
    <t>101129311618-001</t>
  </si>
  <si>
    <t xml:space="preserve">101129311618	</t>
  </si>
  <si>
    <t>101129313456-001</t>
  </si>
  <si>
    <t xml:space="preserve">101129313456	</t>
  </si>
  <si>
    <t>101129319780-001</t>
  </si>
  <si>
    <t xml:space="preserve">101129319780	</t>
  </si>
  <si>
    <t>101129320554-001</t>
  </si>
  <si>
    <t xml:space="preserve">101129320554	</t>
  </si>
  <si>
    <t>101129327544-001</t>
  </si>
  <si>
    <t xml:space="preserve">101129327544	</t>
  </si>
  <si>
    <t>101129329748-001</t>
  </si>
  <si>
    <t xml:space="preserve">101129329748	</t>
  </si>
  <si>
    <t>101129348286-001</t>
  </si>
  <si>
    <t xml:space="preserve">101129348286	</t>
  </si>
  <si>
    <t>101129349328-001</t>
  </si>
  <si>
    <t xml:space="preserve">101129349328	</t>
  </si>
  <si>
    <t>101129349340-001</t>
  </si>
  <si>
    <t>101129354717-001</t>
  </si>
  <si>
    <t xml:space="preserve">101129354717	</t>
  </si>
  <si>
    <t>101129380243-001</t>
  </si>
  <si>
    <t xml:space="preserve">101129380243	</t>
  </si>
  <si>
    <t>101129399496-001</t>
  </si>
  <si>
    <t xml:space="preserve">101129399496	</t>
  </si>
  <si>
    <t>101129405710-001</t>
  </si>
  <si>
    <t xml:space="preserve">101129405710	</t>
  </si>
  <si>
    <t>101129422479-001</t>
  </si>
  <si>
    <t xml:space="preserve">101129422479	</t>
  </si>
  <si>
    <t>101129442765-001</t>
  </si>
  <si>
    <t xml:space="preserve">101129442765	</t>
  </si>
  <si>
    <t>101129452604-001</t>
  </si>
  <si>
    <t xml:space="preserve">101129452604	</t>
  </si>
  <si>
    <t>101129460405-001</t>
  </si>
  <si>
    <t>101129472286-001</t>
  </si>
  <si>
    <t xml:space="preserve">101129472286	</t>
  </si>
  <si>
    <t>101129491687-001</t>
  </si>
  <si>
    <t xml:space="preserve">101129491687	</t>
  </si>
  <si>
    <t>101129492083-001</t>
  </si>
  <si>
    <t xml:space="preserve">101129492083	</t>
  </si>
  <si>
    <t>101129508743-001</t>
  </si>
  <si>
    <t xml:space="preserve">101129508743	</t>
  </si>
  <si>
    <t>101129527798-001</t>
  </si>
  <si>
    <t xml:space="preserve">101129527798	</t>
  </si>
  <si>
    <t>101129543144-001</t>
  </si>
  <si>
    <t xml:space="preserve">101129543144	</t>
  </si>
  <si>
    <t>101129550929-001</t>
  </si>
  <si>
    <t xml:space="preserve">101129550929	</t>
  </si>
  <si>
    <t>101129554327-001</t>
  </si>
  <si>
    <t xml:space="preserve">101129554327	</t>
  </si>
  <si>
    <t>101129560839-001</t>
  </si>
  <si>
    <t xml:space="preserve">101129560839	</t>
  </si>
  <si>
    <t>101129590806-001</t>
  </si>
  <si>
    <t xml:space="preserve">101129590806	</t>
  </si>
  <si>
    <t>101129616917-001</t>
  </si>
  <si>
    <t xml:space="preserve">101129616917	</t>
  </si>
  <si>
    <t>101129626038-001</t>
  </si>
  <si>
    <t xml:space="preserve">101129626038	</t>
  </si>
  <si>
    <t>101129629405-001</t>
  </si>
  <si>
    <t xml:space="preserve">101129629405	</t>
  </si>
  <si>
    <t>101129645009-001</t>
  </si>
  <si>
    <t xml:space="preserve">101129645009	</t>
  </si>
  <si>
    <t>101129684632-001</t>
  </si>
  <si>
    <t xml:space="preserve">101129684632	</t>
  </si>
  <si>
    <t>101129685066-001</t>
  </si>
  <si>
    <t xml:space="preserve">101129685066	</t>
  </si>
  <si>
    <t>101129689132-001</t>
  </si>
  <si>
    <t xml:space="preserve">101129689132	</t>
  </si>
  <si>
    <t>101129692832-001</t>
  </si>
  <si>
    <t xml:space="preserve">101129692832	</t>
  </si>
  <si>
    <t>101129694480-001</t>
  </si>
  <si>
    <t xml:space="preserve">101129694480	</t>
  </si>
  <si>
    <t>101129727695-001</t>
  </si>
  <si>
    <t xml:space="preserve">101129727695	</t>
  </si>
  <si>
    <t>101129734313-001</t>
  </si>
  <si>
    <t xml:space="preserve">101129734313	</t>
  </si>
  <si>
    <t>101129828082-001</t>
  </si>
  <si>
    <t xml:space="preserve">101129828082	</t>
  </si>
  <si>
    <t>101129869242-001</t>
  </si>
  <si>
    <t xml:space="preserve">101129869242	</t>
  </si>
  <si>
    <t>101129877070-001</t>
  </si>
  <si>
    <t xml:space="preserve">101129877070	</t>
  </si>
  <si>
    <t>101129877193-001</t>
  </si>
  <si>
    <t xml:space="preserve">101129877193	</t>
  </si>
  <si>
    <t>101129894230-001</t>
  </si>
  <si>
    <t xml:space="preserve">101129894230	</t>
  </si>
  <si>
    <t>101129909458-001</t>
  </si>
  <si>
    <t xml:space="preserve">101129909458	</t>
  </si>
  <si>
    <t>101129910830-001</t>
  </si>
  <si>
    <t xml:space="preserve">101129910830	</t>
  </si>
  <si>
    <t>101129927216-001</t>
  </si>
  <si>
    <t xml:space="preserve">101129927216	</t>
  </si>
  <si>
    <t>101129954626-001</t>
  </si>
  <si>
    <t xml:space="preserve">101129954626	</t>
  </si>
  <si>
    <t>101129963777-001</t>
  </si>
  <si>
    <t xml:space="preserve">101129963777	</t>
  </si>
  <si>
    <t>101129973517-001</t>
  </si>
  <si>
    <t xml:space="preserve">101129973517	</t>
  </si>
  <si>
    <t>101129984034-001</t>
  </si>
  <si>
    <t xml:space="preserve">101129984034	</t>
  </si>
  <si>
    <t>101129984712-001</t>
  </si>
  <si>
    <t xml:space="preserve">101129984712	</t>
  </si>
  <si>
    <t>101129999271-001</t>
  </si>
  <si>
    <t xml:space="preserve">101129999271	</t>
  </si>
  <si>
    <t>101130017111-001</t>
  </si>
  <si>
    <t xml:space="preserve">101130017111	</t>
  </si>
  <si>
    <t>101130021966-001</t>
  </si>
  <si>
    <t xml:space="preserve">101130021966	</t>
  </si>
  <si>
    <t>101130063714-001</t>
  </si>
  <si>
    <t xml:space="preserve">101130063714	</t>
  </si>
  <si>
    <t>101130065851-001</t>
  </si>
  <si>
    <t xml:space="preserve">101130065851	</t>
  </si>
  <si>
    <t>101130093956-001</t>
  </si>
  <si>
    <t xml:space="preserve">101130093956	</t>
  </si>
  <si>
    <t>101130107192-001</t>
  </si>
  <si>
    <t xml:space="preserve">101130107192	</t>
  </si>
  <si>
    <t>101130115346-001</t>
  </si>
  <si>
    <t xml:space="preserve">101130115346	</t>
  </si>
  <si>
    <t>101130125068-001</t>
  </si>
  <si>
    <t xml:space="preserve">101130125068	</t>
  </si>
  <si>
    <t>101130133766-001</t>
  </si>
  <si>
    <t xml:space="preserve">101130133766	</t>
  </si>
  <si>
    <t>101130133837-001</t>
  </si>
  <si>
    <t xml:space="preserve">101130133837	</t>
  </si>
  <si>
    <t>101130183387-001</t>
  </si>
  <si>
    <t xml:space="preserve">101130183387	</t>
  </si>
  <si>
    <t>101130185627-001</t>
  </si>
  <si>
    <t xml:space="preserve">101130185627	</t>
  </si>
  <si>
    <t>101130189018-001</t>
  </si>
  <si>
    <t xml:space="preserve">101130189018	</t>
  </si>
  <si>
    <t>101130192067-001</t>
  </si>
  <si>
    <t xml:space="preserve">101130192067	</t>
  </si>
  <si>
    <t>101130204849-001</t>
  </si>
  <si>
    <t xml:space="preserve">101130204849	</t>
  </si>
  <si>
    <t>101130206941-001</t>
  </si>
  <si>
    <t xml:space="preserve">101130206941	</t>
  </si>
  <si>
    <t>101130213157-001</t>
  </si>
  <si>
    <t xml:space="preserve">101130213157	</t>
  </si>
  <si>
    <t>101130216363-001</t>
  </si>
  <si>
    <t xml:space="preserve">101130216363	</t>
  </si>
  <si>
    <t>101130228216-001</t>
  </si>
  <si>
    <t xml:space="preserve">101130228216	</t>
  </si>
  <si>
    <t>101130314638-001</t>
  </si>
  <si>
    <t xml:space="preserve">101130314638	</t>
  </si>
  <si>
    <t>101130331302-001</t>
  </si>
  <si>
    <t xml:space="preserve">101130331302	</t>
  </si>
  <si>
    <t>101130375783-001</t>
  </si>
  <si>
    <t xml:space="preserve">101130375783	</t>
  </si>
  <si>
    <t>101130380821-001</t>
  </si>
  <si>
    <t xml:space="preserve">101130380821	</t>
  </si>
  <si>
    <t>101130387057-001</t>
  </si>
  <si>
    <t xml:space="preserve">101130387057	</t>
  </si>
  <si>
    <t>101130388201-001</t>
  </si>
  <si>
    <t xml:space="preserve">101130388201	</t>
  </si>
  <si>
    <t>101130394701-001</t>
  </si>
  <si>
    <t xml:space="preserve">101130394701	</t>
  </si>
  <si>
    <t>101130428817-001</t>
  </si>
  <si>
    <t>101130434119-001</t>
  </si>
  <si>
    <t xml:space="preserve">101130434119	</t>
  </si>
  <si>
    <t>101130447153-001</t>
  </si>
  <si>
    <t xml:space="preserve">101130447153	</t>
  </si>
  <si>
    <t>101130468708-001</t>
  </si>
  <si>
    <t xml:space="preserve">101130468708	</t>
  </si>
  <si>
    <t>101130479024-001</t>
  </si>
  <si>
    <t xml:space="preserve">101130479024	</t>
  </si>
  <si>
    <t>101130519941-001</t>
  </si>
  <si>
    <t xml:space="preserve">101130519941	</t>
  </si>
  <si>
    <t>101130525509-001</t>
  </si>
  <si>
    <t xml:space="preserve">101130525509	</t>
  </si>
  <si>
    <t>101130532169-001</t>
  </si>
  <si>
    <t xml:space="preserve">101130532169	</t>
  </si>
  <si>
    <t>101130590769-001</t>
  </si>
  <si>
    <t xml:space="preserve">101130590769	</t>
  </si>
  <si>
    <t>101130607995-001</t>
  </si>
  <si>
    <t xml:space="preserve">101130607995	</t>
  </si>
  <si>
    <t>101130614595-001</t>
  </si>
  <si>
    <t xml:space="preserve">101130614595	</t>
  </si>
  <si>
    <t>101130620233-001</t>
  </si>
  <si>
    <t xml:space="preserve">101130620233	</t>
  </si>
  <si>
    <t>101130634868-001</t>
  </si>
  <si>
    <t xml:space="preserve">101130634868	</t>
  </si>
  <si>
    <t>101130673207-001</t>
  </si>
  <si>
    <t xml:space="preserve">101130673207	</t>
  </si>
  <si>
    <t>101130708066-001</t>
  </si>
  <si>
    <t xml:space="preserve">101130708066	</t>
  </si>
  <si>
    <t>101130717373-001</t>
  </si>
  <si>
    <t xml:space="preserve">101130717373	</t>
  </si>
  <si>
    <t>101130763989-001</t>
  </si>
  <si>
    <t xml:space="preserve">101130763989	</t>
  </si>
  <si>
    <t>101130774312-001</t>
  </si>
  <si>
    <t xml:space="preserve">101130774312	</t>
  </si>
  <si>
    <t>101130786900-001</t>
  </si>
  <si>
    <t xml:space="preserve">101130786900	</t>
  </si>
  <si>
    <t>101130796627-001</t>
  </si>
  <si>
    <t xml:space="preserve">101130796627	</t>
  </si>
  <si>
    <t>101130798182-001</t>
  </si>
  <si>
    <t xml:space="preserve">101130798182	</t>
  </si>
  <si>
    <t>101130834372-001</t>
  </si>
  <si>
    <t xml:space="preserve">101130834372	</t>
  </si>
  <si>
    <t>101130853603-001</t>
  </si>
  <si>
    <t xml:space="preserve">101130853603	</t>
  </si>
  <si>
    <t>101130876309-001</t>
  </si>
  <si>
    <t xml:space="preserve">101130876309	</t>
  </si>
  <si>
    <t>101130877911-001</t>
  </si>
  <si>
    <t xml:space="preserve">101130877911	</t>
  </si>
  <si>
    <t>101130890220-001</t>
  </si>
  <si>
    <t xml:space="preserve">101130890220	</t>
  </si>
  <si>
    <t>101130908844-001</t>
  </si>
  <si>
    <t xml:space="preserve">101130908844	</t>
  </si>
  <si>
    <t>101130944629-001</t>
  </si>
  <si>
    <t xml:space="preserve">101130944629	</t>
  </si>
  <si>
    <t>101130950078-001</t>
  </si>
  <si>
    <t xml:space="preserve">101130950078	</t>
  </si>
  <si>
    <t>101130951610-001</t>
  </si>
  <si>
    <t xml:space="preserve">101130951610	</t>
  </si>
  <si>
    <t>101130959533-001</t>
  </si>
  <si>
    <t xml:space="preserve">101130959533	</t>
  </si>
  <si>
    <t>101131013018-001</t>
  </si>
  <si>
    <t xml:space="preserve">101131013018	</t>
  </si>
  <si>
    <t>101131064033-001</t>
  </si>
  <si>
    <t xml:space="preserve">101131064033	</t>
  </si>
  <si>
    <t>101131094358-001</t>
  </si>
  <si>
    <t xml:space="preserve">101131094358	</t>
  </si>
  <si>
    <t>101131160445-001</t>
  </si>
  <si>
    <t xml:space="preserve">101131160445	</t>
  </si>
  <si>
    <t>101131216709-001</t>
  </si>
  <si>
    <t xml:space="preserve">101131216709	</t>
  </si>
  <si>
    <t>101131458617-001</t>
  </si>
  <si>
    <t xml:space="preserve">101131458617	</t>
  </si>
  <si>
    <t>101131634595-001</t>
  </si>
  <si>
    <t xml:space="preserve">101131634595	</t>
  </si>
  <si>
    <t>107106308722-001</t>
  </si>
  <si>
    <t xml:space="preserve">107106308722	</t>
  </si>
  <si>
    <t>107106888322-001</t>
  </si>
  <si>
    <t xml:space="preserve">107106888322	</t>
  </si>
  <si>
    <t>107111390157-001</t>
  </si>
  <si>
    <t xml:space="preserve">107111390157	</t>
  </si>
  <si>
    <t>107111475675-001</t>
  </si>
  <si>
    <t xml:space="preserve">107111475675	</t>
  </si>
  <si>
    <t>107111539618-001</t>
  </si>
  <si>
    <t xml:space="preserve">107111539618	</t>
  </si>
  <si>
    <t>107111707839-001</t>
  </si>
  <si>
    <t xml:space="preserve">107111707839	</t>
  </si>
  <si>
    <t>107111727169-001</t>
  </si>
  <si>
    <t xml:space="preserve">107111727169	</t>
  </si>
  <si>
    <t>107111763962-001</t>
  </si>
  <si>
    <t xml:space="preserve">107111763962	</t>
  </si>
  <si>
    <t>107111811184-001</t>
  </si>
  <si>
    <t xml:space="preserve">107111811184	</t>
  </si>
  <si>
    <t>107111820785-001</t>
  </si>
  <si>
    <t xml:space="preserve">107111820785	</t>
  </si>
  <si>
    <t>107111929603-001</t>
  </si>
  <si>
    <t xml:space="preserve">107111929603	</t>
  </si>
  <si>
    <t>107111936214-001</t>
  </si>
  <si>
    <t xml:space="preserve">107111936214	</t>
  </si>
  <si>
    <t>107111940009-001</t>
  </si>
  <si>
    <t xml:space="preserve">107111940009	</t>
  </si>
  <si>
    <t>107111983093-001</t>
  </si>
  <si>
    <t xml:space="preserve">107111983093	</t>
  </si>
  <si>
    <t>107111984820-001</t>
  </si>
  <si>
    <t xml:space="preserve">107111984820	</t>
  </si>
  <si>
    <t>107111993609-001</t>
  </si>
  <si>
    <t xml:space="preserve">107111993609	</t>
  </si>
  <si>
    <t>107112028534-001</t>
  </si>
  <si>
    <t xml:space="preserve">107112028534	</t>
  </si>
  <si>
    <t>107112069545-001</t>
  </si>
  <si>
    <t xml:space="preserve">107112069545	</t>
  </si>
  <si>
    <t>107112077174-001</t>
  </si>
  <si>
    <t xml:space="preserve">107112077174	</t>
  </si>
  <si>
    <t>107112083148-001</t>
  </si>
  <si>
    <t xml:space="preserve">107112083148	</t>
  </si>
  <si>
    <t>107112083163-001</t>
  </si>
  <si>
    <t xml:space="preserve">107112083163	</t>
  </si>
  <si>
    <t>107112083173-001</t>
  </si>
  <si>
    <t xml:space="preserve">107112083173	</t>
  </si>
  <si>
    <t>107112102202-001</t>
  </si>
  <si>
    <t xml:space="preserve">107112102202	</t>
  </si>
  <si>
    <t>107112103736-001</t>
  </si>
  <si>
    <t xml:space="preserve">107112103736	</t>
  </si>
  <si>
    <t>107112136965-001</t>
  </si>
  <si>
    <t xml:space="preserve">107112136965	</t>
  </si>
  <si>
    <t>107112154444-001</t>
  </si>
  <si>
    <t xml:space="preserve">107112154444	</t>
  </si>
  <si>
    <t>107112166522-001</t>
  </si>
  <si>
    <t xml:space="preserve">107112166522	</t>
  </si>
  <si>
    <t>107112171168-001</t>
  </si>
  <si>
    <t xml:space="preserve">107112171168	</t>
  </si>
  <si>
    <t>107112191225-001</t>
  </si>
  <si>
    <t xml:space="preserve">107112191225	</t>
  </si>
  <si>
    <t>107112197894-001</t>
  </si>
  <si>
    <t xml:space="preserve">107112197894	</t>
  </si>
  <si>
    <t>107112197937-001</t>
  </si>
  <si>
    <t xml:space="preserve">107112197937	</t>
  </si>
  <si>
    <t>107112198165-001</t>
  </si>
  <si>
    <t xml:space="preserve">107112198165	</t>
  </si>
  <si>
    <t>107112205936-001</t>
  </si>
  <si>
    <t>107112209353-001</t>
  </si>
  <si>
    <t xml:space="preserve">107112209353	</t>
  </si>
  <si>
    <t>107112209965-001</t>
  </si>
  <si>
    <t xml:space="preserve">107112209965	</t>
  </si>
  <si>
    <t>107112217965-001</t>
  </si>
  <si>
    <t xml:space="preserve">107112217965	</t>
  </si>
  <si>
    <t>107112233335-001</t>
  </si>
  <si>
    <t xml:space="preserve">107112233335	</t>
  </si>
  <si>
    <t>107112235776-001</t>
  </si>
  <si>
    <t xml:space="preserve">107112235776	</t>
  </si>
  <si>
    <t>107112242539-001</t>
  </si>
  <si>
    <t xml:space="preserve">107112242539	</t>
  </si>
  <si>
    <t>107112246859-001</t>
  </si>
  <si>
    <t xml:space="preserve">107112246859	</t>
  </si>
  <si>
    <t>107112250944-001</t>
  </si>
  <si>
    <t xml:space="preserve">107112250944	</t>
  </si>
  <si>
    <t>107112261154-001</t>
  </si>
  <si>
    <t xml:space="preserve">107112261154	</t>
  </si>
  <si>
    <t>107112269067-001</t>
  </si>
  <si>
    <t xml:space="preserve">107112269067	</t>
  </si>
  <si>
    <t>107112278618-001</t>
  </si>
  <si>
    <t xml:space="preserve">107112278618	</t>
  </si>
  <si>
    <t>107112283513-001</t>
  </si>
  <si>
    <t xml:space="preserve">107112283513	</t>
  </si>
  <si>
    <t>107112283712-001</t>
  </si>
  <si>
    <t xml:space="preserve">107112283712	</t>
  </si>
  <si>
    <t>107112290191-001</t>
  </si>
  <si>
    <t xml:space="preserve">107112290191	</t>
  </si>
  <si>
    <t>107112290433-001</t>
  </si>
  <si>
    <t xml:space="preserve">107112290433	</t>
  </si>
  <si>
    <t>107112295553-001</t>
  </si>
  <si>
    <t xml:space="preserve">107112295553	</t>
  </si>
  <si>
    <t>107112299316-001</t>
  </si>
  <si>
    <t xml:space="preserve">107112299316	</t>
  </si>
  <si>
    <t>107112305371-001</t>
  </si>
  <si>
    <t xml:space="preserve">107112305371	</t>
  </si>
  <si>
    <t>107112306856-001</t>
  </si>
  <si>
    <t xml:space="preserve">107112306856	</t>
  </si>
  <si>
    <t>107112309363-001</t>
  </si>
  <si>
    <t xml:space="preserve">107112309363	</t>
  </si>
  <si>
    <t>107112316953-001</t>
  </si>
  <si>
    <t xml:space="preserve">107112316953	</t>
  </si>
  <si>
    <t>107112318319-001</t>
  </si>
  <si>
    <t xml:space="preserve">107112318319	</t>
  </si>
  <si>
    <t>107112327557-001</t>
  </si>
  <si>
    <t xml:space="preserve">107112327557	</t>
  </si>
  <si>
    <t>107112328931-001</t>
  </si>
  <si>
    <t xml:space="preserve">107112328931	</t>
  </si>
  <si>
    <t>107112331524-001</t>
  </si>
  <si>
    <t xml:space="preserve">107112331524	</t>
  </si>
  <si>
    <t>107112331898-001</t>
  </si>
  <si>
    <t xml:space="preserve">107112331898	</t>
  </si>
  <si>
    <t>107112333315-001</t>
  </si>
  <si>
    <t xml:space="preserve">107112333315	</t>
  </si>
  <si>
    <t>107112336393-001</t>
  </si>
  <si>
    <t xml:space="preserve">107112336393	</t>
  </si>
  <si>
    <t>107112343424-001</t>
  </si>
  <si>
    <t xml:space="preserve">107112343424	</t>
  </si>
  <si>
    <t>107112346319-001</t>
  </si>
  <si>
    <t xml:space="preserve">107112346319	</t>
  </si>
  <si>
    <t>107112353366-001</t>
  </si>
  <si>
    <t xml:space="preserve">107112353366	</t>
  </si>
  <si>
    <t>107112361831-001</t>
  </si>
  <si>
    <t xml:space="preserve">107112361831	</t>
  </si>
  <si>
    <t>107112369860-001</t>
  </si>
  <si>
    <t xml:space="preserve">107112369860	</t>
  </si>
  <si>
    <t>107112376144-001</t>
  </si>
  <si>
    <t xml:space="preserve">107112376144	</t>
  </si>
  <si>
    <t>107112379629-001</t>
  </si>
  <si>
    <t xml:space="preserve">107112379629	</t>
  </si>
  <si>
    <t>107112384912-001</t>
  </si>
  <si>
    <t xml:space="preserve">107112384912	</t>
  </si>
  <si>
    <t>107112389753-001</t>
  </si>
  <si>
    <t xml:space="preserve">107112389753	</t>
  </si>
  <si>
    <t>107112391867-001</t>
  </si>
  <si>
    <t xml:space="preserve">107112391867	</t>
  </si>
  <si>
    <t>107112392532-001</t>
  </si>
  <si>
    <t xml:space="preserve">107112392532	</t>
  </si>
  <si>
    <t>107112404846-001</t>
  </si>
  <si>
    <t xml:space="preserve">107112404846	</t>
  </si>
  <si>
    <t>107112417266-001</t>
  </si>
  <si>
    <t xml:space="preserve">107112417266	</t>
  </si>
  <si>
    <t>107112422101-001</t>
  </si>
  <si>
    <t xml:space="preserve">107112422101	</t>
  </si>
  <si>
    <t>107112435822-001</t>
  </si>
  <si>
    <t xml:space="preserve">107112435822	</t>
  </si>
  <si>
    <t>107112444178-001</t>
  </si>
  <si>
    <t xml:space="preserve">107112444178	</t>
  </si>
  <si>
    <t>107112452906-001</t>
  </si>
  <si>
    <t xml:space="preserve">107112452906	</t>
  </si>
  <si>
    <t>107112456127-001</t>
  </si>
  <si>
    <t xml:space="preserve">107112456127	</t>
  </si>
  <si>
    <t>107112460003-001</t>
  </si>
  <si>
    <t xml:space="preserve">107112460003	</t>
  </si>
  <si>
    <t>107112462651-001</t>
  </si>
  <si>
    <t xml:space="preserve">107112462651	</t>
  </si>
  <si>
    <t>107112464864-001</t>
  </si>
  <si>
    <t xml:space="preserve">107112464864	</t>
  </si>
  <si>
    <t>107112466550-001</t>
  </si>
  <si>
    <t xml:space="preserve">107112466550	</t>
  </si>
  <si>
    <t>107112470213-001</t>
  </si>
  <si>
    <t xml:space="preserve">107112470213	</t>
  </si>
  <si>
    <t>107112476987-001</t>
  </si>
  <si>
    <t xml:space="preserve">107112476987	</t>
  </si>
  <si>
    <t>107112479350-001</t>
  </si>
  <si>
    <t xml:space="preserve">107112479350	</t>
  </si>
  <si>
    <t>107112493987-001</t>
  </si>
  <si>
    <t xml:space="preserve">107112493987	</t>
  </si>
  <si>
    <t>107112496680-001</t>
  </si>
  <si>
    <t xml:space="preserve">107112496680	</t>
  </si>
  <si>
    <t>107112497805-001</t>
  </si>
  <si>
    <t xml:space="preserve">107112497805	</t>
  </si>
  <si>
    <t>107112498413-001</t>
  </si>
  <si>
    <t xml:space="preserve">107112498413	</t>
  </si>
  <si>
    <t>107112499423-001</t>
  </si>
  <si>
    <t xml:space="preserve">107112499423	</t>
  </si>
  <si>
    <t>107112504607-001</t>
  </si>
  <si>
    <t xml:space="preserve">107112504607	</t>
  </si>
  <si>
    <t>107112509729-001</t>
  </si>
  <si>
    <t xml:space="preserve">107112509729	</t>
  </si>
  <si>
    <t>107112516665-001</t>
  </si>
  <si>
    <t xml:space="preserve">107112516665	</t>
  </si>
  <si>
    <t>107112524298-001</t>
  </si>
  <si>
    <t xml:space="preserve">107112524298	</t>
  </si>
  <si>
    <t>107112529588-001</t>
  </si>
  <si>
    <t xml:space="preserve">107112529588	</t>
  </si>
  <si>
    <t>107112535561-001</t>
  </si>
  <si>
    <t xml:space="preserve">107112535561	</t>
  </si>
  <si>
    <t>107112538502-001</t>
  </si>
  <si>
    <t xml:space="preserve">107112538502	</t>
  </si>
  <si>
    <t>107112552514-001</t>
  </si>
  <si>
    <t xml:space="preserve">107112552514	</t>
  </si>
  <si>
    <t>107112552822-001</t>
  </si>
  <si>
    <t xml:space="preserve">107112552822	</t>
  </si>
  <si>
    <t>107112553051-001</t>
  </si>
  <si>
    <t xml:space="preserve">107112553051	</t>
  </si>
  <si>
    <t>107112556607-001</t>
  </si>
  <si>
    <t xml:space="preserve">107112556607	</t>
  </si>
  <si>
    <t>107112557175-001</t>
  </si>
  <si>
    <t xml:space="preserve">107112557175	</t>
  </si>
  <si>
    <t>107112562410-001</t>
  </si>
  <si>
    <t xml:space="preserve">107112562410	</t>
  </si>
  <si>
    <t>107112567640-001</t>
  </si>
  <si>
    <t xml:space="preserve">107112567640	</t>
  </si>
  <si>
    <t>107112568721-001</t>
  </si>
  <si>
    <t xml:space="preserve">107112568721	</t>
  </si>
  <si>
    <t>107112571761-001</t>
  </si>
  <si>
    <t xml:space="preserve">107112571761	</t>
  </si>
  <si>
    <t>107112575884-001</t>
  </si>
  <si>
    <t xml:space="preserve">107112575884	</t>
  </si>
  <si>
    <t>107112576388-001</t>
  </si>
  <si>
    <t xml:space="preserve">107112576388	</t>
  </si>
  <si>
    <t>107112587444-001</t>
  </si>
  <si>
    <t xml:space="preserve">107112587444	</t>
  </si>
  <si>
    <t>107112587852-001</t>
  </si>
  <si>
    <t xml:space="preserve">107112587852	</t>
  </si>
  <si>
    <t>107112590250-001</t>
  </si>
  <si>
    <t xml:space="preserve">107112590250	</t>
  </si>
  <si>
    <t>107112590731-001</t>
  </si>
  <si>
    <t xml:space="preserve">107112590731	</t>
  </si>
  <si>
    <t>107112590746-001</t>
  </si>
  <si>
    <t xml:space="preserve">107112590746	</t>
  </si>
  <si>
    <t>107112592344-001</t>
  </si>
  <si>
    <t xml:space="preserve">107112592344	</t>
  </si>
  <si>
    <t>107112594084-001</t>
  </si>
  <si>
    <t xml:space="preserve">107112594084	</t>
  </si>
  <si>
    <t>107112598350-001</t>
  </si>
  <si>
    <t xml:space="preserve">107112598350	</t>
  </si>
  <si>
    <t>107112600219-001</t>
  </si>
  <si>
    <t xml:space="preserve">107112600219	</t>
  </si>
  <si>
    <t>107112601974-001</t>
  </si>
  <si>
    <t>107112602426-001</t>
  </si>
  <si>
    <t xml:space="preserve">107112602426	</t>
  </si>
  <si>
    <t>107112605463-001</t>
  </si>
  <si>
    <t xml:space="preserve">107112605463	</t>
  </si>
  <si>
    <t>107112608464-001</t>
  </si>
  <si>
    <t xml:space="preserve">107112608464	</t>
  </si>
  <si>
    <t>107112610087-001</t>
  </si>
  <si>
    <t xml:space="preserve">107112610087	</t>
  </si>
  <si>
    <t>107112610123-001</t>
  </si>
  <si>
    <t xml:space="preserve">107112610123	</t>
  </si>
  <si>
    <t>107112610645-001</t>
  </si>
  <si>
    <t xml:space="preserve">107112610645	</t>
  </si>
  <si>
    <t>107112612966-001</t>
  </si>
  <si>
    <t xml:space="preserve">107112612966	</t>
  </si>
  <si>
    <t>107112617499-001</t>
  </si>
  <si>
    <t xml:space="preserve">107112617499	</t>
  </si>
  <si>
    <t>107112619000-001</t>
  </si>
  <si>
    <t xml:space="preserve">107112619000	</t>
  </si>
  <si>
    <t>107112621527-001</t>
  </si>
  <si>
    <t xml:space="preserve">107112621527	</t>
  </si>
  <si>
    <t>107112621534-001</t>
  </si>
  <si>
    <t xml:space="preserve">107112621534	</t>
  </si>
  <si>
    <t>107112621983-001</t>
  </si>
  <si>
    <t xml:space="preserve">107112621983	</t>
  </si>
  <si>
    <t>107112622529-001</t>
  </si>
  <si>
    <t>107112624485-001</t>
  </si>
  <si>
    <t xml:space="preserve">107112624485	</t>
  </si>
  <si>
    <t>107112626074-001</t>
  </si>
  <si>
    <t xml:space="preserve">107112626074	</t>
  </si>
  <si>
    <t>107112629770-001</t>
  </si>
  <si>
    <t xml:space="preserve">107112629770	</t>
  </si>
  <si>
    <t>107112633046-001</t>
  </si>
  <si>
    <t xml:space="preserve">107112633046	</t>
  </si>
  <si>
    <t>107112633794-001</t>
  </si>
  <si>
    <t xml:space="preserve">107112633794	</t>
  </si>
  <si>
    <t>107112637443-001</t>
  </si>
  <si>
    <t>107112640254-001</t>
  </si>
  <si>
    <t xml:space="preserve">107112640254	</t>
  </si>
  <si>
    <t>107112640722-001</t>
  </si>
  <si>
    <t xml:space="preserve">107112640722	</t>
  </si>
  <si>
    <t>107112642685-001</t>
  </si>
  <si>
    <t xml:space="preserve">107112642685	</t>
  </si>
  <si>
    <t>107112645406-001</t>
  </si>
  <si>
    <t xml:space="preserve">107112645406	</t>
  </si>
  <si>
    <t>107112652329-001</t>
  </si>
  <si>
    <t xml:space="preserve">107112652329	</t>
  </si>
  <si>
    <t>107112652640-001</t>
  </si>
  <si>
    <t xml:space="preserve">107112652640	</t>
  </si>
  <si>
    <t>107112653144-001</t>
  </si>
  <si>
    <t xml:space="preserve">107112653144	</t>
  </si>
  <si>
    <t>107112653316-001</t>
  </si>
  <si>
    <t xml:space="preserve">107112653316	</t>
  </si>
  <si>
    <t>107112654601-001</t>
  </si>
  <si>
    <t xml:space="preserve">107112654601	</t>
  </si>
  <si>
    <t>107112656077-001</t>
  </si>
  <si>
    <t xml:space="preserve">107112656077	</t>
  </si>
  <si>
    <t>107112657404-001</t>
  </si>
  <si>
    <t xml:space="preserve">107112657404	</t>
  </si>
  <si>
    <t>107112660445-001</t>
  </si>
  <si>
    <t xml:space="preserve">107112660445	</t>
  </si>
  <si>
    <t>107112660962-001</t>
  </si>
  <si>
    <t xml:space="preserve">107112660962	</t>
  </si>
  <si>
    <t>107112663876-001</t>
  </si>
  <si>
    <t>107112664181-001</t>
  </si>
  <si>
    <t xml:space="preserve">107112664181	</t>
  </si>
  <si>
    <t>107112664269-001</t>
  </si>
  <si>
    <t xml:space="preserve">107112664269	</t>
  </si>
  <si>
    <t>107112670693-001</t>
  </si>
  <si>
    <t xml:space="preserve">107112670693	</t>
  </si>
  <si>
    <t>107112672786-001</t>
  </si>
  <si>
    <t xml:space="preserve">107112672786	</t>
  </si>
  <si>
    <t>107112675513-001</t>
  </si>
  <si>
    <t xml:space="preserve">107112675513	</t>
  </si>
  <si>
    <t>107112677870-001</t>
  </si>
  <si>
    <t xml:space="preserve">107112677870	</t>
  </si>
  <si>
    <t>107112679830-001</t>
  </si>
  <si>
    <t>107112682577-001</t>
  </si>
  <si>
    <t xml:space="preserve">107112682577	</t>
  </si>
  <si>
    <t>107112697786-001</t>
  </si>
  <si>
    <t xml:space="preserve">107112697786	</t>
  </si>
  <si>
    <t>107112699615-001</t>
  </si>
  <si>
    <t xml:space="preserve">107112699615	</t>
  </si>
  <si>
    <t>107112700446-001</t>
  </si>
  <si>
    <t xml:space="preserve">107112700446	</t>
  </si>
  <si>
    <t>107112700798-001</t>
  </si>
  <si>
    <t xml:space="preserve">107112700798	</t>
  </si>
  <si>
    <t>107112701286-001</t>
  </si>
  <si>
    <t xml:space="preserve">107112701286	</t>
  </si>
  <si>
    <t>107112702614-001</t>
  </si>
  <si>
    <t xml:space="preserve">107112702614	</t>
  </si>
  <si>
    <t>107112705537-001</t>
  </si>
  <si>
    <t xml:space="preserve">107112705537	</t>
  </si>
  <si>
    <t>107112707011-001</t>
  </si>
  <si>
    <t xml:space="preserve">107112707011	</t>
  </si>
  <si>
    <t>107112708646-001</t>
  </si>
  <si>
    <t xml:space="preserve">107112708646	</t>
  </si>
  <si>
    <t>107112717053-001</t>
  </si>
  <si>
    <t xml:space="preserve">107112717053	</t>
  </si>
  <si>
    <t>107112718957-001</t>
  </si>
  <si>
    <t xml:space="preserve">107112718957	</t>
  </si>
  <si>
    <t>107112719541-001</t>
  </si>
  <si>
    <t xml:space="preserve">107112719541	</t>
  </si>
  <si>
    <t>107112720146-001</t>
  </si>
  <si>
    <t>107112728300-001</t>
  </si>
  <si>
    <t xml:space="preserve">107112728300	</t>
  </si>
  <si>
    <t>107112740368-001</t>
  </si>
  <si>
    <t xml:space="preserve">107112740368	</t>
  </si>
  <si>
    <t>107112745462-001</t>
  </si>
  <si>
    <t xml:space="preserve">107112745462	</t>
  </si>
  <si>
    <t>107112750116-001</t>
  </si>
  <si>
    <t xml:space="preserve">107112750116	</t>
  </si>
  <si>
    <t>107112752241-001</t>
  </si>
  <si>
    <t xml:space="preserve">107112752241	</t>
  </si>
  <si>
    <t>107112757529-001</t>
  </si>
  <si>
    <t xml:space="preserve">107112757529	</t>
  </si>
  <si>
    <t>107112762784-001</t>
  </si>
  <si>
    <t xml:space="preserve">107112762784	</t>
  </si>
  <si>
    <t>107112765285-001</t>
  </si>
  <si>
    <t xml:space="preserve">107112765285	</t>
  </si>
  <si>
    <t>107112765383-001</t>
  </si>
  <si>
    <t xml:space="preserve">107112765383	</t>
  </si>
  <si>
    <t>107112775650-001</t>
  </si>
  <si>
    <t xml:space="preserve">107112775650	</t>
  </si>
  <si>
    <t>107112777756-001</t>
  </si>
  <si>
    <t xml:space="preserve">107112777756	</t>
  </si>
  <si>
    <t>107112779353-001</t>
  </si>
  <si>
    <t xml:space="preserve">107112779353	</t>
  </si>
  <si>
    <t>107112782472-001</t>
  </si>
  <si>
    <t xml:space="preserve">107112782472	</t>
  </si>
  <si>
    <t>107112784036-001</t>
  </si>
  <si>
    <t xml:space="preserve">107112784036	</t>
  </si>
  <si>
    <t>107112784537-001</t>
  </si>
  <si>
    <t xml:space="preserve">107112784537	</t>
  </si>
  <si>
    <t>107112791347-001</t>
  </si>
  <si>
    <t xml:space="preserve">107112791347	</t>
  </si>
  <si>
    <t>107112792457-001</t>
  </si>
  <si>
    <t xml:space="preserve">107112792457	</t>
  </si>
  <si>
    <t>107112798785-001</t>
  </si>
  <si>
    <t>107112803295-001</t>
  </si>
  <si>
    <t xml:space="preserve">107112803295	</t>
  </si>
  <si>
    <t>107112803579-001</t>
  </si>
  <si>
    <t xml:space="preserve">107112803579	</t>
  </si>
  <si>
    <t>107112806153-001</t>
  </si>
  <si>
    <t xml:space="preserve">107112806153	</t>
  </si>
  <si>
    <t>107112807713-001</t>
  </si>
  <si>
    <t xml:space="preserve">107112807713	</t>
  </si>
  <si>
    <t>107112808068-001</t>
  </si>
  <si>
    <t xml:space="preserve">107112808068	</t>
  </si>
  <si>
    <t>107112813849-001</t>
  </si>
  <si>
    <t xml:space="preserve">107112813849	</t>
  </si>
  <si>
    <t>107112817606-001</t>
  </si>
  <si>
    <t xml:space="preserve">107112817606	</t>
  </si>
  <si>
    <t>107112824234-001</t>
  </si>
  <si>
    <t xml:space="preserve">107112824234	</t>
  </si>
  <si>
    <t>107112827297-001</t>
  </si>
  <si>
    <t xml:space="preserve">107112827297	</t>
  </si>
  <si>
    <t>107112828521-001</t>
  </si>
  <si>
    <t xml:space="preserve">107112828521	</t>
  </si>
  <si>
    <t>107112841182-001</t>
  </si>
  <si>
    <t xml:space="preserve">107112841182	</t>
  </si>
  <si>
    <t>107112843925-001</t>
  </si>
  <si>
    <t xml:space="preserve">107112843925	</t>
  </si>
  <si>
    <t>107112845576-001</t>
  </si>
  <si>
    <t>107112845911-001</t>
  </si>
  <si>
    <t xml:space="preserve">107112845911	</t>
  </si>
  <si>
    <t>107112858272-001</t>
  </si>
  <si>
    <t xml:space="preserve">107112858272	</t>
  </si>
  <si>
    <t>107112860399-001</t>
  </si>
  <si>
    <t xml:space="preserve">107112860399	</t>
  </si>
  <si>
    <t>107112863914-001</t>
  </si>
  <si>
    <t xml:space="preserve">107112863914	</t>
  </si>
  <si>
    <t>107112869884-001</t>
  </si>
  <si>
    <t xml:space="preserve">107112869884	</t>
  </si>
  <si>
    <t>107112873012-001</t>
  </si>
  <si>
    <t xml:space="preserve">107112873012	</t>
  </si>
  <si>
    <t>107112880391-001</t>
  </si>
  <si>
    <t xml:space="preserve">107112880391	</t>
  </si>
  <si>
    <t>107112884565-001</t>
  </si>
  <si>
    <t xml:space="preserve">107112884565	</t>
  </si>
  <si>
    <t>107112885798-001</t>
  </si>
  <si>
    <t xml:space="preserve">107112885798	</t>
  </si>
  <si>
    <t>107112885802-001</t>
  </si>
  <si>
    <t xml:space="preserve">107112885802	</t>
  </si>
  <si>
    <t>107112887212-001</t>
  </si>
  <si>
    <t xml:space="preserve">107112887212	</t>
  </si>
  <si>
    <t>107112891513-001</t>
  </si>
  <si>
    <t xml:space="preserve">107112891513	</t>
  </si>
  <si>
    <t>107112892665-001</t>
  </si>
  <si>
    <t xml:space="preserve">107112892665	</t>
  </si>
  <si>
    <t>107112893589-001</t>
  </si>
  <si>
    <t xml:space="preserve">107112893589	</t>
  </si>
  <si>
    <t>107112893630-001</t>
  </si>
  <si>
    <t xml:space="preserve">107112893630	</t>
  </si>
  <si>
    <t>107112897565-001</t>
  </si>
  <si>
    <t xml:space="preserve">107112897565	</t>
  </si>
  <si>
    <t>107112901979-001</t>
  </si>
  <si>
    <t xml:space="preserve">107112901979	</t>
  </si>
  <si>
    <t>107112908287-001</t>
  </si>
  <si>
    <t xml:space="preserve">107112908287	</t>
  </si>
  <si>
    <t>107112913803-001</t>
  </si>
  <si>
    <t xml:space="preserve">107112913803	</t>
  </si>
  <si>
    <t>107112914579-001</t>
  </si>
  <si>
    <t xml:space="preserve">107112914579	</t>
  </si>
  <si>
    <t>107112917464-001</t>
  </si>
  <si>
    <t xml:space="preserve">107112917464	</t>
  </si>
  <si>
    <t>107112925365-001</t>
  </si>
  <si>
    <t xml:space="preserve">107112925365	</t>
  </si>
  <si>
    <t>107112926715-001</t>
  </si>
  <si>
    <t xml:space="preserve">107112926715	</t>
  </si>
  <si>
    <t>107112929079-001</t>
  </si>
  <si>
    <t xml:space="preserve">107112929079	</t>
  </si>
  <si>
    <t>107112934799-001</t>
  </si>
  <si>
    <t xml:space="preserve">107112934799	</t>
  </si>
  <si>
    <t>107112950619-001</t>
  </si>
  <si>
    <t xml:space="preserve">107112950619	</t>
  </si>
  <si>
    <t>107112951037-001</t>
  </si>
  <si>
    <t xml:space="preserve">107112951037	</t>
  </si>
  <si>
    <t>107112954373-001</t>
  </si>
  <si>
    <t xml:space="preserve">107112954373	</t>
  </si>
  <si>
    <t>107112967766-001</t>
  </si>
  <si>
    <t xml:space="preserve">107112967766	</t>
  </si>
  <si>
    <t>107112973302-001</t>
  </si>
  <si>
    <t xml:space="preserve">107112973302	</t>
  </si>
  <si>
    <t>107112974183-001</t>
  </si>
  <si>
    <t xml:space="preserve">107112974183	</t>
  </si>
  <si>
    <t>107112983263-001</t>
  </si>
  <si>
    <t xml:space="preserve">107112983263	</t>
  </si>
  <si>
    <t>107112988971-001</t>
  </si>
  <si>
    <t xml:space="preserve">107112988971	</t>
  </si>
  <si>
    <t>107112989677-001</t>
  </si>
  <si>
    <t>107112989755-001</t>
  </si>
  <si>
    <t xml:space="preserve">107112989755	</t>
  </si>
  <si>
    <t>107112992648-001</t>
  </si>
  <si>
    <t xml:space="preserve">107112992648	</t>
  </si>
  <si>
    <t>107113002705-001</t>
  </si>
  <si>
    <t xml:space="preserve">107113002705	</t>
  </si>
  <si>
    <t>107113004258-001</t>
  </si>
  <si>
    <t xml:space="preserve">107113004258	</t>
  </si>
  <si>
    <t>107113006545-001</t>
  </si>
  <si>
    <t xml:space="preserve">107113006545	</t>
  </si>
  <si>
    <t>107113008480-001</t>
  </si>
  <si>
    <t xml:space="preserve">107113008480	</t>
  </si>
  <si>
    <t>107113013330-001</t>
  </si>
  <si>
    <t xml:space="preserve">107113013330	</t>
  </si>
  <si>
    <t>107113013923-001</t>
  </si>
  <si>
    <t xml:space="preserve">107113013923	</t>
  </si>
  <si>
    <t>107113015577-001</t>
  </si>
  <si>
    <t xml:space="preserve">107113015577	</t>
  </si>
  <si>
    <t>107113022670-001</t>
  </si>
  <si>
    <t xml:space="preserve">107113022670	</t>
  </si>
  <si>
    <t>107113026035-001</t>
  </si>
  <si>
    <t xml:space="preserve">107113026035	</t>
  </si>
  <si>
    <t>107113030753-001</t>
  </si>
  <si>
    <t xml:space="preserve">107113030753	</t>
  </si>
  <si>
    <t>107113036643-001</t>
  </si>
  <si>
    <t xml:space="preserve">107113036643	</t>
  </si>
  <si>
    <t>107113048741-001</t>
  </si>
  <si>
    <t xml:space="preserve">107113048741	</t>
  </si>
  <si>
    <t>107113051629-001</t>
  </si>
  <si>
    <t xml:space="preserve">107113051629	</t>
  </si>
  <si>
    <t>107113054965-001</t>
  </si>
  <si>
    <t xml:space="preserve">107113054965	</t>
  </si>
  <si>
    <t>107113057210-001</t>
  </si>
  <si>
    <t xml:space="preserve">107113057210	</t>
  </si>
  <si>
    <t>107113068233-001</t>
  </si>
  <si>
    <t xml:space="preserve">107113068233	</t>
  </si>
  <si>
    <t>107113072594-001</t>
  </si>
  <si>
    <t xml:space="preserve">107113072594	</t>
  </si>
  <si>
    <t>107113105964-001</t>
  </si>
  <si>
    <t xml:space="preserve">107113105964	</t>
  </si>
  <si>
    <t>107113106536-001</t>
  </si>
  <si>
    <t xml:space="preserve">107113106536	</t>
  </si>
  <si>
    <t>107113116925-001</t>
  </si>
  <si>
    <t xml:space="preserve">107113116925	</t>
  </si>
  <si>
    <t>107113139038-001</t>
  </si>
  <si>
    <t xml:space="preserve">107113139038	</t>
  </si>
  <si>
    <t>107113147060-001</t>
  </si>
  <si>
    <t xml:space="preserve">107113147060	</t>
  </si>
  <si>
    <t>107113171713-001</t>
  </si>
  <si>
    <t xml:space="preserve">107113171713	</t>
  </si>
  <si>
    <t>107113387330-001</t>
  </si>
  <si>
    <t xml:space="preserve">107113387330	</t>
  </si>
  <si>
    <t>装修服务商</t>
  </si>
  <si>
    <t>统计日期</t>
  </si>
  <si>
    <t>初始受让金额</t>
  </si>
  <si>
    <t>资产状态</t>
  </si>
  <si>
    <t>最后一期装修款付款时间</t>
  </si>
  <si>
    <t>小区名称</t>
  </si>
  <si>
    <t>城市</t>
  </si>
  <si>
    <t>收房合同编码</t>
  </si>
  <si>
    <t>托管协议签署日期</t>
  </si>
  <si>
    <t>收房合同签约年数</t>
  </si>
  <si>
    <t>回款金额明细</t>
  </si>
  <si>
    <t>后续计划每月回款日</t>
  </si>
  <si>
    <t>后续计划每月回款金额</t>
  </si>
  <si>
    <t>最后一期计划回款时间</t>
  </si>
  <si>
    <t>最后一期计划回款金额</t>
  </si>
  <si>
    <t>南京和艺优装饰工程有限公司</t>
  </si>
  <si>
    <t>正常</t>
  </si>
  <si>
    <t>番南小区</t>
  </si>
  <si>
    <t>上海</t>
  </si>
  <si>
    <t>TG2504077076</t>
  </si>
  <si>
    <t>北京省心装工程管理有限公司</t>
  </si>
  <si>
    <t>慧忠北里第二社区</t>
  </si>
  <si>
    <t>北京</t>
  </si>
  <si>
    <t>TG2503398834</t>
  </si>
  <si>
    <t>北京贝乐禾装饰有限公司</t>
  </si>
  <si>
    <t>市场街</t>
  </si>
  <si>
    <t>TG2505875197</t>
  </si>
  <si>
    <t>上海庆苑建筑装饰集团有限公司</t>
  </si>
  <si>
    <t>华兰雅苑</t>
  </si>
  <si>
    <t>TG2504813200</t>
  </si>
  <si>
    <t>上海千盛邦建筑装饰有限公司</t>
  </si>
  <si>
    <t>淞南小八村</t>
  </si>
  <si>
    <t>TG2505669819</t>
  </si>
  <si>
    <t>公园1872北区</t>
  </si>
  <si>
    <t>TG2504760100</t>
  </si>
  <si>
    <t>中筑宏图（北京）建设工程有限公司</t>
  </si>
  <si>
    <t>垡头北里</t>
  </si>
  <si>
    <t>TG2410759182</t>
  </si>
  <si>
    <t>上海美速家建筑装饰有限公司</t>
  </si>
  <si>
    <t>延吉五村</t>
  </si>
  <si>
    <t>TG2503067345</t>
  </si>
  <si>
    <t>南京弘德装饰工程有限公司</t>
  </si>
  <si>
    <t>公园1872南区</t>
  </si>
  <si>
    <t>TG2506411189</t>
  </si>
  <si>
    <t>华朗（杭州）装饰设计有限公司</t>
  </si>
  <si>
    <t>信罗大厦</t>
  </si>
  <si>
    <t>TG2504934414</t>
  </si>
  <si>
    <t>枣营北里</t>
  </si>
  <si>
    <t>TG2504721036</t>
  </si>
  <si>
    <t>荣信虹桥世嘉</t>
  </si>
  <si>
    <t>TG2504339709</t>
  </si>
  <si>
    <t>天津熙市建筑工程有限公司</t>
  </si>
  <si>
    <t>皂君东里</t>
  </si>
  <si>
    <t>TG2412688856</t>
  </si>
  <si>
    <t>天津冠唯装饰工程有限公司</t>
  </si>
  <si>
    <t>南山前湾拾缦</t>
  </si>
  <si>
    <t>TG2505072609</t>
  </si>
  <si>
    <t>康乐小区(徐汇)</t>
  </si>
  <si>
    <t>TG2505228087</t>
  </si>
  <si>
    <t>金杨新村五街坊</t>
  </si>
  <si>
    <t>TG2503305156</t>
  </si>
  <si>
    <t>上海欣暄装饰工程设计有限公司</t>
  </si>
  <si>
    <t>阳光美景城二期</t>
  </si>
  <si>
    <t>TG2412773900</t>
  </si>
  <si>
    <t>上海虬诗建设有限公司</t>
  </si>
  <si>
    <t>志新村</t>
  </si>
  <si>
    <t>TG2505597859</t>
  </si>
  <si>
    <t>宜川二村</t>
  </si>
  <si>
    <t>TG2505337258</t>
  </si>
  <si>
    <t>美立方</t>
  </si>
  <si>
    <t>TG2504594732</t>
  </si>
  <si>
    <t>青松小区</t>
  </si>
  <si>
    <t>TG2505392134</t>
  </si>
  <si>
    <t>金鹏花园</t>
  </si>
  <si>
    <t>TG2505719434</t>
  </si>
  <si>
    <t>北京品圣建筑装饰有限公司</t>
  </si>
  <si>
    <t>美景东方</t>
  </si>
  <si>
    <t>TG2504334007</t>
  </si>
  <si>
    <t>TG2505938006</t>
  </si>
  <si>
    <t>镇北小区</t>
  </si>
  <si>
    <t>TG2503423913</t>
  </si>
  <si>
    <t>上海优匠优装饰工程有限公司</t>
  </si>
  <si>
    <t>梅六小区</t>
  </si>
  <si>
    <t>TG2503868728</t>
  </si>
  <si>
    <t>北京致一建设有限公司</t>
  </si>
  <si>
    <t>麦子店街</t>
  </si>
  <si>
    <t>TG2504998345</t>
  </si>
  <si>
    <t>灵通观</t>
  </si>
  <si>
    <t>TG2411542081</t>
  </si>
  <si>
    <t>TG2503551037</t>
  </si>
  <si>
    <t>花园路1号院</t>
  </si>
  <si>
    <t>TG2505316450</t>
  </si>
  <si>
    <t>上南四村</t>
  </si>
  <si>
    <t>TG2505084963</t>
  </si>
  <si>
    <t>水碓子东路</t>
  </si>
  <si>
    <t>TG2504345646</t>
  </si>
  <si>
    <t>科技大学家属院(海淀)</t>
  </si>
  <si>
    <t>TG2503977825</t>
  </si>
  <si>
    <t>平江盛世家园</t>
  </si>
  <si>
    <t>TG2505579631</t>
  </si>
  <si>
    <t>永清二村</t>
  </si>
  <si>
    <t>TG2503308173</t>
  </si>
  <si>
    <t>南沙滩小区</t>
  </si>
  <si>
    <t>TG2504966113</t>
  </si>
  <si>
    <t>钦州公寓</t>
  </si>
  <si>
    <t>TG2505593550</t>
  </si>
  <si>
    <t>黄山始信苑</t>
  </si>
  <si>
    <t>TG2504241821</t>
  </si>
  <si>
    <t>中建·玖里书香</t>
  </si>
  <si>
    <t>TG2503936790</t>
  </si>
  <si>
    <t>安贞西里</t>
  </si>
  <si>
    <t>TG2505825271</t>
  </si>
  <si>
    <t>田林十一村</t>
  </si>
  <si>
    <t>TG2506409599</t>
  </si>
  <si>
    <t>百溪公寓</t>
  </si>
  <si>
    <t>TG2502365448</t>
  </si>
  <si>
    <t>碧桂园柏悦前湾</t>
  </si>
  <si>
    <t>TG2503321067</t>
  </si>
  <si>
    <t>南湖渠西里</t>
  </si>
  <si>
    <t>TG2504327234</t>
  </si>
  <si>
    <t>控江路645弄</t>
  </si>
  <si>
    <t>TG2504257410</t>
  </si>
  <si>
    <t>北礼士路北区</t>
  </si>
  <si>
    <t>TG2506549291</t>
  </si>
  <si>
    <t>保利光合臻园</t>
  </si>
  <si>
    <t>TG2503147194</t>
  </si>
  <si>
    <t>港驳小区</t>
  </si>
  <si>
    <t>TG2504315844</t>
  </si>
  <si>
    <t>华发小区</t>
  </si>
  <si>
    <t>TG2504341864</t>
  </si>
  <si>
    <t>银河新都</t>
  </si>
  <si>
    <t>TG2504526480</t>
  </si>
  <si>
    <t>仙霞大郡</t>
  </si>
  <si>
    <t>TG2505015753</t>
  </si>
  <si>
    <t>慈云寺</t>
  </si>
  <si>
    <t>TG2504117780</t>
  </si>
  <si>
    <t>中企云萃森林(东区)</t>
  </si>
  <si>
    <t>TG2504634655</t>
  </si>
  <si>
    <t>杨新路198弄</t>
  </si>
  <si>
    <t>TG2505277163</t>
  </si>
  <si>
    <t>锦程小区</t>
  </si>
  <si>
    <t>TG2505903021</t>
  </si>
  <si>
    <t>临沂六村</t>
  </si>
  <si>
    <t>TG2504241441</t>
  </si>
  <si>
    <t>虹桥璀璨公馆</t>
  </si>
  <si>
    <t>TG2504034538</t>
  </si>
  <si>
    <t>长海一村</t>
  </si>
  <si>
    <t>TG2505012321</t>
  </si>
  <si>
    <t>燕北园</t>
  </si>
  <si>
    <t>TG2503830458</t>
  </si>
  <si>
    <t>斜桥新村</t>
  </si>
  <si>
    <t>TG2503278487</t>
  </si>
  <si>
    <t>香山新园A区</t>
  </si>
  <si>
    <t>TG2503170523</t>
  </si>
  <si>
    <t>苹果园小区三区</t>
  </si>
  <si>
    <t>TG2504990530</t>
  </si>
  <si>
    <t>海淀南路</t>
  </si>
  <si>
    <t>TG2505976542</t>
  </si>
  <si>
    <t>兴都大楼</t>
  </si>
  <si>
    <t>TG2504814188</t>
  </si>
  <si>
    <t>宏汇园小区</t>
  </si>
  <si>
    <t>TG2504487158</t>
  </si>
  <si>
    <t>密三小区</t>
  </si>
  <si>
    <t>TG2504158562</t>
  </si>
  <si>
    <t>上海沪慧荣建筑装饰有限公司</t>
  </si>
  <si>
    <t>德怡苑</t>
  </si>
  <si>
    <t>TG2504498796</t>
  </si>
  <si>
    <t>广电大楼</t>
  </si>
  <si>
    <t>TG2504671454</t>
  </si>
  <si>
    <t>涵华苑</t>
  </si>
  <si>
    <t>TG2505628669</t>
  </si>
  <si>
    <t>康衢小区</t>
  </si>
  <si>
    <t>TG2504964137</t>
  </si>
  <si>
    <t>浦发虹湾</t>
  </si>
  <si>
    <t>TG2506993575</t>
  </si>
  <si>
    <t>江桥二村</t>
  </si>
  <si>
    <t>TG2504826248</t>
  </si>
  <si>
    <t>如意里</t>
  </si>
  <si>
    <t>TG2503254552</t>
  </si>
  <si>
    <t>巨野小区</t>
  </si>
  <si>
    <t>TG2503582403</t>
  </si>
  <si>
    <t>宜川五村</t>
  </si>
  <si>
    <t>TG2505069294</t>
  </si>
  <si>
    <t>高第小区</t>
  </si>
  <si>
    <t>TG2503888412</t>
  </si>
  <si>
    <t>东洲家园</t>
  </si>
  <si>
    <t>TG2501062546</t>
  </si>
  <si>
    <t>中铁·虹桥逸都</t>
  </si>
  <si>
    <t>TG2504305388</t>
  </si>
  <si>
    <t>水霞小区</t>
  </si>
  <si>
    <t>TG2503139544</t>
  </si>
  <si>
    <t>秀水园</t>
  </si>
  <si>
    <t>TG2503228745</t>
  </si>
  <si>
    <t>四道口9号院</t>
  </si>
  <si>
    <t>TG2503190032</t>
  </si>
  <si>
    <t>安贞里</t>
  </si>
  <si>
    <t>TG2506958812</t>
  </si>
  <si>
    <t>德州四村</t>
  </si>
  <si>
    <t>TG2503064078</t>
  </si>
  <si>
    <t>宛南五村</t>
  </si>
  <si>
    <t>TG2503695857</t>
  </si>
  <si>
    <t>安德路55号院</t>
  </si>
  <si>
    <t>TG2506894633</t>
  </si>
  <si>
    <t>教育街</t>
  </si>
  <si>
    <t>TG2505974461</t>
  </si>
  <si>
    <t>安外大街</t>
  </si>
  <si>
    <t>TG2503514089</t>
  </si>
  <si>
    <t>春园</t>
  </si>
  <si>
    <t>TG2503425966</t>
  </si>
  <si>
    <t>金都花好悦园</t>
  </si>
  <si>
    <t>TG2504222380</t>
  </si>
  <si>
    <t>旬阳路344号</t>
  </si>
  <si>
    <t>TG2505655881</t>
  </si>
  <si>
    <t>京棉新城</t>
  </si>
  <si>
    <t>TG2503770595</t>
  </si>
  <si>
    <t>宝林八村</t>
  </si>
  <si>
    <t>TG2504741739</t>
  </si>
  <si>
    <t>南街福苑</t>
  </si>
  <si>
    <t>TG2412274846</t>
  </si>
  <si>
    <t>馨宁公寓</t>
  </si>
  <si>
    <t>TG2505753986</t>
  </si>
  <si>
    <t>辽阳小区</t>
  </si>
  <si>
    <t>TG2502406097</t>
  </si>
  <si>
    <t>叠翠庭苑三区</t>
  </si>
  <si>
    <t>TG2503971831</t>
  </si>
  <si>
    <t>志强南园</t>
  </si>
  <si>
    <t>TG2504379832</t>
  </si>
  <si>
    <t>燕东园</t>
  </si>
  <si>
    <t>TG2505032782</t>
  </si>
  <si>
    <t>莲浦花苑</t>
  </si>
  <si>
    <t>TG2505227154</t>
  </si>
  <si>
    <t>TG2412551878</t>
  </si>
  <si>
    <t>展览路</t>
  </si>
  <si>
    <t>TG2505321531</t>
  </si>
  <si>
    <t>TG2505517204</t>
  </si>
  <si>
    <t>生态园</t>
  </si>
  <si>
    <t>TG2503723167</t>
  </si>
  <si>
    <t>六里屯北里</t>
  </si>
  <si>
    <t>TG2505292189</t>
  </si>
  <si>
    <t>上海弘曳建筑装饰工程有限公司</t>
  </si>
  <si>
    <t>上实望海</t>
  </si>
  <si>
    <t>TG2506694502</t>
  </si>
  <si>
    <t>TG2504234300</t>
  </si>
  <si>
    <t>和平街十一区</t>
  </si>
  <si>
    <t>TG2503113419</t>
  </si>
  <si>
    <t>TG2503104976</t>
  </si>
  <si>
    <t>TG2503966364</t>
  </si>
  <si>
    <t>控江五村</t>
  </si>
  <si>
    <t>TG2504795656</t>
  </si>
  <si>
    <t>上海沪怡佳装饰设计工程有限公司</t>
  </si>
  <si>
    <t>永安新村</t>
  </si>
  <si>
    <t>TG2506644506</t>
  </si>
  <si>
    <t>柏悦翔湾</t>
  </si>
  <si>
    <t>TG2504298899</t>
  </si>
  <si>
    <t>建功北里</t>
  </si>
  <si>
    <t>TG2502403390</t>
  </si>
  <si>
    <t>天安1号</t>
  </si>
  <si>
    <t>TG2503279436</t>
  </si>
  <si>
    <t>裕民路4号院</t>
  </si>
  <si>
    <t>TG2504404748</t>
  </si>
  <si>
    <t>西山奥园</t>
  </si>
  <si>
    <t>TG2505751269</t>
  </si>
  <si>
    <t>梅林小区</t>
  </si>
  <si>
    <t>TG2505193192</t>
  </si>
  <si>
    <t>中交凤启虹桥</t>
  </si>
  <si>
    <t>TG2505586268</t>
  </si>
  <si>
    <t>东大桥路</t>
  </si>
  <si>
    <t>TG2504081466</t>
  </si>
  <si>
    <t>凌兆新村(上浦路202弄)</t>
  </si>
  <si>
    <t>TG2504237669</t>
  </si>
  <si>
    <t>虹园六村</t>
  </si>
  <si>
    <t>TG2412545152</t>
  </si>
  <si>
    <t>榆树馆西里</t>
  </si>
  <si>
    <t>TG2503692450</t>
  </si>
  <si>
    <t>TG2502086422</t>
  </si>
  <si>
    <t>凉城三村</t>
  </si>
  <si>
    <t>TG2503132714</t>
  </si>
  <si>
    <t>芝巷小区</t>
  </si>
  <si>
    <t>TG2504765828</t>
  </si>
  <si>
    <t>欧九小区</t>
  </si>
  <si>
    <t>TG2504363548</t>
  </si>
  <si>
    <t>大名城映辰二期</t>
  </si>
  <si>
    <t>TG2506861231</t>
  </si>
  <si>
    <t>诚康雅苑</t>
  </si>
  <si>
    <t>TG2507026358</t>
  </si>
  <si>
    <t>西井特钢楼</t>
  </si>
  <si>
    <t>TG2503540754</t>
  </si>
  <si>
    <t>徐汇世家花园</t>
  </si>
  <si>
    <t>TG2504663406</t>
  </si>
  <si>
    <t>TG2412551853</t>
  </si>
  <si>
    <t>崂山四村</t>
  </si>
  <si>
    <t>TG2503434809</t>
  </si>
  <si>
    <t>TG2503851956</t>
  </si>
  <si>
    <t>三门路358弄</t>
  </si>
  <si>
    <t>TG2505021386</t>
  </si>
  <si>
    <t>TG2501399756</t>
  </si>
  <si>
    <t>保利珑誉</t>
  </si>
  <si>
    <t>TG2505780605</t>
  </si>
  <si>
    <t>天长市娇阳建筑工程有限公司</t>
  </si>
  <si>
    <t>TG2503909644</t>
  </si>
  <si>
    <t>三丰里小区</t>
  </si>
  <si>
    <t>TG2412189989</t>
  </si>
  <si>
    <t>TG2503348877</t>
  </si>
  <si>
    <t>城南居委小区</t>
  </si>
  <si>
    <t>TG2504612208</t>
  </si>
  <si>
    <t>上海速信佳装饰工程有限公司</t>
  </si>
  <si>
    <t>盛达家园</t>
  </si>
  <si>
    <t>TG2504671365</t>
  </si>
  <si>
    <t>TG2505153695</t>
  </si>
  <si>
    <t>北京米屋科技有限公司</t>
  </si>
  <si>
    <t>夏霖园</t>
  </si>
  <si>
    <t>TG2503793766</t>
  </si>
  <si>
    <t>工商大学东校区</t>
  </si>
  <si>
    <t>TG2505879541</t>
  </si>
  <si>
    <t>上海长聚建筑工程有限公司</t>
  </si>
  <si>
    <t>泗塘四村</t>
  </si>
  <si>
    <t>TG2505067480</t>
  </si>
  <si>
    <t>TG2503633483</t>
  </si>
  <si>
    <t>二里庄小区</t>
  </si>
  <si>
    <t>TG2504036459</t>
  </si>
  <si>
    <t>崮山小区一街坊</t>
  </si>
  <si>
    <t>TG2504721134</t>
  </si>
  <si>
    <t>建发璟院北苑</t>
  </si>
  <si>
    <t>TG2505251408</t>
  </si>
  <si>
    <t>TG2504526718</t>
  </si>
  <si>
    <t>高梁桥斜街44号院</t>
  </si>
  <si>
    <t>TG2503028434</t>
  </si>
  <si>
    <t>同济新村</t>
  </si>
  <si>
    <t>TG2505889303</t>
  </si>
  <si>
    <t>逸仙路773弄</t>
  </si>
  <si>
    <t>TG2504653992</t>
  </si>
  <si>
    <t>向新新村</t>
  </si>
  <si>
    <t>TG2503999952</t>
  </si>
  <si>
    <t>明康雅居</t>
  </si>
  <si>
    <t>TG2505290848</t>
  </si>
  <si>
    <t>TG2504488167</t>
  </si>
  <si>
    <t>凌虹苑</t>
  </si>
  <si>
    <t>TG2504807961</t>
  </si>
  <si>
    <t>上农新村</t>
  </si>
  <si>
    <t>TG2505229908</t>
  </si>
  <si>
    <t>嘉尚坊</t>
  </si>
  <si>
    <t>TG2503709636</t>
  </si>
  <si>
    <t>和平街十四区</t>
  </si>
  <si>
    <t>TG2503874387</t>
  </si>
  <si>
    <t>新源里西</t>
  </si>
  <si>
    <t>TG2504331535</t>
  </si>
  <si>
    <t>宝林枫景苑</t>
  </si>
  <si>
    <t>TG2505619864</t>
  </si>
  <si>
    <t>TG2505710658</t>
  </si>
  <si>
    <t>淞南新五村</t>
  </si>
  <si>
    <t>TG2505713076</t>
  </si>
  <si>
    <t>京西大楼</t>
  </si>
  <si>
    <t>TG2502180794</t>
  </si>
  <si>
    <t>住与家（上海）装饰设计有限公司</t>
  </si>
  <si>
    <t>友谊小区</t>
  </si>
  <si>
    <t>TG2506312439</t>
  </si>
  <si>
    <t>静安里</t>
  </si>
  <si>
    <t>TG2504761526</t>
  </si>
  <si>
    <t>长风二村风荷园</t>
  </si>
  <si>
    <t>TG2504250629</t>
  </si>
  <si>
    <t>陆家嘴国际华城</t>
  </si>
  <si>
    <t>TG2504378535</t>
  </si>
  <si>
    <t>翠微路2号院</t>
  </si>
  <si>
    <t>TG2506640066</t>
  </si>
  <si>
    <t>西直门北大街43号院</t>
  </si>
  <si>
    <t>TG2503855860</t>
  </si>
  <si>
    <t>海滨新村</t>
  </si>
  <si>
    <t>TG2505672302</t>
  </si>
  <si>
    <t>农科院</t>
  </si>
  <si>
    <t>TG2503189036</t>
  </si>
  <si>
    <t>金国大厦</t>
  </si>
  <si>
    <t>TG2503024209</t>
  </si>
  <si>
    <t>横一条</t>
  </si>
  <si>
    <t>TG2504062550</t>
  </si>
  <si>
    <t>宝虹水岸景苑</t>
  </si>
  <si>
    <t>TG2503308268</t>
  </si>
  <si>
    <t>TG2503312770</t>
  </si>
  <si>
    <t>紫叶花园</t>
  </si>
  <si>
    <t>TG2503901644</t>
  </si>
  <si>
    <t>峨山小区</t>
  </si>
  <si>
    <t>TG2504814702</t>
  </si>
  <si>
    <t>TG2505799779</t>
  </si>
  <si>
    <t>璀璨湖畔</t>
  </si>
  <si>
    <t>TG2504824572</t>
  </si>
  <si>
    <t>红馥里</t>
  </si>
  <si>
    <t>TG2504181763</t>
  </si>
  <si>
    <t>TG2504095139</t>
  </si>
  <si>
    <t>百万庄中里</t>
  </si>
  <si>
    <t>TG2505862009</t>
  </si>
  <si>
    <t>艾东小区</t>
  </si>
  <si>
    <t>TG2506585558</t>
  </si>
  <si>
    <t>保利建工海玥天汇</t>
  </si>
  <si>
    <t>TG2505788587</t>
  </si>
  <si>
    <t>凌兆新村(上浦路69弄)</t>
  </si>
  <si>
    <t>TG2504074665</t>
  </si>
  <si>
    <t>北新家园</t>
  </si>
  <si>
    <t>TG2504685665</t>
  </si>
  <si>
    <t>TG2505039189</t>
  </si>
  <si>
    <t>陕西北路640弄</t>
  </si>
  <si>
    <t>TG2501916713</t>
  </si>
  <si>
    <t>崂山六村</t>
  </si>
  <si>
    <t>TG2504096869</t>
  </si>
  <si>
    <t>花苑茶花园</t>
  </si>
  <si>
    <t>TG2505646928</t>
  </si>
  <si>
    <t>金巷小区（10弄3支弄高层）</t>
  </si>
  <si>
    <t>TG2503118412</t>
  </si>
  <si>
    <t>TG2505512004</t>
  </si>
  <si>
    <t>福田邨</t>
  </si>
  <si>
    <t>TG2504754245</t>
  </si>
  <si>
    <t>西直门内大街</t>
  </si>
  <si>
    <t>TG2505700008</t>
  </si>
  <si>
    <t>鹏瑞云璟湾</t>
  </si>
  <si>
    <t>TG2505032919</t>
  </si>
  <si>
    <t>北岸长风</t>
  </si>
  <si>
    <t>TG2502290516</t>
  </si>
  <si>
    <t>TG2502108296</t>
  </si>
  <si>
    <t>永乐西区</t>
  </si>
  <si>
    <t>TG2505651539</t>
  </si>
  <si>
    <t>武宁一村</t>
  </si>
  <si>
    <t>TG2503021315</t>
  </si>
  <si>
    <t>光华里社区</t>
  </si>
  <si>
    <t>TG2504673398</t>
  </si>
  <si>
    <t>鑫耀中城</t>
  </si>
  <si>
    <t>TG2502371087</t>
  </si>
  <si>
    <t>南茶园</t>
  </si>
  <si>
    <t>TG2504448422</t>
  </si>
  <si>
    <t>涵清苑</t>
  </si>
  <si>
    <t>TG2503946604</t>
  </si>
  <si>
    <t>新泾七村</t>
  </si>
  <si>
    <t>TG2503612916</t>
  </si>
  <si>
    <t>金牛苑</t>
  </si>
  <si>
    <t>TG2505412417</t>
  </si>
  <si>
    <t>龙南七村</t>
  </si>
  <si>
    <t>TG2503698469</t>
  </si>
  <si>
    <t>石岚三村</t>
  </si>
  <si>
    <t>TG2505388237</t>
  </si>
  <si>
    <t>宝盛北里</t>
  </si>
  <si>
    <t>TG2506781603</t>
  </si>
  <si>
    <t>马连道北街</t>
  </si>
  <si>
    <t>TG2506603283</t>
  </si>
  <si>
    <t>TG2504908649</t>
  </si>
  <si>
    <t>亮甲店小区</t>
  </si>
  <si>
    <t>TG2503372240</t>
  </si>
  <si>
    <t>通河八村</t>
  </si>
  <si>
    <t>TG2503408876</t>
  </si>
  <si>
    <t>育新花园</t>
  </si>
  <si>
    <t>TG2503096448</t>
  </si>
  <si>
    <t>新泾三村</t>
  </si>
  <si>
    <t>TG2505501290</t>
  </si>
  <si>
    <t>官园胡同</t>
  </si>
  <si>
    <t>TG2503348493</t>
  </si>
  <si>
    <t>昌五小区</t>
  </si>
  <si>
    <t>TG2504965401</t>
  </si>
  <si>
    <t>TG2504103082</t>
  </si>
  <si>
    <t>西斜街</t>
  </si>
  <si>
    <t>TG2504518139</t>
  </si>
  <si>
    <t>控江二村107弄小区</t>
  </si>
  <si>
    <t>TG2503503620</t>
  </si>
  <si>
    <t>今典花园</t>
  </si>
  <si>
    <t>TG2506464268</t>
  </si>
  <si>
    <t>TG2504211184</t>
  </si>
  <si>
    <t>上海筑家家建筑装饰有限公司</t>
  </si>
  <si>
    <t>民星路600弄</t>
  </si>
  <si>
    <t>TG2506726188</t>
  </si>
  <si>
    <t>金葵新城(西区)</t>
  </si>
  <si>
    <t>TG2504696460</t>
  </si>
  <si>
    <t>乐怡苑(普陀)</t>
  </si>
  <si>
    <t>TG2505274549</t>
  </si>
  <si>
    <t>仁怡苑</t>
  </si>
  <si>
    <t>TG2503451706</t>
  </si>
  <si>
    <t>北重西厂</t>
  </si>
  <si>
    <t>TG2503758669</t>
  </si>
  <si>
    <t>知春路2号院</t>
  </si>
  <si>
    <t>TG2505063927</t>
  </si>
  <si>
    <t>三门路510弄</t>
  </si>
  <si>
    <t>TG2505659647</t>
  </si>
  <si>
    <t>梅岭园</t>
  </si>
  <si>
    <t>TG2504921849</t>
  </si>
  <si>
    <t>香山苑</t>
  </si>
  <si>
    <t>TG2504266348</t>
  </si>
  <si>
    <t>红庙北里</t>
  </si>
  <si>
    <t>TG2504918693</t>
  </si>
  <si>
    <t>团结湖北里</t>
  </si>
  <si>
    <t>TG2504001489</t>
  </si>
  <si>
    <t>北航家属院</t>
  </si>
  <si>
    <t>TG2410574669</t>
  </si>
  <si>
    <t>象屿虹桥悦府</t>
  </si>
  <si>
    <t>TG2505273451</t>
  </si>
  <si>
    <t>新黄小区</t>
  </si>
  <si>
    <t>TG2503565430</t>
  </si>
  <si>
    <t>安翔南里</t>
  </si>
  <si>
    <t>TG2503174928</t>
  </si>
  <si>
    <t>沪东新村</t>
  </si>
  <si>
    <t>TG2504365451</t>
  </si>
  <si>
    <t>凯旋一村</t>
  </si>
  <si>
    <t>TG2505531054</t>
  </si>
  <si>
    <t>莲溪六村</t>
  </si>
  <si>
    <t>TG2505525190</t>
  </si>
  <si>
    <t>共和五村</t>
  </si>
  <si>
    <t>TG2504985886</t>
  </si>
  <si>
    <t>富国里小区</t>
  </si>
  <si>
    <t>TG2503460447</t>
  </si>
  <si>
    <t>TG2505807389</t>
  </si>
  <si>
    <t>瑞光胡同</t>
  </si>
  <si>
    <t>TG2504179649</t>
  </si>
  <si>
    <t>宋庄路12号院</t>
  </si>
  <si>
    <t>TG2505724394</t>
  </si>
  <si>
    <t>华发古美华府二期</t>
  </si>
  <si>
    <t>TG2504581345</t>
  </si>
  <si>
    <t>欧洲凯城园</t>
  </si>
  <si>
    <t>TG2505774145</t>
  </si>
  <si>
    <t>三航小区</t>
  </si>
  <si>
    <t>TG2503977038</t>
  </si>
  <si>
    <t>TG2504851461</t>
  </si>
  <si>
    <t>首长公寓</t>
  </si>
  <si>
    <t>TG2503370646</t>
  </si>
  <si>
    <t>海防新村</t>
  </si>
  <si>
    <t>TG2501248594</t>
  </si>
  <si>
    <t>化工大院</t>
  </si>
  <si>
    <t>TG2505946087</t>
  </si>
  <si>
    <t>蓝高小区</t>
  </si>
  <si>
    <t>TG2503064898</t>
  </si>
  <si>
    <t>长桥一村</t>
  </si>
  <si>
    <t>TG2503479324</t>
  </si>
  <si>
    <t>龙华园</t>
  </si>
  <si>
    <t>TG2503742364</t>
  </si>
  <si>
    <t>吉庆里东区</t>
  </si>
  <si>
    <t>TG2503307715</t>
  </si>
  <si>
    <t>海尚明城</t>
  </si>
  <si>
    <t>TG2503306102</t>
  </si>
  <si>
    <t>凌雪苑</t>
  </si>
  <si>
    <t>TG2504008237</t>
  </si>
  <si>
    <t>潼港二村</t>
  </si>
  <si>
    <t>TG2504321800</t>
  </si>
  <si>
    <t>安立花园</t>
  </si>
  <si>
    <t>TG2504301120</t>
  </si>
  <si>
    <t>TG2506570093</t>
  </si>
  <si>
    <t>上钢三村</t>
  </si>
  <si>
    <t>TG2504535296</t>
  </si>
  <si>
    <t>湖畔天下一期</t>
  </si>
  <si>
    <t>TG2505613988</t>
  </si>
  <si>
    <t>北京市农学院家属宿舍</t>
  </si>
  <si>
    <t>TG2504775561</t>
  </si>
  <si>
    <t>TG2504908404</t>
  </si>
  <si>
    <t>北沙滩1号院</t>
  </si>
  <si>
    <t>TG2412988907</t>
  </si>
  <si>
    <t>朝阳园</t>
  </si>
  <si>
    <t>TG2412235367</t>
  </si>
  <si>
    <t>上南路3827弄</t>
  </si>
  <si>
    <t>TG2502295883</t>
  </si>
  <si>
    <t>东湾小区</t>
  </si>
  <si>
    <t>TG2505773038</t>
  </si>
  <si>
    <t>三里河一区3号院</t>
  </si>
  <si>
    <t>TG2504752464</t>
  </si>
  <si>
    <t>淞南一村</t>
  </si>
  <si>
    <t>TG2504010068</t>
  </si>
  <si>
    <t>TG2411514141</t>
  </si>
  <si>
    <t>梅园新村(浦东)</t>
  </si>
  <si>
    <t>TG2503436595</t>
  </si>
  <si>
    <t>水电新村</t>
  </si>
  <si>
    <t>TG2503050692</t>
  </si>
  <si>
    <t>南新四村</t>
  </si>
  <si>
    <t>TG2505634153</t>
  </si>
  <si>
    <t>建发璟院南苑</t>
  </si>
  <si>
    <t>TG2506439151</t>
  </si>
  <si>
    <t>尚海湾豪庭三期</t>
  </si>
  <si>
    <t>TG2503368749</t>
  </si>
  <si>
    <t>八大处整形医院家属楼</t>
  </si>
  <si>
    <t>TG2505619901</t>
  </si>
  <si>
    <t>朝悦居</t>
  </si>
  <si>
    <t>TG2503024310</t>
  </si>
  <si>
    <t>TG2504588922</t>
  </si>
  <si>
    <t>万达广场(松江)</t>
  </si>
  <si>
    <t>TG2504451154</t>
  </si>
  <si>
    <t>TG2505151227</t>
  </si>
  <si>
    <t>巨西小区</t>
  </si>
  <si>
    <t>TG2505816411</t>
  </si>
  <si>
    <t>水碓子社区</t>
  </si>
  <si>
    <t>TG2504292996</t>
  </si>
  <si>
    <t>密云小区</t>
  </si>
  <si>
    <t>TG2503819507</t>
  </si>
  <si>
    <t>国典华园</t>
  </si>
  <si>
    <t>TG2505713117</t>
  </si>
  <si>
    <t>寿二小区</t>
  </si>
  <si>
    <t>TG2505192371</t>
  </si>
  <si>
    <t>TG2504699144</t>
  </si>
  <si>
    <t>杨桥第一小区</t>
  </si>
  <si>
    <t>TG2504796767</t>
  </si>
  <si>
    <t>丽都职工公寓</t>
  </si>
  <si>
    <t>TG2503205484</t>
  </si>
  <si>
    <t>中怡家园</t>
  </si>
  <si>
    <t>TG2504122974</t>
  </si>
  <si>
    <t>金隅汇星苑</t>
  </si>
  <si>
    <t>TG2504246317</t>
  </si>
  <si>
    <t>中福花苑</t>
  </si>
  <si>
    <t>TG2503443562</t>
  </si>
  <si>
    <t>开元地中海</t>
  </si>
  <si>
    <t>TG2503905788</t>
  </si>
  <si>
    <t>曙光西里</t>
  </si>
  <si>
    <t>TG2506115975</t>
  </si>
  <si>
    <t>TG2505157931</t>
  </si>
  <si>
    <t>天安象屿萃湖臻境</t>
  </si>
  <si>
    <t>TG2505794427</t>
  </si>
  <si>
    <t>青年湖南里</t>
  </si>
  <si>
    <t>TG2503280015</t>
  </si>
  <si>
    <t>钦江大楼</t>
  </si>
  <si>
    <t>TG2503503484</t>
  </si>
  <si>
    <t>TG2505557441</t>
  </si>
  <si>
    <t>海申花园</t>
  </si>
  <si>
    <t>TG2503241411</t>
  </si>
  <si>
    <t>三林新村(永泰路133弄)</t>
  </si>
  <si>
    <t>TG2504006228</t>
  </si>
  <si>
    <t>甘泉三村</t>
  </si>
  <si>
    <t>TG2503216713</t>
  </si>
  <si>
    <t>绿地海珀璞晖</t>
  </si>
  <si>
    <t>TG2503168226</t>
  </si>
  <si>
    <t>金地虹桥峯汇</t>
  </si>
  <si>
    <t>TG2504899733</t>
  </si>
  <si>
    <t>东沙小区</t>
  </si>
  <si>
    <t>TG2504813008</t>
  </si>
  <si>
    <t>光复西路2163弄</t>
  </si>
  <si>
    <t>TG2503688951</t>
  </si>
  <si>
    <t>TG2504053049</t>
  </si>
  <si>
    <t>TG2502155990</t>
  </si>
  <si>
    <t>TG2505405285</t>
  </si>
  <si>
    <t>城市方园</t>
  </si>
  <si>
    <t>TG2505642501</t>
  </si>
  <si>
    <t>日晖六村</t>
  </si>
  <si>
    <t>TG2503408263</t>
  </si>
  <si>
    <t>钢铁研究院</t>
  </si>
  <si>
    <t>TG2501541142</t>
  </si>
  <si>
    <t>招商象屿蟠龙府2期</t>
  </si>
  <si>
    <t>TG2504973496</t>
  </si>
  <si>
    <t>扣钟北里西区</t>
  </si>
  <si>
    <t>TG2505794553</t>
  </si>
  <si>
    <t>TG2412859923</t>
  </si>
  <si>
    <t>静安新城三区</t>
  </si>
  <si>
    <t>TG2505405819</t>
  </si>
  <si>
    <t>马甸南村</t>
  </si>
  <si>
    <t>TG2504625830</t>
  </si>
  <si>
    <t>北影小区</t>
  </si>
  <si>
    <t>TG2503404547</t>
  </si>
  <si>
    <t>殷行路451弄</t>
  </si>
  <si>
    <t>TG2505836101</t>
  </si>
  <si>
    <t>TG2505402531</t>
  </si>
  <si>
    <t>人乐小区</t>
  </si>
  <si>
    <t>TG2505584210</t>
  </si>
  <si>
    <t>天山路675号</t>
  </si>
  <si>
    <t>TG2503506318</t>
  </si>
  <si>
    <t>建发华发古美华庭</t>
  </si>
  <si>
    <t>TG2505850532</t>
  </si>
  <si>
    <t>平凉路1640号</t>
  </si>
  <si>
    <t>TG2505306017</t>
  </si>
  <si>
    <t>控江路1670弄</t>
  </si>
  <si>
    <t>TG2504048596</t>
  </si>
  <si>
    <t>TG2412490566</t>
  </si>
  <si>
    <t>西黄城根南街一区</t>
  </si>
  <si>
    <t>TG2503673758</t>
  </si>
  <si>
    <t>八角中里</t>
  </si>
  <si>
    <t>TG2505678682</t>
  </si>
  <si>
    <t>乾耀东港</t>
  </si>
  <si>
    <t>TG2506391498</t>
  </si>
  <si>
    <t>TG2504614536</t>
  </si>
  <si>
    <t>南新三村</t>
  </si>
  <si>
    <t>TG2504960122</t>
  </si>
  <si>
    <t>TG2504297906</t>
  </si>
  <si>
    <t>东三小区</t>
  </si>
  <si>
    <t>TG2504050047</t>
  </si>
  <si>
    <t>共江小区</t>
  </si>
  <si>
    <t>TG2504596938</t>
  </si>
  <si>
    <t>百万庄生肖区</t>
  </si>
  <si>
    <t>TG2505208544</t>
  </si>
  <si>
    <t>八一中学家属院</t>
  </si>
  <si>
    <t>TG2504788340</t>
  </si>
  <si>
    <t>西三环北路23号院</t>
  </si>
  <si>
    <t>TG2503941515</t>
  </si>
  <si>
    <t>芙蓉小区</t>
  </si>
  <si>
    <t>TG2503509867</t>
  </si>
  <si>
    <t>TG2505947143</t>
  </si>
  <si>
    <t>汇福家园兴盛里北</t>
  </si>
  <si>
    <t>TG2505838562</t>
  </si>
  <si>
    <t>恒丰大楼(静安)</t>
  </si>
  <si>
    <t>TG2502689735</t>
  </si>
  <si>
    <t>中建玖海云天</t>
  </si>
  <si>
    <t>TG2505365465</t>
  </si>
  <si>
    <t>中凯城市之光(静安)</t>
  </si>
  <si>
    <t>TG2504519072</t>
  </si>
  <si>
    <t>小黄庄前街2号院</t>
  </si>
  <si>
    <t>TG2506535449</t>
  </si>
  <si>
    <t>三泉路424弄</t>
  </si>
  <si>
    <t>TG2502021184</t>
  </si>
  <si>
    <t>延北小区</t>
  </si>
  <si>
    <t>TG2504396921</t>
  </si>
  <si>
    <t>太阳国际公馆</t>
  </si>
  <si>
    <t>TG2505579531</t>
  </si>
  <si>
    <t>潍坊九村</t>
  </si>
  <si>
    <t>TG2503349466</t>
  </si>
  <si>
    <t>海特花园西区</t>
  </si>
  <si>
    <t>TG2504395732</t>
  </si>
  <si>
    <t>TG2505712208</t>
  </si>
  <si>
    <t>TG2504993110</t>
  </si>
  <si>
    <t>TG2504109981</t>
  </si>
  <si>
    <t>凌海苑</t>
  </si>
  <si>
    <t>TG2504578830</t>
  </si>
  <si>
    <t>水碓子东里</t>
  </si>
  <si>
    <t>TG2504742898</t>
  </si>
  <si>
    <t>大湾名苑</t>
  </si>
  <si>
    <t>TG2505725127</t>
  </si>
  <si>
    <t>东方颐城</t>
  </si>
  <si>
    <t>TG2505549140</t>
  </si>
  <si>
    <t>真光第四小区</t>
  </si>
  <si>
    <t>TG2505924535</t>
  </si>
  <si>
    <t>培花七村</t>
  </si>
  <si>
    <t>TG2504348110</t>
  </si>
  <si>
    <t>荣盛名邸(公寓)</t>
  </si>
  <si>
    <t>TG2506195265</t>
  </si>
  <si>
    <t>亿朋苑三区</t>
  </si>
  <si>
    <t>TG2412720727</t>
  </si>
  <si>
    <t>桃浦新家园</t>
  </si>
  <si>
    <t>TG2504998366</t>
  </si>
  <si>
    <t>TG2503559009</t>
  </si>
  <si>
    <t>象屿路劲·都匯云境</t>
  </si>
  <si>
    <t>TG2504784508</t>
  </si>
  <si>
    <t>厂甸11号院</t>
  </si>
  <si>
    <t>TG2501286613</t>
  </si>
  <si>
    <t>天朗园</t>
  </si>
  <si>
    <t>TG2504271202</t>
  </si>
  <si>
    <t>东风小区(闵行)</t>
  </si>
  <si>
    <t>TG2504664309</t>
  </si>
  <si>
    <t>凤城四村</t>
  </si>
  <si>
    <t>TG2504095194</t>
  </si>
  <si>
    <t>西罗园一区</t>
  </si>
  <si>
    <t>TG2412712166</t>
  </si>
  <si>
    <t>虹桥灿耀星城(星尚庭)</t>
  </si>
  <si>
    <t>TG2504761395</t>
  </si>
  <si>
    <t>TG2504918339</t>
  </si>
  <si>
    <t>南线阁</t>
  </si>
  <si>
    <t>TG2411160990</t>
  </si>
  <si>
    <t>安慧北里小区</t>
  </si>
  <si>
    <t>TG2503258829</t>
  </si>
  <si>
    <t>十里堡</t>
  </si>
  <si>
    <t>TG2505496755</t>
  </si>
  <si>
    <t>金杨新村四街坊</t>
  </si>
  <si>
    <t>TG2412747294</t>
  </si>
  <si>
    <t>TG2503062759</t>
  </si>
  <si>
    <t>漕溪一村</t>
  </si>
  <si>
    <t>TG2506389874</t>
  </si>
  <si>
    <t>临沂八村</t>
  </si>
  <si>
    <t>TG2504863838</t>
  </si>
  <si>
    <t>长源小区</t>
  </si>
  <si>
    <t>TG2505389838</t>
  </si>
  <si>
    <t>民族大学南路19号院</t>
  </si>
  <si>
    <t>TG2502889396</t>
  </si>
  <si>
    <t>和玫坊</t>
  </si>
  <si>
    <t>TG2505160184</t>
  </si>
  <si>
    <t>TG2503384420</t>
  </si>
  <si>
    <t>融泽嘉园西二路2号院</t>
  </si>
  <si>
    <t>TG2503074279</t>
  </si>
  <si>
    <t>冠英园小区</t>
  </si>
  <si>
    <t>TG2505882830</t>
  </si>
  <si>
    <t>TG2504560538</t>
  </si>
  <si>
    <t>TG2412779128</t>
  </si>
  <si>
    <t>双阳路490弄</t>
  </si>
  <si>
    <t>TG2504936929</t>
  </si>
  <si>
    <t>TG2504048143</t>
  </si>
  <si>
    <t>安华西里社区</t>
  </si>
  <si>
    <t>TG2505872350</t>
  </si>
  <si>
    <t>市光三村</t>
  </si>
  <si>
    <t>TG2505361857</t>
  </si>
  <si>
    <t>四平路幸福村</t>
  </si>
  <si>
    <t>TG2506813478</t>
  </si>
  <si>
    <t>双合家园C区</t>
  </si>
  <si>
    <t>TG2504997447</t>
  </si>
  <si>
    <t>黄寺大街24号院</t>
  </si>
  <si>
    <t>TG2503762168</t>
  </si>
  <si>
    <t>铁路新村(杨浦)</t>
  </si>
  <si>
    <t>TG2504627119</t>
  </si>
  <si>
    <t>绿川小区东区</t>
  </si>
  <si>
    <t>TG2503129245</t>
  </si>
  <si>
    <t>九歌花园</t>
  </si>
  <si>
    <t>TG2504508829</t>
  </si>
  <si>
    <t>龙南三四村</t>
  </si>
  <si>
    <t>TG2505475511</t>
  </si>
  <si>
    <t>茅台花苑</t>
  </si>
  <si>
    <t>TG2504305652</t>
  </si>
  <si>
    <t>宜川六村</t>
  </si>
  <si>
    <t>TG2505557358</t>
  </si>
  <si>
    <t>国和一村</t>
  </si>
  <si>
    <t>TG2505181435</t>
  </si>
  <si>
    <t>TG2505886498</t>
  </si>
  <si>
    <t>共和一村</t>
  </si>
  <si>
    <t>TG2505668004</t>
  </si>
  <si>
    <t>风林绿洲</t>
  </si>
  <si>
    <t>TG2505987700</t>
  </si>
  <si>
    <t>世华龙樾一期西区</t>
  </si>
  <si>
    <t>TG2504826866</t>
  </si>
  <si>
    <t>塔院小区</t>
  </si>
  <si>
    <t>TG2505741462</t>
  </si>
  <si>
    <t>东陆新村六街坊</t>
  </si>
  <si>
    <t>TG2503893087</t>
  </si>
  <si>
    <t>新村路350弄</t>
  </si>
  <si>
    <t>TG2503326108</t>
  </si>
  <si>
    <t>TG2503149015</t>
  </si>
  <si>
    <t>金龙花苑玫瑰园</t>
  </si>
  <si>
    <t>TG2502045846</t>
  </si>
  <si>
    <t>西王庄小区</t>
  </si>
  <si>
    <t>TG2505176469</t>
  </si>
  <si>
    <t>陈家宅小区(浦东大道)</t>
  </si>
  <si>
    <t>TG2412034267</t>
  </si>
  <si>
    <t>已全额还款</t>
  </si>
  <si>
    <t>否</t>
    <phoneticPr fontId="2" type="noConversion"/>
  </si>
  <si>
    <t>107112633794-001</t>
    <phoneticPr fontId="2" type="noConversion"/>
  </si>
  <si>
    <t>107112497805-001</t>
    <phoneticPr fontId="2" type="noConversion"/>
  </si>
  <si>
    <t>当期还款日期</t>
  </si>
  <si>
    <t>已全额还款</t>
    <phoneticPr fontId="2" type="noConversion"/>
  </si>
  <si>
    <t>否</t>
  </si>
  <si>
    <t xml:space="preserve">101128409796	</t>
  </si>
  <si>
    <t xml:space="preserve">101129349340	</t>
  </si>
  <si>
    <t xml:space="preserve">101129460405	</t>
  </si>
  <si>
    <t xml:space="preserve">101130428817	</t>
  </si>
  <si>
    <t xml:space="preserve">107112205936	</t>
  </si>
  <si>
    <t xml:space="preserve">107112601974	</t>
  </si>
  <si>
    <t xml:space="preserve">107112622529	</t>
  </si>
  <si>
    <t xml:space="preserve">107112637443	</t>
  </si>
  <si>
    <t xml:space="preserve">107112663876	</t>
  </si>
  <si>
    <t xml:space="preserve">107112679830	</t>
  </si>
  <si>
    <t xml:space="preserve">107112720146	</t>
  </si>
  <si>
    <t xml:space="preserve">107112798785	</t>
  </si>
  <si>
    <t xml:space="preserve">107112845576	</t>
  </si>
  <si>
    <t xml:space="preserve">107112989677	</t>
  </si>
  <si>
    <t>当期账单日</t>
    <phoneticPr fontId="2" type="noConversion"/>
  </si>
  <si>
    <t>已还款金额</t>
    <phoneticPr fontId="2" type="noConversion"/>
  </si>
  <si>
    <t>剩余还款金额</t>
    <phoneticPr fontId="2" type="noConversion"/>
  </si>
  <si>
    <t>提前还款</t>
    <phoneticPr fontId="2" type="noConversion"/>
  </si>
  <si>
    <t>系统提单bug需剔除</t>
    <phoneticPr fontId="2" type="noConversion"/>
  </si>
  <si>
    <t>解约重签房源</t>
    <phoneticPr fontId="2" type="noConversion"/>
  </si>
  <si>
    <t>待置换资产</t>
    <phoneticPr fontId="2" type="noConversion"/>
  </si>
  <si>
    <t>原还款明细</t>
    <phoneticPr fontId="2" type="noConversion"/>
  </si>
  <si>
    <t>提前支付账单</t>
    <phoneticPr fontId="2" type="noConversion"/>
  </si>
  <si>
    <t>101130387057-001</t>
    <phoneticPr fontId="2" type="noConversion"/>
  </si>
  <si>
    <t>107112361831-001</t>
    <phoneticPr fontId="2" type="noConversion"/>
  </si>
  <si>
    <t>异常订单线下提单明细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</si>
</sst>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yyyy&quot;年&quot;m&quot;月&quot;d&quot;日&quot;;@"/>
    <numFmt numFmtId="177" formatCode="0.00_ "/>
    <numFmt numFmtId="178" formatCode="0_ "/>
    <numFmt numFmtId="179" formatCode="0_);[Red]\(0\)"/>
  </numFmts>
  <fonts count="8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Noto Sans CJK SC"/>
      <family val="2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  <xf numFmtId="176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1" fillId="2" borderId="0" xfId="0" applyNumberFormat="1" applyFont="1" applyFill="1" applyAlignment="1">
      <alignment horizontal="right" vertical="center"/>
    </xf>
    <xf numFmtId="176" fontId="1" fillId="2" borderId="0" xfId="0" applyNumberFormat="1" applyFont="1" applyFill="1" applyAlignment="1">
      <alignment horizontal="right"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7" fontId="1" fillId="4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177" fontId="6" fillId="5" borderId="0" xfId="0" applyNumberFormat="1" applyFont="1" applyFill="1" applyAlignment="1">
      <alignment horizontal="right" vertical="center"/>
    </xf>
    <xf numFmtId="178" fontId="5" fillId="0" borderId="0" xfId="0" applyNumberFormat="1" applyFont="1">
      <alignment vertical="center"/>
    </xf>
    <xf numFmtId="177" fontId="5" fillId="0" borderId="0" xfId="0" applyNumberFormat="1" applyFont="1" applyAlignment="1">
      <alignment horizontal="right" vertical="center"/>
    </xf>
    <xf numFmtId="0" fontId="0" fillId="0" borderId="0" xfId="0" applyAlignment="1"/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/>
    <xf numFmtId="0" fontId="7" fillId="0" borderId="0" xfId="0" applyFont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90D8-3B04-4D27-BD85-4BCE1BC57CA1}">
  <dimension ref="A1:O1161"/>
  <sheetViews>
    <sheetView workbookViewId="0">
      <selection activeCell="L2" sqref="L2:L1161"/>
    </sheetView>
  </sheetViews>
  <sheetFormatPr baseColWidth="10" defaultColWidth="8.83203125" defaultRowHeight="14"/>
  <cols>
    <col min="2" max="2" width="31.5" bestFit="1" customWidth="1"/>
    <col min="3" max="3" width="18.33203125" bestFit="1" customWidth="1"/>
    <col min="4" max="4" width="13.83203125" bestFit="1" customWidth="1"/>
    <col min="5" max="5" width="18.33203125" bestFit="1" customWidth="1"/>
    <col min="13" max="13" width="15" bestFit="1" customWidth="1"/>
    <col min="14" max="15" width="13.832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1639</v>
      </c>
      <c r="N1" t="s">
        <v>12</v>
      </c>
      <c r="O1" t="s">
        <v>13</v>
      </c>
    </row>
    <row r="2" spans="1:15">
      <c r="A2" s="6" t="s">
        <v>14</v>
      </c>
      <c r="B2" t="s">
        <v>15</v>
      </c>
      <c r="C2" t="s">
        <v>16</v>
      </c>
      <c r="D2" t="s">
        <v>17</v>
      </c>
      <c r="E2" s="1">
        <v>45929</v>
      </c>
      <c r="F2">
        <v>1</v>
      </c>
      <c r="G2">
        <v>0</v>
      </c>
      <c r="H2">
        <v>97419</v>
      </c>
      <c r="I2">
        <v>0</v>
      </c>
      <c r="J2">
        <f>H2-I2</f>
        <v>97419</v>
      </c>
      <c r="K2" t="s">
        <v>1640</v>
      </c>
      <c r="L2">
        <v>0</v>
      </c>
      <c r="M2" s="1">
        <f>E2</f>
        <v>45929</v>
      </c>
      <c r="N2" t="s">
        <v>1641</v>
      </c>
      <c r="O2">
        <v>0</v>
      </c>
    </row>
    <row r="3" spans="1:15">
      <c r="A3" s="6" t="s">
        <v>14</v>
      </c>
      <c r="B3" t="s">
        <v>15</v>
      </c>
      <c r="C3" t="s">
        <v>18</v>
      </c>
      <c r="D3" t="s">
        <v>19</v>
      </c>
      <c r="E3" s="1">
        <v>45929</v>
      </c>
      <c r="F3">
        <v>1</v>
      </c>
      <c r="G3">
        <v>1211.33</v>
      </c>
      <c r="H3">
        <v>49162</v>
      </c>
      <c r="I3">
        <v>0</v>
      </c>
      <c r="J3">
        <f t="shared" ref="J3:J66" si="0">H3-I3</f>
        <v>49162</v>
      </c>
      <c r="K3" t="s">
        <v>1640</v>
      </c>
      <c r="L3">
        <v>1211.33</v>
      </c>
      <c r="M3" s="1">
        <f t="shared" ref="M3:M66" si="1">E3</f>
        <v>45929</v>
      </c>
      <c r="N3" t="s">
        <v>1641</v>
      </c>
      <c r="O3">
        <v>0</v>
      </c>
    </row>
    <row r="4" spans="1:15">
      <c r="A4" s="6" t="s">
        <v>14</v>
      </c>
      <c r="B4" t="s">
        <v>15</v>
      </c>
      <c r="C4" t="s">
        <v>20</v>
      </c>
      <c r="D4" t="s">
        <v>21</v>
      </c>
      <c r="E4" s="1">
        <v>45929</v>
      </c>
      <c r="F4">
        <v>1</v>
      </c>
      <c r="G4">
        <v>0</v>
      </c>
      <c r="H4">
        <v>94060</v>
      </c>
      <c r="I4">
        <v>0</v>
      </c>
      <c r="J4">
        <f t="shared" si="0"/>
        <v>94060</v>
      </c>
      <c r="K4" t="s">
        <v>1640</v>
      </c>
      <c r="L4">
        <v>0</v>
      </c>
      <c r="M4" s="1">
        <f t="shared" si="1"/>
        <v>45929</v>
      </c>
      <c r="N4" t="s">
        <v>1641</v>
      </c>
      <c r="O4">
        <v>0</v>
      </c>
    </row>
    <row r="5" spans="1:15">
      <c r="A5" s="6" t="s">
        <v>14</v>
      </c>
      <c r="B5" t="s">
        <v>15</v>
      </c>
      <c r="C5" t="s">
        <v>22</v>
      </c>
      <c r="D5" t="s">
        <v>23</v>
      </c>
      <c r="E5" s="1">
        <v>45929</v>
      </c>
      <c r="F5">
        <v>1</v>
      </c>
      <c r="G5">
        <v>2420</v>
      </c>
      <c r="H5">
        <v>50000</v>
      </c>
      <c r="I5">
        <v>0</v>
      </c>
      <c r="J5">
        <f t="shared" si="0"/>
        <v>50000</v>
      </c>
      <c r="K5" t="s">
        <v>1640</v>
      </c>
      <c r="L5">
        <v>2420</v>
      </c>
      <c r="M5" s="1">
        <f t="shared" si="1"/>
        <v>45929</v>
      </c>
      <c r="N5" t="s">
        <v>1641</v>
      </c>
      <c r="O5">
        <v>0</v>
      </c>
    </row>
    <row r="6" spans="1:15">
      <c r="A6" s="6" t="s">
        <v>14</v>
      </c>
      <c r="B6" t="s">
        <v>15</v>
      </c>
      <c r="C6" t="s">
        <v>24</v>
      </c>
      <c r="D6" t="s">
        <v>25</v>
      </c>
      <c r="E6" s="1">
        <v>45929</v>
      </c>
      <c r="F6">
        <v>1</v>
      </c>
      <c r="G6">
        <v>0</v>
      </c>
      <c r="H6">
        <v>92990</v>
      </c>
      <c r="I6">
        <v>0</v>
      </c>
      <c r="J6">
        <f t="shared" si="0"/>
        <v>92990</v>
      </c>
      <c r="K6" t="s">
        <v>1640</v>
      </c>
      <c r="L6">
        <v>0</v>
      </c>
      <c r="M6" s="1">
        <f t="shared" si="1"/>
        <v>45929</v>
      </c>
      <c r="N6" t="s">
        <v>1641</v>
      </c>
      <c r="O6">
        <v>0</v>
      </c>
    </row>
    <row r="7" spans="1:15">
      <c r="A7" s="6" t="s">
        <v>14</v>
      </c>
      <c r="B7" t="s">
        <v>15</v>
      </c>
      <c r="C7" t="s">
        <v>26</v>
      </c>
      <c r="D7" t="s">
        <v>27</v>
      </c>
      <c r="E7" s="1">
        <v>45929</v>
      </c>
      <c r="F7">
        <v>1</v>
      </c>
      <c r="G7">
        <v>0</v>
      </c>
      <c r="H7">
        <v>61372</v>
      </c>
      <c r="I7">
        <v>0</v>
      </c>
      <c r="J7">
        <f t="shared" si="0"/>
        <v>61372</v>
      </c>
      <c r="K7" t="s">
        <v>1640</v>
      </c>
      <c r="L7">
        <v>0</v>
      </c>
      <c r="M7" s="1">
        <f t="shared" si="1"/>
        <v>45929</v>
      </c>
      <c r="N7" t="s">
        <v>1641</v>
      </c>
      <c r="O7">
        <v>0</v>
      </c>
    </row>
    <row r="8" spans="1:15">
      <c r="A8" s="6" t="s">
        <v>14</v>
      </c>
      <c r="B8" t="s">
        <v>15</v>
      </c>
      <c r="C8" t="s">
        <v>28</v>
      </c>
      <c r="D8" t="s">
        <v>29</v>
      </c>
      <c r="E8" s="1">
        <v>45929</v>
      </c>
      <c r="F8">
        <v>1</v>
      </c>
      <c r="G8">
        <v>4160</v>
      </c>
      <c r="H8">
        <v>74642</v>
      </c>
      <c r="I8">
        <v>0</v>
      </c>
      <c r="J8">
        <f t="shared" si="0"/>
        <v>74642</v>
      </c>
      <c r="K8" t="s">
        <v>1640</v>
      </c>
      <c r="L8">
        <v>4160</v>
      </c>
      <c r="M8" s="1">
        <f t="shared" si="1"/>
        <v>45929</v>
      </c>
      <c r="N8" t="s">
        <v>1641</v>
      </c>
      <c r="O8">
        <v>0</v>
      </c>
    </row>
    <row r="9" spans="1:15">
      <c r="A9" s="6" t="s">
        <v>14</v>
      </c>
      <c r="B9" t="s">
        <v>15</v>
      </c>
      <c r="C9" t="s">
        <v>30</v>
      </c>
      <c r="D9" t="s">
        <v>31</v>
      </c>
      <c r="E9" s="1">
        <v>45929</v>
      </c>
      <c r="F9">
        <v>1</v>
      </c>
      <c r="G9">
        <v>2835</v>
      </c>
      <c r="H9">
        <v>84000</v>
      </c>
      <c r="I9">
        <v>0</v>
      </c>
      <c r="J9">
        <f t="shared" si="0"/>
        <v>84000</v>
      </c>
      <c r="K9" t="s">
        <v>1640</v>
      </c>
      <c r="L9">
        <v>2835</v>
      </c>
      <c r="M9" s="1">
        <f t="shared" si="1"/>
        <v>45929</v>
      </c>
      <c r="N9" t="s">
        <v>1641</v>
      </c>
      <c r="O9">
        <v>0</v>
      </c>
    </row>
    <row r="10" spans="1:15">
      <c r="A10" s="6" t="s">
        <v>14</v>
      </c>
      <c r="B10" t="s">
        <v>15</v>
      </c>
      <c r="C10" t="s">
        <v>32</v>
      </c>
      <c r="D10" t="s">
        <v>33</v>
      </c>
      <c r="E10" s="1">
        <v>45929</v>
      </c>
      <c r="F10">
        <v>1</v>
      </c>
      <c r="G10">
        <v>9263</v>
      </c>
      <c r="H10">
        <v>164000</v>
      </c>
      <c r="I10">
        <v>0</v>
      </c>
      <c r="J10">
        <f t="shared" si="0"/>
        <v>164000</v>
      </c>
      <c r="K10" t="s">
        <v>1640</v>
      </c>
      <c r="L10">
        <v>9263</v>
      </c>
      <c r="M10" s="1">
        <f t="shared" si="1"/>
        <v>45929</v>
      </c>
      <c r="N10" t="s">
        <v>1641</v>
      </c>
      <c r="O10">
        <v>0</v>
      </c>
    </row>
    <row r="11" spans="1:15">
      <c r="A11" s="6" t="s">
        <v>14</v>
      </c>
      <c r="B11" t="s">
        <v>15</v>
      </c>
      <c r="C11" t="s">
        <v>34</v>
      </c>
      <c r="D11" t="s">
        <v>35</v>
      </c>
      <c r="E11" s="1">
        <v>45929</v>
      </c>
      <c r="F11">
        <v>1</v>
      </c>
      <c r="G11">
        <v>1719.33</v>
      </c>
      <c r="H11">
        <v>109806</v>
      </c>
      <c r="I11">
        <v>0</v>
      </c>
      <c r="J11">
        <f t="shared" si="0"/>
        <v>109806</v>
      </c>
      <c r="K11" t="s">
        <v>1640</v>
      </c>
      <c r="L11">
        <v>1719.33</v>
      </c>
      <c r="M11" s="1">
        <f t="shared" si="1"/>
        <v>45929</v>
      </c>
      <c r="N11" t="s">
        <v>1641</v>
      </c>
      <c r="O11">
        <v>0</v>
      </c>
    </row>
    <row r="12" spans="1:15">
      <c r="A12" s="6" t="s">
        <v>14</v>
      </c>
      <c r="B12" t="s">
        <v>15</v>
      </c>
      <c r="C12" t="s">
        <v>36</v>
      </c>
      <c r="D12" t="s">
        <v>37</v>
      </c>
      <c r="E12" s="1">
        <v>45929</v>
      </c>
      <c r="F12">
        <v>1</v>
      </c>
      <c r="G12">
        <v>3200</v>
      </c>
      <c r="H12">
        <v>93677</v>
      </c>
      <c r="I12">
        <v>0</v>
      </c>
      <c r="J12">
        <f t="shared" si="0"/>
        <v>93677</v>
      </c>
      <c r="K12" t="s">
        <v>1640</v>
      </c>
      <c r="L12">
        <v>3200</v>
      </c>
      <c r="M12" s="1">
        <f t="shared" si="1"/>
        <v>45929</v>
      </c>
      <c r="N12" t="s">
        <v>1641</v>
      </c>
      <c r="O12">
        <v>0</v>
      </c>
    </row>
    <row r="13" spans="1:15">
      <c r="A13" s="6" t="s">
        <v>14</v>
      </c>
      <c r="B13" t="s">
        <v>15</v>
      </c>
      <c r="C13" t="s">
        <v>38</v>
      </c>
      <c r="D13" t="s">
        <v>39</v>
      </c>
      <c r="E13" s="1">
        <v>45929</v>
      </c>
      <c r="F13">
        <v>1</v>
      </c>
      <c r="G13">
        <v>1840</v>
      </c>
      <c r="H13">
        <v>55000</v>
      </c>
      <c r="I13">
        <v>0</v>
      </c>
      <c r="J13">
        <f t="shared" si="0"/>
        <v>55000</v>
      </c>
      <c r="K13" t="s">
        <v>1640</v>
      </c>
      <c r="L13">
        <v>1840</v>
      </c>
      <c r="M13" s="1">
        <f t="shared" si="1"/>
        <v>45929</v>
      </c>
      <c r="N13" t="s">
        <v>1641</v>
      </c>
      <c r="O13">
        <v>0</v>
      </c>
    </row>
    <row r="14" spans="1:15">
      <c r="A14" s="6" t="s">
        <v>14</v>
      </c>
      <c r="B14" t="s">
        <v>15</v>
      </c>
      <c r="C14" t="s">
        <v>40</v>
      </c>
      <c r="D14" t="s">
        <v>41</v>
      </c>
      <c r="E14" s="1">
        <v>45929</v>
      </c>
      <c r="F14">
        <v>1</v>
      </c>
      <c r="G14">
        <v>1840</v>
      </c>
      <c r="H14">
        <v>55000</v>
      </c>
      <c r="I14">
        <v>0</v>
      </c>
      <c r="J14">
        <f t="shared" si="0"/>
        <v>55000</v>
      </c>
      <c r="K14" t="s">
        <v>1640</v>
      </c>
      <c r="L14">
        <v>1840</v>
      </c>
      <c r="M14" s="1">
        <f t="shared" si="1"/>
        <v>45929</v>
      </c>
      <c r="N14" t="s">
        <v>1641</v>
      </c>
      <c r="O14">
        <v>0</v>
      </c>
    </row>
    <row r="15" spans="1:15">
      <c r="A15" s="6" t="s">
        <v>14</v>
      </c>
      <c r="B15" t="s">
        <v>15</v>
      </c>
      <c r="C15" t="s">
        <v>42</v>
      </c>
      <c r="D15" t="s">
        <v>43</v>
      </c>
      <c r="E15" s="1">
        <v>45929</v>
      </c>
      <c r="F15">
        <v>1</v>
      </c>
      <c r="G15">
        <v>2000</v>
      </c>
      <c r="H15">
        <v>55000</v>
      </c>
      <c r="I15">
        <v>0</v>
      </c>
      <c r="J15">
        <f t="shared" si="0"/>
        <v>55000</v>
      </c>
      <c r="K15" t="s">
        <v>1640</v>
      </c>
      <c r="L15">
        <v>2000</v>
      </c>
      <c r="M15" s="1">
        <f t="shared" si="1"/>
        <v>45929</v>
      </c>
      <c r="N15" t="s">
        <v>1641</v>
      </c>
      <c r="O15">
        <v>0</v>
      </c>
    </row>
    <row r="16" spans="1:15">
      <c r="A16" s="6" t="s">
        <v>14</v>
      </c>
      <c r="B16" t="s">
        <v>15</v>
      </c>
      <c r="C16" t="s">
        <v>44</v>
      </c>
      <c r="D16" t="s">
        <v>45</v>
      </c>
      <c r="E16" s="1">
        <v>45929</v>
      </c>
      <c r="F16">
        <v>1</v>
      </c>
      <c r="G16">
        <v>1456</v>
      </c>
      <c r="H16">
        <v>43600</v>
      </c>
      <c r="I16">
        <v>0</v>
      </c>
      <c r="J16">
        <f t="shared" si="0"/>
        <v>43600</v>
      </c>
      <c r="K16" t="s">
        <v>1640</v>
      </c>
      <c r="L16">
        <v>1456</v>
      </c>
      <c r="M16" s="1">
        <f t="shared" si="1"/>
        <v>45929</v>
      </c>
      <c r="N16" t="s">
        <v>1641</v>
      </c>
      <c r="O16">
        <v>0</v>
      </c>
    </row>
    <row r="17" spans="1:15">
      <c r="A17" s="6" t="s">
        <v>14</v>
      </c>
      <c r="B17" t="s">
        <v>15</v>
      </c>
      <c r="C17" t="s">
        <v>46</v>
      </c>
      <c r="D17" t="s">
        <v>47</v>
      </c>
      <c r="E17" s="1">
        <v>45929</v>
      </c>
      <c r="F17">
        <v>1</v>
      </c>
      <c r="G17">
        <v>1334</v>
      </c>
      <c r="H17">
        <v>39593</v>
      </c>
      <c r="I17">
        <v>0</v>
      </c>
      <c r="J17">
        <f t="shared" si="0"/>
        <v>39593</v>
      </c>
      <c r="K17" t="s">
        <v>1640</v>
      </c>
      <c r="L17">
        <v>1334</v>
      </c>
      <c r="M17" s="1">
        <f t="shared" si="1"/>
        <v>45929</v>
      </c>
      <c r="N17" t="s">
        <v>1641</v>
      </c>
      <c r="O17">
        <v>0</v>
      </c>
    </row>
    <row r="18" spans="1:15">
      <c r="A18" s="6" t="s">
        <v>14</v>
      </c>
      <c r="B18" t="s">
        <v>15</v>
      </c>
      <c r="C18" t="s">
        <v>48</v>
      </c>
      <c r="D18" t="s">
        <v>49</v>
      </c>
      <c r="E18" s="1">
        <v>45929</v>
      </c>
      <c r="F18">
        <v>1</v>
      </c>
      <c r="G18">
        <v>4625</v>
      </c>
      <c r="H18">
        <v>166113</v>
      </c>
      <c r="I18">
        <v>0</v>
      </c>
      <c r="J18">
        <f t="shared" si="0"/>
        <v>166113</v>
      </c>
      <c r="K18" t="s">
        <v>1640</v>
      </c>
      <c r="L18">
        <v>4625</v>
      </c>
      <c r="M18" s="1">
        <f t="shared" si="1"/>
        <v>45929</v>
      </c>
      <c r="N18" t="s">
        <v>1641</v>
      </c>
      <c r="O18">
        <v>0</v>
      </c>
    </row>
    <row r="19" spans="1:15">
      <c r="A19" s="6" t="s">
        <v>14</v>
      </c>
      <c r="B19" t="s">
        <v>15</v>
      </c>
      <c r="C19" t="s">
        <v>50</v>
      </c>
      <c r="D19" t="s">
        <v>1642</v>
      </c>
      <c r="E19" s="1">
        <v>45929</v>
      </c>
      <c r="F19">
        <v>1</v>
      </c>
      <c r="G19">
        <v>4853.33</v>
      </c>
      <c r="H19">
        <v>98000</v>
      </c>
      <c r="I19">
        <v>0</v>
      </c>
      <c r="J19">
        <f t="shared" si="0"/>
        <v>98000</v>
      </c>
      <c r="K19" t="s">
        <v>1640</v>
      </c>
      <c r="L19">
        <v>4853.33</v>
      </c>
      <c r="M19" s="1">
        <f t="shared" si="1"/>
        <v>45929</v>
      </c>
      <c r="N19" t="s">
        <v>1641</v>
      </c>
      <c r="O19">
        <v>0</v>
      </c>
    </row>
    <row r="20" spans="1:15">
      <c r="A20" s="6" t="s">
        <v>14</v>
      </c>
      <c r="B20" t="s">
        <v>15</v>
      </c>
      <c r="C20" t="s">
        <v>51</v>
      </c>
      <c r="D20" t="s">
        <v>52</v>
      </c>
      <c r="E20" s="1">
        <v>45929</v>
      </c>
      <c r="F20">
        <v>1</v>
      </c>
      <c r="G20">
        <v>5035</v>
      </c>
      <c r="H20">
        <v>149000</v>
      </c>
      <c r="I20">
        <v>0</v>
      </c>
      <c r="J20">
        <f t="shared" si="0"/>
        <v>149000</v>
      </c>
      <c r="K20" t="s">
        <v>1640</v>
      </c>
      <c r="L20">
        <v>5035</v>
      </c>
      <c r="M20" s="1">
        <f t="shared" si="1"/>
        <v>45929</v>
      </c>
      <c r="N20" t="s">
        <v>1641</v>
      </c>
      <c r="O20">
        <v>0</v>
      </c>
    </row>
    <row r="21" spans="1:15">
      <c r="A21" s="6" t="s">
        <v>14</v>
      </c>
      <c r="B21" t="s">
        <v>15</v>
      </c>
      <c r="C21" t="s">
        <v>53</v>
      </c>
      <c r="D21" t="s">
        <v>54</v>
      </c>
      <c r="E21" s="1">
        <v>45929</v>
      </c>
      <c r="F21">
        <v>1</v>
      </c>
      <c r="G21">
        <v>3471</v>
      </c>
      <c r="H21">
        <v>103759</v>
      </c>
      <c r="I21">
        <v>0</v>
      </c>
      <c r="J21">
        <f t="shared" si="0"/>
        <v>103759</v>
      </c>
      <c r="K21" t="s">
        <v>1640</v>
      </c>
      <c r="L21">
        <v>3471</v>
      </c>
      <c r="M21" s="1">
        <f t="shared" si="1"/>
        <v>45929</v>
      </c>
      <c r="N21" t="s">
        <v>1641</v>
      </c>
      <c r="O21">
        <v>0</v>
      </c>
    </row>
    <row r="22" spans="1:15">
      <c r="A22" s="6" t="s">
        <v>14</v>
      </c>
      <c r="B22" t="s">
        <v>15</v>
      </c>
      <c r="C22" t="s">
        <v>55</v>
      </c>
      <c r="D22" t="s">
        <v>56</v>
      </c>
      <c r="E22" s="1">
        <v>45929</v>
      </c>
      <c r="F22">
        <v>1</v>
      </c>
      <c r="G22">
        <v>0</v>
      </c>
      <c r="H22">
        <v>90955</v>
      </c>
      <c r="I22">
        <v>0</v>
      </c>
      <c r="J22">
        <f t="shared" si="0"/>
        <v>90955</v>
      </c>
      <c r="K22" t="s">
        <v>1640</v>
      </c>
      <c r="L22">
        <v>0</v>
      </c>
      <c r="M22" s="1">
        <f t="shared" si="1"/>
        <v>45929</v>
      </c>
      <c r="N22" t="s">
        <v>1641</v>
      </c>
      <c r="O22">
        <v>0</v>
      </c>
    </row>
    <row r="23" spans="1:15">
      <c r="A23" s="6" t="s">
        <v>14</v>
      </c>
      <c r="B23" t="s">
        <v>15</v>
      </c>
      <c r="C23" t="s">
        <v>57</v>
      </c>
      <c r="D23" t="s">
        <v>58</v>
      </c>
      <c r="E23" s="1">
        <v>45929</v>
      </c>
      <c r="F23">
        <v>1</v>
      </c>
      <c r="G23">
        <v>5400</v>
      </c>
      <c r="H23">
        <v>160000</v>
      </c>
      <c r="I23">
        <v>0</v>
      </c>
      <c r="J23">
        <f t="shared" si="0"/>
        <v>160000</v>
      </c>
      <c r="K23" t="s">
        <v>1640</v>
      </c>
      <c r="L23">
        <v>5400</v>
      </c>
      <c r="M23" s="1">
        <f t="shared" si="1"/>
        <v>45929</v>
      </c>
      <c r="N23" t="s">
        <v>1641</v>
      </c>
      <c r="O23">
        <v>0</v>
      </c>
    </row>
    <row r="24" spans="1:15">
      <c r="A24" s="6" t="s">
        <v>14</v>
      </c>
      <c r="B24" t="s">
        <v>15</v>
      </c>
      <c r="C24" t="s">
        <v>59</v>
      </c>
      <c r="D24" t="s">
        <v>60</v>
      </c>
      <c r="E24" s="1">
        <v>45929</v>
      </c>
      <c r="F24">
        <v>1</v>
      </c>
      <c r="G24">
        <v>3940.99</v>
      </c>
      <c r="H24">
        <v>87339</v>
      </c>
      <c r="I24">
        <v>0</v>
      </c>
      <c r="J24">
        <f t="shared" si="0"/>
        <v>87339</v>
      </c>
      <c r="K24" t="s">
        <v>1640</v>
      </c>
      <c r="L24">
        <v>3940.99</v>
      </c>
      <c r="M24" s="1">
        <f t="shared" si="1"/>
        <v>45929</v>
      </c>
      <c r="N24" t="s">
        <v>1641</v>
      </c>
      <c r="O24">
        <v>0</v>
      </c>
    </row>
    <row r="25" spans="1:15">
      <c r="A25" s="6" t="s">
        <v>14</v>
      </c>
      <c r="B25" t="s">
        <v>15</v>
      </c>
      <c r="C25" t="s">
        <v>61</v>
      </c>
      <c r="D25" t="s">
        <v>62</v>
      </c>
      <c r="E25" s="1">
        <v>45929</v>
      </c>
      <c r="F25">
        <v>1</v>
      </c>
      <c r="G25">
        <v>2393.33</v>
      </c>
      <c r="H25">
        <v>93250</v>
      </c>
      <c r="I25">
        <v>0</v>
      </c>
      <c r="J25">
        <f t="shared" si="0"/>
        <v>93250</v>
      </c>
      <c r="K25" t="s">
        <v>1640</v>
      </c>
      <c r="L25">
        <v>2393.33</v>
      </c>
      <c r="M25" s="1">
        <f t="shared" si="1"/>
        <v>45929</v>
      </c>
      <c r="N25" t="s">
        <v>1641</v>
      </c>
      <c r="O25">
        <v>0</v>
      </c>
    </row>
    <row r="26" spans="1:15">
      <c r="A26" s="6" t="s">
        <v>14</v>
      </c>
      <c r="B26" t="s">
        <v>15</v>
      </c>
      <c r="C26" t="s">
        <v>63</v>
      </c>
      <c r="D26" t="s">
        <v>64</v>
      </c>
      <c r="E26" s="1">
        <v>45929</v>
      </c>
      <c r="F26">
        <v>1</v>
      </c>
      <c r="G26">
        <v>4200</v>
      </c>
      <c r="H26">
        <v>76400</v>
      </c>
      <c r="I26">
        <v>0</v>
      </c>
      <c r="J26">
        <f t="shared" si="0"/>
        <v>76400</v>
      </c>
      <c r="K26" t="s">
        <v>1640</v>
      </c>
      <c r="L26">
        <v>4200</v>
      </c>
      <c r="M26" s="1">
        <f t="shared" si="1"/>
        <v>45929</v>
      </c>
      <c r="N26" t="s">
        <v>1641</v>
      </c>
      <c r="O26">
        <v>0</v>
      </c>
    </row>
    <row r="27" spans="1:15">
      <c r="A27" s="6" t="s">
        <v>14</v>
      </c>
      <c r="B27" t="s">
        <v>15</v>
      </c>
      <c r="C27" t="s">
        <v>65</v>
      </c>
      <c r="D27" t="s">
        <v>66</v>
      </c>
      <c r="E27" s="1">
        <v>45929</v>
      </c>
      <c r="F27">
        <v>1</v>
      </c>
      <c r="G27">
        <v>0</v>
      </c>
      <c r="H27">
        <v>106200</v>
      </c>
      <c r="I27">
        <v>0</v>
      </c>
      <c r="J27">
        <f t="shared" si="0"/>
        <v>106200</v>
      </c>
      <c r="K27" t="s">
        <v>1640</v>
      </c>
      <c r="L27">
        <v>0</v>
      </c>
      <c r="M27" s="1">
        <f t="shared" si="1"/>
        <v>45929</v>
      </c>
      <c r="N27" t="s">
        <v>1641</v>
      </c>
      <c r="O27">
        <v>0</v>
      </c>
    </row>
    <row r="28" spans="1:15">
      <c r="A28" s="6" t="s">
        <v>14</v>
      </c>
      <c r="B28" t="s">
        <v>15</v>
      </c>
      <c r="C28" t="s">
        <v>67</v>
      </c>
      <c r="D28" t="s">
        <v>68</v>
      </c>
      <c r="E28" s="1">
        <v>45929</v>
      </c>
      <c r="F28">
        <v>1</v>
      </c>
      <c r="G28">
        <v>4089</v>
      </c>
      <c r="H28">
        <v>120631</v>
      </c>
      <c r="I28">
        <v>0</v>
      </c>
      <c r="J28">
        <f t="shared" si="0"/>
        <v>120631</v>
      </c>
      <c r="K28" t="s">
        <v>1640</v>
      </c>
      <c r="L28">
        <v>4089</v>
      </c>
      <c r="M28" s="1">
        <f t="shared" si="1"/>
        <v>45929</v>
      </c>
      <c r="N28" t="s">
        <v>1641</v>
      </c>
      <c r="O28">
        <v>0</v>
      </c>
    </row>
    <row r="29" spans="1:15">
      <c r="A29" s="6" t="s">
        <v>14</v>
      </c>
      <c r="B29" t="s">
        <v>15</v>
      </c>
      <c r="C29" t="s">
        <v>69</v>
      </c>
      <c r="D29" t="s">
        <v>70</v>
      </c>
      <c r="E29" s="1">
        <v>45929</v>
      </c>
      <c r="F29">
        <v>1</v>
      </c>
      <c r="G29">
        <v>2700</v>
      </c>
      <c r="H29">
        <v>95231</v>
      </c>
      <c r="I29">
        <v>0</v>
      </c>
      <c r="J29">
        <f t="shared" si="0"/>
        <v>95231</v>
      </c>
      <c r="K29" t="s">
        <v>1640</v>
      </c>
      <c r="L29">
        <v>2700</v>
      </c>
      <c r="M29" s="1">
        <f t="shared" si="1"/>
        <v>45929</v>
      </c>
      <c r="N29" t="s">
        <v>1641</v>
      </c>
      <c r="O29">
        <v>0</v>
      </c>
    </row>
    <row r="30" spans="1:15">
      <c r="A30" s="6" t="s">
        <v>14</v>
      </c>
      <c r="B30" t="s">
        <v>15</v>
      </c>
      <c r="C30" t="s">
        <v>71</v>
      </c>
      <c r="D30" t="s">
        <v>72</v>
      </c>
      <c r="E30" s="1">
        <v>45929</v>
      </c>
      <c r="F30">
        <v>1</v>
      </c>
      <c r="G30">
        <v>2012.5</v>
      </c>
      <c r="H30">
        <v>74625</v>
      </c>
      <c r="I30">
        <v>0</v>
      </c>
      <c r="J30">
        <f t="shared" si="0"/>
        <v>74625</v>
      </c>
      <c r="K30" t="s">
        <v>1640</v>
      </c>
      <c r="L30">
        <v>2012.5</v>
      </c>
      <c r="M30" s="1">
        <f t="shared" si="1"/>
        <v>45929</v>
      </c>
      <c r="N30" t="s">
        <v>1641</v>
      </c>
      <c r="O30">
        <v>0</v>
      </c>
    </row>
    <row r="31" spans="1:15">
      <c r="A31" s="6" t="s">
        <v>14</v>
      </c>
      <c r="B31" t="s">
        <v>15</v>
      </c>
      <c r="C31" t="s">
        <v>73</v>
      </c>
      <c r="D31" t="s">
        <v>74</v>
      </c>
      <c r="E31" s="1">
        <v>45929</v>
      </c>
      <c r="F31">
        <v>1</v>
      </c>
      <c r="G31">
        <v>2400</v>
      </c>
      <c r="H31">
        <v>73000</v>
      </c>
      <c r="I31">
        <v>0</v>
      </c>
      <c r="J31">
        <f t="shared" si="0"/>
        <v>73000</v>
      </c>
      <c r="K31" t="s">
        <v>1640</v>
      </c>
      <c r="L31">
        <v>2400</v>
      </c>
      <c r="M31" s="1">
        <f t="shared" si="1"/>
        <v>45929</v>
      </c>
      <c r="N31" t="s">
        <v>1641</v>
      </c>
      <c r="O31">
        <v>0</v>
      </c>
    </row>
    <row r="32" spans="1:15">
      <c r="A32" s="6" t="s">
        <v>14</v>
      </c>
      <c r="B32" t="s">
        <v>15</v>
      </c>
      <c r="C32" t="s">
        <v>75</v>
      </c>
      <c r="D32" t="s">
        <v>76</v>
      </c>
      <c r="E32" s="1">
        <v>45929</v>
      </c>
      <c r="F32">
        <v>1</v>
      </c>
      <c r="G32">
        <v>2080</v>
      </c>
      <c r="H32">
        <v>75868</v>
      </c>
      <c r="I32">
        <v>0</v>
      </c>
      <c r="J32">
        <f t="shared" si="0"/>
        <v>75868</v>
      </c>
      <c r="K32" t="s">
        <v>1640</v>
      </c>
      <c r="L32">
        <v>2080</v>
      </c>
      <c r="M32" s="1">
        <f t="shared" si="1"/>
        <v>45929</v>
      </c>
      <c r="N32" t="s">
        <v>1641</v>
      </c>
      <c r="O32">
        <v>0</v>
      </c>
    </row>
    <row r="33" spans="1:15">
      <c r="A33" s="6" t="s">
        <v>14</v>
      </c>
      <c r="B33" t="s">
        <v>15</v>
      </c>
      <c r="C33" t="s">
        <v>77</v>
      </c>
      <c r="D33" t="s">
        <v>78</v>
      </c>
      <c r="E33" s="1">
        <v>45929</v>
      </c>
      <c r="F33">
        <v>1</v>
      </c>
      <c r="G33">
        <v>1910</v>
      </c>
      <c r="H33">
        <v>78585</v>
      </c>
      <c r="I33">
        <v>0</v>
      </c>
      <c r="J33">
        <f t="shared" si="0"/>
        <v>78585</v>
      </c>
      <c r="K33" t="s">
        <v>1640</v>
      </c>
      <c r="L33">
        <v>1910</v>
      </c>
      <c r="M33" s="1">
        <f t="shared" si="1"/>
        <v>45929</v>
      </c>
      <c r="N33" t="s">
        <v>1641</v>
      </c>
      <c r="O33">
        <v>0</v>
      </c>
    </row>
    <row r="34" spans="1:15">
      <c r="A34" s="6" t="s">
        <v>14</v>
      </c>
      <c r="B34" t="s">
        <v>15</v>
      </c>
      <c r="C34" t="s">
        <v>79</v>
      </c>
      <c r="D34" t="s">
        <v>80</v>
      </c>
      <c r="E34" s="1">
        <v>45929</v>
      </c>
      <c r="F34">
        <v>1</v>
      </c>
      <c r="G34">
        <v>2890</v>
      </c>
      <c r="H34">
        <v>78000</v>
      </c>
      <c r="I34">
        <v>0</v>
      </c>
      <c r="J34">
        <f t="shared" si="0"/>
        <v>78000</v>
      </c>
      <c r="K34" t="s">
        <v>1640</v>
      </c>
      <c r="L34">
        <v>2890</v>
      </c>
      <c r="M34" s="1">
        <f t="shared" si="1"/>
        <v>45929</v>
      </c>
      <c r="N34" t="s">
        <v>1641</v>
      </c>
      <c r="O34">
        <v>0</v>
      </c>
    </row>
    <row r="35" spans="1:15">
      <c r="A35" s="6" t="s">
        <v>14</v>
      </c>
      <c r="B35" t="s">
        <v>15</v>
      </c>
      <c r="C35" t="s">
        <v>81</v>
      </c>
      <c r="D35" t="s">
        <v>82</v>
      </c>
      <c r="E35" s="1">
        <v>45929</v>
      </c>
      <c r="F35">
        <v>1</v>
      </c>
      <c r="G35">
        <v>3305</v>
      </c>
      <c r="H35">
        <v>88947</v>
      </c>
      <c r="I35">
        <v>0</v>
      </c>
      <c r="J35">
        <f t="shared" si="0"/>
        <v>88947</v>
      </c>
      <c r="K35" t="s">
        <v>1640</v>
      </c>
      <c r="L35">
        <v>3305</v>
      </c>
      <c r="M35" s="1">
        <f t="shared" si="1"/>
        <v>45929</v>
      </c>
      <c r="N35" t="s">
        <v>1641</v>
      </c>
      <c r="O35">
        <v>0</v>
      </c>
    </row>
    <row r="36" spans="1:15">
      <c r="A36" s="6" t="s">
        <v>14</v>
      </c>
      <c r="B36" t="s">
        <v>15</v>
      </c>
      <c r="C36" t="s">
        <v>83</v>
      </c>
      <c r="D36" t="s">
        <v>84</v>
      </c>
      <c r="E36" s="1">
        <v>45929</v>
      </c>
      <c r="F36">
        <v>1</v>
      </c>
      <c r="G36">
        <v>2970</v>
      </c>
      <c r="H36">
        <v>92789</v>
      </c>
      <c r="I36">
        <v>0</v>
      </c>
      <c r="J36">
        <f t="shared" si="0"/>
        <v>92789</v>
      </c>
      <c r="K36" t="s">
        <v>1640</v>
      </c>
      <c r="L36">
        <v>2970</v>
      </c>
      <c r="M36" s="1">
        <f t="shared" si="1"/>
        <v>45929</v>
      </c>
      <c r="N36" t="s">
        <v>1641</v>
      </c>
      <c r="O36">
        <v>0</v>
      </c>
    </row>
    <row r="37" spans="1:15">
      <c r="A37" s="6" t="s">
        <v>14</v>
      </c>
      <c r="B37" t="s">
        <v>15</v>
      </c>
      <c r="C37" t="s">
        <v>85</v>
      </c>
      <c r="D37" t="s">
        <v>86</v>
      </c>
      <c r="E37" s="1">
        <v>45929</v>
      </c>
      <c r="F37">
        <v>1</v>
      </c>
      <c r="G37">
        <v>2970</v>
      </c>
      <c r="H37">
        <v>88849</v>
      </c>
      <c r="I37">
        <v>0</v>
      </c>
      <c r="J37">
        <f t="shared" si="0"/>
        <v>88849</v>
      </c>
      <c r="K37" t="s">
        <v>1640</v>
      </c>
      <c r="L37">
        <v>2970</v>
      </c>
      <c r="M37" s="1">
        <f t="shared" si="1"/>
        <v>45929</v>
      </c>
      <c r="N37" t="s">
        <v>1641</v>
      </c>
      <c r="O37">
        <v>0</v>
      </c>
    </row>
    <row r="38" spans="1:15">
      <c r="A38" s="6" t="s">
        <v>14</v>
      </c>
      <c r="B38" t="s">
        <v>15</v>
      </c>
      <c r="C38" t="s">
        <v>87</v>
      </c>
      <c r="D38" t="s">
        <v>88</v>
      </c>
      <c r="E38" s="1">
        <v>45929</v>
      </c>
      <c r="F38">
        <v>1</v>
      </c>
      <c r="G38">
        <v>2464</v>
      </c>
      <c r="H38">
        <v>76000</v>
      </c>
      <c r="I38">
        <v>0</v>
      </c>
      <c r="J38">
        <f t="shared" si="0"/>
        <v>76000</v>
      </c>
      <c r="K38" t="s">
        <v>1640</v>
      </c>
      <c r="L38">
        <v>2464</v>
      </c>
      <c r="M38" s="1">
        <f t="shared" si="1"/>
        <v>45929</v>
      </c>
      <c r="N38" t="s">
        <v>1641</v>
      </c>
      <c r="O38">
        <v>0</v>
      </c>
    </row>
    <row r="39" spans="1:15">
      <c r="A39" s="6" t="s">
        <v>14</v>
      </c>
      <c r="B39" t="s">
        <v>15</v>
      </c>
      <c r="C39" t="s">
        <v>89</v>
      </c>
      <c r="D39" t="s">
        <v>90</v>
      </c>
      <c r="E39" s="1">
        <v>45929</v>
      </c>
      <c r="F39">
        <v>1</v>
      </c>
      <c r="G39">
        <v>2900</v>
      </c>
      <c r="H39">
        <v>86585</v>
      </c>
      <c r="I39">
        <v>0</v>
      </c>
      <c r="J39">
        <f t="shared" si="0"/>
        <v>86585</v>
      </c>
      <c r="K39" t="s">
        <v>1640</v>
      </c>
      <c r="L39">
        <v>2900</v>
      </c>
      <c r="M39" s="1">
        <f t="shared" si="1"/>
        <v>45929</v>
      </c>
      <c r="N39" t="s">
        <v>1641</v>
      </c>
      <c r="O39">
        <v>0</v>
      </c>
    </row>
    <row r="40" spans="1:15">
      <c r="A40" s="6" t="s">
        <v>14</v>
      </c>
      <c r="B40" t="s">
        <v>15</v>
      </c>
      <c r="C40" t="s">
        <v>91</v>
      </c>
      <c r="D40" t="s">
        <v>92</v>
      </c>
      <c r="E40" s="1">
        <v>45929</v>
      </c>
      <c r="F40">
        <v>1</v>
      </c>
      <c r="G40">
        <v>2475</v>
      </c>
      <c r="H40">
        <v>73000</v>
      </c>
      <c r="I40">
        <v>0</v>
      </c>
      <c r="J40">
        <f t="shared" si="0"/>
        <v>73000</v>
      </c>
      <c r="K40" t="s">
        <v>1640</v>
      </c>
      <c r="L40">
        <v>2475</v>
      </c>
      <c r="M40" s="1">
        <f t="shared" si="1"/>
        <v>45929</v>
      </c>
      <c r="N40" t="s">
        <v>1641</v>
      </c>
      <c r="O40">
        <v>0</v>
      </c>
    </row>
    <row r="41" spans="1:15">
      <c r="A41" s="6" t="s">
        <v>14</v>
      </c>
      <c r="B41" t="s">
        <v>15</v>
      </c>
      <c r="C41" t="s">
        <v>93</v>
      </c>
      <c r="D41" t="s">
        <v>94</v>
      </c>
      <c r="E41" s="1">
        <v>45929</v>
      </c>
      <c r="F41">
        <v>1</v>
      </c>
      <c r="G41">
        <v>2700</v>
      </c>
      <c r="H41">
        <v>80000</v>
      </c>
      <c r="I41">
        <v>0</v>
      </c>
      <c r="J41">
        <f t="shared" si="0"/>
        <v>80000</v>
      </c>
      <c r="K41" t="s">
        <v>1640</v>
      </c>
      <c r="L41">
        <v>2700</v>
      </c>
      <c r="M41" s="1">
        <f t="shared" si="1"/>
        <v>45929</v>
      </c>
      <c r="N41" t="s">
        <v>1641</v>
      </c>
      <c r="O41">
        <v>0</v>
      </c>
    </row>
    <row r="42" spans="1:15">
      <c r="A42" s="6" t="s">
        <v>14</v>
      </c>
      <c r="B42" t="s">
        <v>15</v>
      </c>
      <c r="C42" t="s">
        <v>95</v>
      </c>
      <c r="D42" t="s">
        <v>1643</v>
      </c>
      <c r="E42" s="1">
        <v>45929</v>
      </c>
      <c r="F42">
        <v>1</v>
      </c>
      <c r="G42">
        <v>2700</v>
      </c>
      <c r="H42">
        <v>80000</v>
      </c>
      <c r="I42">
        <v>0</v>
      </c>
      <c r="J42">
        <f t="shared" si="0"/>
        <v>80000</v>
      </c>
      <c r="K42" t="s">
        <v>1640</v>
      </c>
      <c r="L42">
        <v>2700</v>
      </c>
      <c r="M42" s="1">
        <f t="shared" si="1"/>
        <v>45929</v>
      </c>
      <c r="N42" t="s">
        <v>1641</v>
      </c>
      <c r="O42">
        <v>0</v>
      </c>
    </row>
    <row r="43" spans="1:15">
      <c r="A43" s="6" t="s">
        <v>14</v>
      </c>
      <c r="B43" t="s">
        <v>15</v>
      </c>
      <c r="C43" t="s">
        <v>96</v>
      </c>
      <c r="D43" t="s">
        <v>97</v>
      </c>
      <c r="E43" s="1">
        <v>45929</v>
      </c>
      <c r="F43">
        <v>1</v>
      </c>
      <c r="G43">
        <v>2800</v>
      </c>
      <c r="H43">
        <v>105000</v>
      </c>
      <c r="I43">
        <v>0</v>
      </c>
      <c r="J43">
        <f t="shared" si="0"/>
        <v>105000</v>
      </c>
      <c r="K43" t="s">
        <v>1640</v>
      </c>
      <c r="L43">
        <v>2800</v>
      </c>
      <c r="M43" s="1">
        <f t="shared" si="1"/>
        <v>45929</v>
      </c>
      <c r="N43" t="s">
        <v>1641</v>
      </c>
      <c r="O43">
        <v>0</v>
      </c>
    </row>
    <row r="44" spans="1:15">
      <c r="A44" s="6" t="s">
        <v>14</v>
      </c>
      <c r="B44" t="s">
        <v>15</v>
      </c>
      <c r="C44" t="s">
        <v>98</v>
      </c>
      <c r="D44" t="s">
        <v>99</v>
      </c>
      <c r="E44" s="1">
        <v>45929</v>
      </c>
      <c r="F44">
        <v>1</v>
      </c>
      <c r="G44">
        <v>2640</v>
      </c>
      <c r="H44">
        <v>95275</v>
      </c>
      <c r="I44">
        <v>0</v>
      </c>
      <c r="J44">
        <f t="shared" si="0"/>
        <v>95275</v>
      </c>
      <c r="K44" t="s">
        <v>1640</v>
      </c>
      <c r="L44">
        <v>2640</v>
      </c>
      <c r="M44" s="1">
        <f t="shared" si="1"/>
        <v>45929</v>
      </c>
      <c r="N44" t="s">
        <v>1641</v>
      </c>
      <c r="O44">
        <v>0</v>
      </c>
    </row>
    <row r="45" spans="1:15">
      <c r="A45" s="6" t="s">
        <v>14</v>
      </c>
      <c r="B45" t="s">
        <v>15</v>
      </c>
      <c r="C45" t="s">
        <v>100</v>
      </c>
      <c r="D45" t="s">
        <v>101</v>
      </c>
      <c r="E45" s="1">
        <v>45929</v>
      </c>
      <c r="F45">
        <v>1</v>
      </c>
      <c r="G45">
        <v>2836.67</v>
      </c>
      <c r="H45">
        <v>92555</v>
      </c>
      <c r="I45">
        <v>0</v>
      </c>
      <c r="J45">
        <f t="shared" si="0"/>
        <v>92555</v>
      </c>
      <c r="K45" t="s">
        <v>1640</v>
      </c>
      <c r="L45">
        <v>2836.67</v>
      </c>
      <c r="M45" s="1">
        <f t="shared" si="1"/>
        <v>45929</v>
      </c>
      <c r="N45" t="s">
        <v>1641</v>
      </c>
      <c r="O45">
        <v>0</v>
      </c>
    </row>
    <row r="46" spans="1:15">
      <c r="A46" s="6" t="s">
        <v>14</v>
      </c>
      <c r="B46" t="s">
        <v>15</v>
      </c>
      <c r="C46" t="s">
        <v>102</v>
      </c>
      <c r="D46" t="s">
        <v>103</v>
      </c>
      <c r="E46" s="1">
        <v>45929</v>
      </c>
      <c r="F46">
        <v>1</v>
      </c>
      <c r="G46">
        <v>2550</v>
      </c>
      <c r="H46">
        <v>100000</v>
      </c>
      <c r="I46">
        <v>0</v>
      </c>
      <c r="J46">
        <f t="shared" si="0"/>
        <v>100000</v>
      </c>
      <c r="K46" t="s">
        <v>1640</v>
      </c>
      <c r="L46">
        <v>2550</v>
      </c>
      <c r="M46" s="1">
        <f t="shared" si="1"/>
        <v>45929</v>
      </c>
      <c r="N46" t="s">
        <v>1641</v>
      </c>
      <c r="O46">
        <v>0</v>
      </c>
    </row>
    <row r="47" spans="1:15">
      <c r="A47" s="6" t="s">
        <v>14</v>
      </c>
      <c r="B47" t="s">
        <v>15</v>
      </c>
      <c r="C47" t="s">
        <v>104</v>
      </c>
      <c r="D47" t="s">
        <v>105</v>
      </c>
      <c r="E47" s="1">
        <v>45929</v>
      </c>
      <c r="F47">
        <v>1</v>
      </c>
      <c r="G47">
        <v>4150</v>
      </c>
      <c r="H47">
        <v>75285</v>
      </c>
      <c r="I47">
        <v>0</v>
      </c>
      <c r="J47">
        <f t="shared" si="0"/>
        <v>75285</v>
      </c>
      <c r="K47" t="s">
        <v>1640</v>
      </c>
      <c r="L47">
        <v>4150</v>
      </c>
      <c r="M47" s="1">
        <f t="shared" si="1"/>
        <v>45929</v>
      </c>
      <c r="N47" t="s">
        <v>1641</v>
      </c>
      <c r="O47">
        <v>0</v>
      </c>
    </row>
    <row r="48" spans="1:15">
      <c r="A48" s="6" t="s">
        <v>14</v>
      </c>
      <c r="B48" t="s">
        <v>15</v>
      </c>
      <c r="C48" t="s">
        <v>106</v>
      </c>
      <c r="D48" t="s">
        <v>107</v>
      </c>
      <c r="E48" s="1">
        <v>45929</v>
      </c>
      <c r="F48">
        <v>1</v>
      </c>
      <c r="G48">
        <v>2926</v>
      </c>
      <c r="H48">
        <v>91996</v>
      </c>
      <c r="I48">
        <v>0</v>
      </c>
      <c r="J48">
        <f t="shared" si="0"/>
        <v>91996</v>
      </c>
      <c r="K48" t="s">
        <v>1640</v>
      </c>
      <c r="L48">
        <v>2926</v>
      </c>
      <c r="M48" s="1">
        <f t="shared" si="1"/>
        <v>45929</v>
      </c>
      <c r="N48" t="s">
        <v>1641</v>
      </c>
      <c r="O48">
        <v>0</v>
      </c>
    </row>
    <row r="49" spans="1:15">
      <c r="A49" s="6" t="s">
        <v>14</v>
      </c>
      <c r="B49" t="s">
        <v>15</v>
      </c>
      <c r="C49" t="s">
        <v>108</v>
      </c>
      <c r="D49" t="s">
        <v>109</v>
      </c>
      <c r="E49" s="1">
        <v>45929</v>
      </c>
      <c r="F49">
        <v>1</v>
      </c>
      <c r="G49">
        <v>2370</v>
      </c>
      <c r="H49">
        <v>85845</v>
      </c>
      <c r="I49">
        <v>0</v>
      </c>
      <c r="J49">
        <f t="shared" si="0"/>
        <v>85845</v>
      </c>
      <c r="K49" t="s">
        <v>1640</v>
      </c>
      <c r="L49">
        <v>2370</v>
      </c>
      <c r="M49" s="1">
        <f t="shared" si="1"/>
        <v>45929</v>
      </c>
      <c r="N49" t="s">
        <v>1641</v>
      </c>
      <c r="O49">
        <v>0</v>
      </c>
    </row>
    <row r="50" spans="1:15">
      <c r="A50" s="6" t="s">
        <v>14</v>
      </c>
      <c r="B50" t="s">
        <v>15</v>
      </c>
      <c r="C50" t="s">
        <v>110</v>
      </c>
      <c r="D50" t="s">
        <v>1644</v>
      </c>
      <c r="E50" s="1">
        <v>45929</v>
      </c>
      <c r="F50">
        <v>1</v>
      </c>
      <c r="G50">
        <v>3220</v>
      </c>
      <c r="H50">
        <v>73000</v>
      </c>
      <c r="I50">
        <v>0</v>
      </c>
      <c r="J50">
        <f t="shared" si="0"/>
        <v>73000</v>
      </c>
      <c r="K50" t="s">
        <v>1640</v>
      </c>
      <c r="L50">
        <v>3220</v>
      </c>
      <c r="M50" s="1">
        <f t="shared" si="1"/>
        <v>45929</v>
      </c>
      <c r="N50" t="s">
        <v>1641</v>
      </c>
      <c r="O50">
        <v>0</v>
      </c>
    </row>
    <row r="51" spans="1:15">
      <c r="A51" s="6" t="s">
        <v>14</v>
      </c>
      <c r="B51" t="s">
        <v>15</v>
      </c>
      <c r="C51" t="s">
        <v>111</v>
      </c>
      <c r="D51" t="s">
        <v>112</v>
      </c>
      <c r="E51" s="1">
        <v>45929</v>
      </c>
      <c r="F51">
        <v>1</v>
      </c>
      <c r="G51">
        <v>2210</v>
      </c>
      <c r="H51">
        <v>78900</v>
      </c>
      <c r="I51">
        <v>0</v>
      </c>
      <c r="J51">
        <f t="shared" si="0"/>
        <v>78900</v>
      </c>
      <c r="K51" t="s">
        <v>1640</v>
      </c>
      <c r="L51">
        <v>2210</v>
      </c>
      <c r="M51" s="1">
        <f t="shared" si="1"/>
        <v>45929</v>
      </c>
      <c r="N51" t="s">
        <v>1641</v>
      </c>
      <c r="O51">
        <v>0</v>
      </c>
    </row>
    <row r="52" spans="1:15">
      <c r="A52" s="6" t="s">
        <v>14</v>
      </c>
      <c r="B52" t="s">
        <v>15</v>
      </c>
      <c r="C52" t="s">
        <v>113</v>
      </c>
      <c r="D52" t="s">
        <v>114</v>
      </c>
      <c r="E52" s="1">
        <v>45929</v>
      </c>
      <c r="F52">
        <v>1</v>
      </c>
      <c r="G52">
        <v>4800</v>
      </c>
      <c r="H52">
        <v>160091</v>
      </c>
      <c r="I52">
        <v>0</v>
      </c>
      <c r="J52">
        <f t="shared" si="0"/>
        <v>160091</v>
      </c>
      <c r="K52" t="s">
        <v>1640</v>
      </c>
      <c r="L52">
        <v>4800</v>
      </c>
      <c r="M52" s="1">
        <f t="shared" si="1"/>
        <v>45929</v>
      </c>
      <c r="N52" t="s">
        <v>1641</v>
      </c>
      <c r="O52">
        <v>0</v>
      </c>
    </row>
    <row r="53" spans="1:15">
      <c r="A53" s="6" t="s">
        <v>14</v>
      </c>
      <c r="B53" t="s">
        <v>15</v>
      </c>
      <c r="C53" t="s">
        <v>115</v>
      </c>
      <c r="D53" t="s">
        <v>116</v>
      </c>
      <c r="E53" s="1">
        <v>45929</v>
      </c>
      <c r="F53">
        <v>1</v>
      </c>
      <c r="G53">
        <v>3400</v>
      </c>
      <c r="H53">
        <v>80000</v>
      </c>
      <c r="I53">
        <v>0</v>
      </c>
      <c r="J53">
        <f t="shared" si="0"/>
        <v>80000</v>
      </c>
      <c r="K53" t="s">
        <v>1640</v>
      </c>
      <c r="L53">
        <v>3400</v>
      </c>
      <c r="M53" s="1">
        <f t="shared" si="1"/>
        <v>45929</v>
      </c>
      <c r="N53" t="s">
        <v>1641</v>
      </c>
      <c r="O53">
        <v>0</v>
      </c>
    </row>
    <row r="54" spans="1:15">
      <c r="A54" s="6" t="s">
        <v>14</v>
      </c>
      <c r="B54" t="s">
        <v>15</v>
      </c>
      <c r="C54" t="s">
        <v>117</v>
      </c>
      <c r="D54" t="s">
        <v>118</v>
      </c>
      <c r="E54" s="1">
        <v>45929</v>
      </c>
      <c r="F54">
        <v>1</v>
      </c>
      <c r="G54">
        <v>2520</v>
      </c>
      <c r="H54">
        <v>73000</v>
      </c>
      <c r="I54">
        <v>0</v>
      </c>
      <c r="J54">
        <f t="shared" si="0"/>
        <v>73000</v>
      </c>
      <c r="K54" t="s">
        <v>1640</v>
      </c>
      <c r="L54">
        <v>2520</v>
      </c>
      <c r="M54" s="1">
        <f t="shared" si="1"/>
        <v>45929</v>
      </c>
      <c r="N54" t="s">
        <v>1641</v>
      </c>
      <c r="O54">
        <v>0</v>
      </c>
    </row>
    <row r="55" spans="1:15">
      <c r="A55" s="6" t="s">
        <v>14</v>
      </c>
      <c r="B55" t="s">
        <v>15</v>
      </c>
      <c r="C55" t="s">
        <v>119</v>
      </c>
      <c r="D55" t="s">
        <v>120</v>
      </c>
      <c r="E55" s="1">
        <v>45929</v>
      </c>
      <c r="F55">
        <v>1</v>
      </c>
      <c r="G55">
        <v>3280</v>
      </c>
      <c r="H55">
        <v>95000</v>
      </c>
      <c r="I55">
        <v>0</v>
      </c>
      <c r="J55">
        <f t="shared" si="0"/>
        <v>95000</v>
      </c>
      <c r="K55" t="s">
        <v>1640</v>
      </c>
      <c r="L55">
        <v>3280</v>
      </c>
      <c r="M55" s="1">
        <f t="shared" si="1"/>
        <v>45929</v>
      </c>
      <c r="N55" t="s">
        <v>1641</v>
      </c>
      <c r="O55">
        <v>0</v>
      </c>
    </row>
    <row r="56" spans="1:15">
      <c r="A56" s="6" t="s">
        <v>14</v>
      </c>
      <c r="B56" t="s">
        <v>15</v>
      </c>
      <c r="C56" t="s">
        <v>121</v>
      </c>
      <c r="D56" t="s">
        <v>122</v>
      </c>
      <c r="E56" s="1">
        <v>45929</v>
      </c>
      <c r="F56">
        <v>1</v>
      </c>
      <c r="G56">
        <v>3116.67</v>
      </c>
      <c r="H56">
        <v>73818</v>
      </c>
      <c r="I56">
        <v>0</v>
      </c>
      <c r="J56">
        <f t="shared" si="0"/>
        <v>73818</v>
      </c>
      <c r="K56" t="s">
        <v>1640</v>
      </c>
      <c r="L56">
        <v>3116.67</v>
      </c>
      <c r="M56" s="1">
        <f t="shared" si="1"/>
        <v>45929</v>
      </c>
      <c r="N56" t="s">
        <v>1641</v>
      </c>
      <c r="O56">
        <v>0</v>
      </c>
    </row>
    <row r="57" spans="1:15">
      <c r="A57" s="6" t="s">
        <v>14</v>
      </c>
      <c r="B57" t="s">
        <v>15</v>
      </c>
      <c r="C57" t="s">
        <v>123</v>
      </c>
      <c r="D57" t="s">
        <v>124</v>
      </c>
      <c r="E57" s="1">
        <v>45929</v>
      </c>
      <c r="F57">
        <v>1</v>
      </c>
      <c r="G57">
        <v>1575</v>
      </c>
      <c r="H57">
        <v>78148</v>
      </c>
      <c r="I57">
        <v>0</v>
      </c>
      <c r="J57">
        <f t="shared" si="0"/>
        <v>78148</v>
      </c>
      <c r="K57" t="s">
        <v>1640</v>
      </c>
      <c r="L57">
        <v>1575</v>
      </c>
      <c r="M57" s="1">
        <f t="shared" si="1"/>
        <v>45929</v>
      </c>
      <c r="N57" t="s">
        <v>1641</v>
      </c>
      <c r="O57">
        <v>0</v>
      </c>
    </row>
    <row r="58" spans="1:15">
      <c r="A58" s="6" t="s">
        <v>14</v>
      </c>
      <c r="B58" t="s">
        <v>15</v>
      </c>
      <c r="C58" t="s">
        <v>125</v>
      </c>
      <c r="D58" t="s">
        <v>126</v>
      </c>
      <c r="E58" s="1">
        <v>45929</v>
      </c>
      <c r="F58">
        <v>1</v>
      </c>
      <c r="G58">
        <v>2676.67</v>
      </c>
      <c r="H58">
        <v>84023</v>
      </c>
      <c r="I58">
        <v>0</v>
      </c>
      <c r="J58">
        <f t="shared" si="0"/>
        <v>84023</v>
      </c>
      <c r="K58" t="s">
        <v>1640</v>
      </c>
      <c r="L58">
        <v>2676.67</v>
      </c>
      <c r="M58" s="1">
        <f t="shared" si="1"/>
        <v>45929</v>
      </c>
      <c r="N58" t="s">
        <v>1641</v>
      </c>
      <c r="O58">
        <v>0</v>
      </c>
    </row>
    <row r="59" spans="1:15">
      <c r="A59" s="6" t="s">
        <v>14</v>
      </c>
      <c r="B59" t="s">
        <v>15</v>
      </c>
      <c r="C59" t="s">
        <v>127</v>
      </c>
      <c r="D59" t="s">
        <v>128</v>
      </c>
      <c r="E59" s="1">
        <v>45929</v>
      </c>
      <c r="F59">
        <v>1</v>
      </c>
      <c r="G59">
        <v>2750</v>
      </c>
      <c r="H59">
        <v>89318</v>
      </c>
      <c r="I59">
        <v>0</v>
      </c>
      <c r="J59">
        <f t="shared" si="0"/>
        <v>89318</v>
      </c>
      <c r="K59" t="s">
        <v>1640</v>
      </c>
      <c r="L59">
        <v>2750</v>
      </c>
      <c r="M59" s="1">
        <f t="shared" si="1"/>
        <v>45929</v>
      </c>
      <c r="N59" t="s">
        <v>1641</v>
      </c>
      <c r="O59">
        <v>0</v>
      </c>
    </row>
    <row r="60" spans="1:15">
      <c r="A60" s="6" t="s">
        <v>14</v>
      </c>
      <c r="B60" t="s">
        <v>15</v>
      </c>
      <c r="C60" t="s">
        <v>129</v>
      </c>
      <c r="D60" t="s">
        <v>130</v>
      </c>
      <c r="E60" s="1">
        <v>45929</v>
      </c>
      <c r="F60">
        <v>1</v>
      </c>
      <c r="G60">
        <v>2840</v>
      </c>
      <c r="H60">
        <v>94515</v>
      </c>
      <c r="I60">
        <v>0</v>
      </c>
      <c r="J60">
        <f t="shared" si="0"/>
        <v>94515</v>
      </c>
      <c r="K60" t="s">
        <v>1640</v>
      </c>
      <c r="L60">
        <v>2840</v>
      </c>
      <c r="M60" s="1">
        <f t="shared" si="1"/>
        <v>45929</v>
      </c>
      <c r="N60" t="s">
        <v>1641</v>
      </c>
      <c r="O60">
        <v>0</v>
      </c>
    </row>
    <row r="61" spans="1:15">
      <c r="A61" s="6" t="s">
        <v>14</v>
      </c>
      <c r="B61" t="s">
        <v>15</v>
      </c>
      <c r="C61" t="s">
        <v>131</v>
      </c>
      <c r="D61" t="s">
        <v>132</v>
      </c>
      <c r="E61" s="1">
        <v>45929</v>
      </c>
      <c r="F61">
        <v>1</v>
      </c>
      <c r="G61">
        <v>2600</v>
      </c>
      <c r="H61">
        <v>98883</v>
      </c>
      <c r="I61">
        <v>0</v>
      </c>
      <c r="J61">
        <f t="shared" si="0"/>
        <v>98883</v>
      </c>
      <c r="K61" t="s">
        <v>1640</v>
      </c>
      <c r="L61">
        <v>2600</v>
      </c>
      <c r="M61" s="1">
        <f t="shared" si="1"/>
        <v>45929</v>
      </c>
      <c r="N61" t="s">
        <v>1641</v>
      </c>
      <c r="O61">
        <v>0</v>
      </c>
    </row>
    <row r="62" spans="1:15">
      <c r="A62" s="6" t="s">
        <v>14</v>
      </c>
      <c r="B62" t="s">
        <v>15</v>
      </c>
      <c r="C62" t="s">
        <v>133</v>
      </c>
      <c r="D62" t="s">
        <v>134</v>
      </c>
      <c r="E62" s="1">
        <v>45929</v>
      </c>
      <c r="F62">
        <v>1</v>
      </c>
      <c r="G62">
        <v>2566.67</v>
      </c>
      <c r="H62">
        <v>93833</v>
      </c>
      <c r="I62">
        <v>0</v>
      </c>
      <c r="J62">
        <f t="shared" si="0"/>
        <v>93833</v>
      </c>
      <c r="K62" t="s">
        <v>1640</v>
      </c>
      <c r="L62">
        <v>2566.67</v>
      </c>
      <c r="M62" s="1">
        <f t="shared" si="1"/>
        <v>45929</v>
      </c>
      <c r="N62" t="s">
        <v>1641</v>
      </c>
      <c r="O62">
        <v>0</v>
      </c>
    </row>
    <row r="63" spans="1:15">
      <c r="A63" s="6" t="s">
        <v>14</v>
      </c>
      <c r="B63" t="s">
        <v>15</v>
      </c>
      <c r="C63" t="s">
        <v>135</v>
      </c>
      <c r="D63" t="s">
        <v>136</v>
      </c>
      <c r="E63" s="1">
        <v>45929</v>
      </c>
      <c r="F63">
        <v>1</v>
      </c>
      <c r="G63">
        <v>2686.67</v>
      </c>
      <c r="H63">
        <v>98888</v>
      </c>
      <c r="I63">
        <v>0</v>
      </c>
      <c r="J63">
        <f t="shared" si="0"/>
        <v>98888</v>
      </c>
      <c r="K63" t="s">
        <v>1640</v>
      </c>
      <c r="L63">
        <v>2686.67</v>
      </c>
      <c r="M63" s="1">
        <f t="shared" si="1"/>
        <v>45929</v>
      </c>
      <c r="N63" t="s">
        <v>1641</v>
      </c>
      <c r="O63">
        <v>0</v>
      </c>
    </row>
    <row r="64" spans="1:15">
      <c r="A64" s="6" t="s">
        <v>14</v>
      </c>
      <c r="B64" t="s">
        <v>15</v>
      </c>
      <c r="C64" t="s">
        <v>137</v>
      </c>
      <c r="D64" t="s">
        <v>138</v>
      </c>
      <c r="E64" s="1">
        <v>45929</v>
      </c>
      <c r="F64">
        <v>1</v>
      </c>
      <c r="G64">
        <v>3520</v>
      </c>
      <c r="H64">
        <v>140559</v>
      </c>
      <c r="I64">
        <v>0</v>
      </c>
      <c r="J64">
        <f t="shared" si="0"/>
        <v>140559</v>
      </c>
      <c r="K64" t="s">
        <v>1640</v>
      </c>
      <c r="L64">
        <v>3520</v>
      </c>
      <c r="M64" s="1">
        <f t="shared" si="1"/>
        <v>45929</v>
      </c>
      <c r="N64" t="s">
        <v>1641</v>
      </c>
      <c r="O64">
        <v>0</v>
      </c>
    </row>
    <row r="65" spans="1:15">
      <c r="A65" s="6" t="s">
        <v>14</v>
      </c>
      <c r="B65" t="s">
        <v>15</v>
      </c>
      <c r="C65" t="s">
        <v>139</v>
      </c>
      <c r="D65" t="s">
        <v>140</v>
      </c>
      <c r="E65" s="1">
        <v>45929</v>
      </c>
      <c r="F65">
        <v>1</v>
      </c>
      <c r="G65">
        <v>2860</v>
      </c>
      <c r="H65">
        <v>98888</v>
      </c>
      <c r="I65">
        <v>0</v>
      </c>
      <c r="J65">
        <f t="shared" si="0"/>
        <v>98888</v>
      </c>
      <c r="K65" t="s">
        <v>1640</v>
      </c>
      <c r="L65">
        <v>2860</v>
      </c>
      <c r="M65" s="1">
        <f t="shared" si="1"/>
        <v>45929</v>
      </c>
      <c r="N65" t="s">
        <v>1641</v>
      </c>
      <c r="O65">
        <v>0</v>
      </c>
    </row>
    <row r="66" spans="1:15">
      <c r="A66" s="6" t="s">
        <v>14</v>
      </c>
      <c r="B66" t="s">
        <v>15</v>
      </c>
      <c r="C66" t="s">
        <v>141</v>
      </c>
      <c r="D66" t="s">
        <v>142</v>
      </c>
      <c r="E66" s="1">
        <v>45929</v>
      </c>
      <c r="F66">
        <v>1</v>
      </c>
      <c r="G66">
        <v>2860</v>
      </c>
      <c r="H66">
        <v>98888</v>
      </c>
      <c r="I66">
        <v>0</v>
      </c>
      <c r="J66">
        <f t="shared" si="0"/>
        <v>98888</v>
      </c>
      <c r="K66" t="s">
        <v>1640</v>
      </c>
      <c r="L66">
        <v>2860</v>
      </c>
      <c r="M66" s="1">
        <f t="shared" si="1"/>
        <v>45929</v>
      </c>
      <c r="N66" t="s">
        <v>1641</v>
      </c>
      <c r="O66">
        <v>0</v>
      </c>
    </row>
    <row r="67" spans="1:15">
      <c r="A67" s="6" t="s">
        <v>14</v>
      </c>
      <c r="B67" t="s">
        <v>15</v>
      </c>
      <c r="C67" t="s">
        <v>143</v>
      </c>
      <c r="D67" t="s">
        <v>144</v>
      </c>
      <c r="E67" s="1">
        <v>45929</v>
      </c>
      <c r="F67">
        <v>1</v>
      </c>
      <c r="G67">
        <v>3376.67</v>
      </c>
      <c r="H67">
        <v>108000</v>
      </c>
      <c r="I67">
        <v>0</v>
      </c>
      <c r="J67">
        <f t="shared" ref="J67:J130" si="2">H67-I67</f>
        <v>108000</v>
      </c>
      <c r="K67" t="s">
        <v>1640</v>
      </c>
      <c r="L67">
        <v>3376.67</v>
      </c>
      <c r="M67" s="1">
        <f t="shared" ref="M67:M130" si="3">E67</f>
        <v>45929</v>
      </c>
      <c r="N67" t="s">
        <v>1641</v>
      </c>
      <c r="O67">
        <v>0</v>
      </c>
    </row>
    <row r="68" spans="1:15">
      <c r="A68" s="6" t="s">
        <v>14</v>
      </c>
      <c r="B68" t="s">
        <v>15</v>
      </c>
      <c r="C68" t="s">
        <v>145</v>
      </c>
      <c r="D68" t="s">
        <v>146</v>
      </c>
      <c r="E68" s="1">
        <v>45929</v>
      </c>
      <c r="F68">
        <v>1</v>
      </c>
      <c r="G68">
        <v>2237.1999999999998</v>
      </c>
      <c r="H68">
        <v>78000</v>
      </c>
      <c r="I68">
        <v>0</v>
      </c>
      <c r="J68">
        <f t="shared" si="2"/>
        <v>78000</v>
      </c>
      <c r="K68" t="s">
        <v>1640</v>
      </c>
      <c r="L68">
        <v>2237.1999999999998</v>
      </c>
      <c r="M68" s="1">
        <f t="shared" si="3"/>
        <v>45929</v>
      </c>
      <c r="N68" t="s">
        <v>1641</v>
      </c>
      <c r="O68">
        <v>0</v>
      </c>
    </row>
    <row r="69" spans="1:15">
      <c r="A69" s="6" t="s">
        <v>14</v>
      </c>
      <c r="B69" t="s">
        <v>15</v>
      </c>
      <c r="C69" t="s">
        <v>147</v>
      </c>
      <c r="D69" t="s">
        <v>148</v>
      </c>
      <c r="E69" s="1">
        <v>45929</v>
      </c>
      <c r="F69">
        <v>1</v>
      </c>
      <c r="G69">
        <v>2610</v>
      </c>
      <c r="H69">
        <v>81225</v>
      </c>
      <c r="I69">
        <v>0</v>
      </c>
      <c r="J69">
        <f t="shared" si="2"/>
        <v>81225</v>
      </c>
      <c r="K69" t="s">
        <v>1640</v>
      </c>
      <c r="L69">
        <v>2610</v>
      </c>
      <c r="M69" s="1">
        <f t="shared" si="3"/>
        <v>45929</v>
      </c>
      <c r="N69" t="s">
        <v>1641</v>
      </c>
      <c r="O69">
        <v>0</v>
      </c>
    </row>
    <row r="70" spans="1:15">
      <c r="A70" s="6" t="s">
        <v>14</v>
      </c>
      <c r="B70" t="s">
        <v>15</v>
      </c>
      <c r="C70" t="s">
        <v>149</v>
      </c>
      <c r="D70" t="s">
        <v>150</v>
      </c>
      <c r="E70" s="1">
        <v>45929</v>
      </c>
      <c r="F70">
        <v>1</v>
      </c>
      <c r="G70">
        <v>2383.33</v>
      </c>
      <c r="H70">
        <v>104637</v>
      </c>
      <c r="I70">
        <v>0</v>
      </c>
      <c r="J70">
        <f t="shared" si="2"/>
        <v>104637</v>
      </c>
      <c r="K70" t="s">
        <v>1640</v>
      </c>
      <c r="L70">
        <v>2383.33</v>
      </c>
      <c r="M70" s="1">
        <f t="shared" si="3"/>
        <v>45929</v>
      </c>
      <c r="N70" t="s">
        <v>1641</v>
      </c>
      <c r="O70">
        <v>0</v>
      </c>
    </row>
    <row r="71" spans="1:15">
      <c r="A71" s="6" t="s">
        <v>14</v>
      </c>
      <c r="B71" t="s">
        <v>15</v>
      </c>
      <c r="C71" t="s">
        <v>151</v>
      </c>
      <c r="D71" t="s">
        <v>152</v>
      </c>
      <c r="E71" s="1">
        <v>45929</v>
      </c>
      <c r="F71">
        <v>1</v>
      </c>
      <c r="G71">
        <v>2406.67</v>
      </c>
      <c r="H71">
        <v>79477</v>
      </c>
      <c r="I71">
        <v>0</v>
      </c>
      <c r="J71">
        <f t="shared" si="2"/>
        <v>79477</v>
      </c>
      <c r="K71" t="s">
        <v>1640</v>
      </c>
      <c r="L71">
        <v>2406.67</v>
      </c>
      <c r="M71" s="1">
        <f t="shared" si="3"/>
        <v>45929</v>
      </c>
      <c r="N71" t="s">
        <v>1641</v>
      </c>
      <c r="O71">
        <v>0</v>
      </c>
    </row>
    <row r="72" spans="1:15">
      <c r="A72" s="6" t="s">
        <v>14</v>
      </c>
      <c r="B72" t="s">
        <v>15</v>
      </c>
      <c r="C72" t="s">
        <v>153</v>
      </c>
      <c r="D72" t="s">
        <v>154</v>
      </c>
      <c r="E72" s="1">
        <v>45929</v>
      </c>
      <c r="F72">
        <v>1</v>
      </c>
      <c r="G72">
        <v>3306</v>
      </c>
      <c r="H72">
        <v>100000</v>
      </c>
      <c r="I72">
        <v>0</v>
      </c>
      <c r="J72">
        <f t="shared" si="2"/>
        <v>100000</v>
      </c>
      <c r="K72" t="s">
        <v>1640</v>
      </c>
      <c r="L72">
        <v>3306</v>
      </c>
      <c r="M72" s="1">
        <f t="shared" si="3"/>
        <v>45929</v>
      </c>
      <c r="N72" t="s">
        <v>1641</v>
      </c>
      <c r="O72">
        <v>0</v>
      </c>
    </row>
    <row r="73" spans="1:15">
      <c r="A73" s="6" t="s">
        <v>14</v>
      </c>
      <c r="B73" t="s">
        <v>15</v>
      </c>
      <c r="C73" t="s">
        <v>155</v>
      </c>
      <c r="D73" t="s">
        <v>156</v>
      </c>
      <c r="E73" s="1">
        <v>45929</v>
      </c>
      <c r="F73">
        <v>1</v>
      </c>
      <c r="G73">
        <v>4960</v>
      </c>
      <c r="H73">
        <v>170000</v>
      </c>
      <c r="I73">
        <v>0</v>
      </c>
      <c r="J73">
        <f t="shared" si="2"/>
        <v>170000</v>
      </c>
      <c r="K73" t="s">
        <v>1640</v>
      </c>
      <c r="L73">
        <v>4960</v>
      </c>
      <c r="M73" s="1">
        <f t="shared" si="3"/>
        <v>45929</v>
      </c>
      <c r="N73" t="s">
        <v>1641</v>
      </c>
      <c r="O73">
        <v>0</v>
      </c>
    </row>
    <row r="74" spans="1:15">
      <c r="A74" s="6" t="s">
        <v>14</v>
      </c>
      <c r="B74" t="s">
        <v>15</v>
      </c>
      <c r="C74" t="s">
        <v>157</v>
      </c>
      <c r="D74" t="s">
        <v>158</v>
      </c>
      <c r="E74" s="1">
        <v>45929</v>
      </c>
      <c r="F74">
        <v>1</v>
      </c>
      <c r="G74">
        <v>2970</v>
      </c>
      <c r="H74">
        <v>89244</v>
      </c>
      <c r="I74">
        <v>0</v>
      </c>
      <c r="J74">
        <f t="shared" si="2"/>
        <v>89244</v>
      </c>
      <c r="K74" t="s">
        <v>1640</v>
      </c>
      <c r="L74">
        <v>2970</v>
      </c>
      <c r="M74" s="1">
        <f t="shared" si="3"/>
        <v>45929</v>
      </c>
      <c r="N74" t="s">
        <v>1641</v>
      </c>
      <c r="O74">
        <v>0</v>
      </c>
    </row>
    <row r="75" spans="1:15">
      <c r="A75" s="6" t="s">
        <v>14</v>
      </c>
      <c r="B75" t="s">
        <v>15</v>
      </c>
      <c r="C75" t="s">
        <v>159</v>
      </c>
      <c r="D75" t="s">
        <v>160</v>
      </c>
      <c r="E75" s="1">
        <v>45929</v>
      </c>
      <c r="F75">
        <v>1</v>
      </c>
      <c r="G75">
        <v>4423.33</v>
      </c>
      <c r="H75">
        <v>100000</v>
      </c>
      <c r="I75">
        <v>0</v>
      </c>
      <c r="J75">
        <f t="shared" si="2"/>
        <v>100000</v>
      </c>
      <c r="K75" t="s">
        <v>1640</v>
      </c>
      <c r="L75">
        <v>4423.33</v>
      </c>
      <c r="M75" s="1">
        <f t="shared" si="3"/>
        <v>45929</v>
      </c>
      <c r="N75" t="s">
        <v>1641</v>
      </c>
      <c r="O75">
        <v>0</v>
      </c>
    </row>
    <row r="76" spans="1:15">
      <c r="A76" s="6" t="s">
        <v>14</v>
      </c>
      <c r="B76" t="s">
        <v>15</v>
      </c>
      <c r="C76" t="s">
        <v>161</v>
      </c>
      <c r="D76" t="s">
        <v>162</v>
      </c>
      <c r="E76" s="1">
        <v>45929</v>
      </c>
      <c r="F76">
        <v>1</v>
      </c>
      <c r="G76">
        <v>2120</v>
      </c>
      <c r="H76">
        <v>86000</v>
      </c>
      <c r="I76">
        <v>0</v>
      </c>
      <c r="J76">
        <f t="shared" si="2"/>
        <v>86000</v>
      </c>
      <c r="K76" t="s">
        <v>1640</v>
      </c>
      <c r="L76">
        <v>2120</v>
      </c>
      <c r="M76" s="1">
        <f t="shared" si="3"/>
        <v>45929</v>
      </c>
      <c r="N76" t="s">
        <v>1641</v>
      </c>
      <c r="O76">
        <v>0</v>
      </c>
    </row>
    <row r="77" spans="1:15">
      <c r="A77" s="6" t="s">
        <v>14</v>
      </c>
      <c r="B77" t="s">
        <v>15</v>
      </c>
      <c r="C77" t="s">
        <v>163</v>
      </c>
      <c r="D77" t="s">
        <v>164</v>
      </c>
      <c r="E77" s="1">
        <v>45929</v>
      </c>
      <c r="F77">
        <v>1</v>
      </c>
      <c r="G77">
        <v>2486.67</v>
      </c>
      <c r="H77">
        <v>97065</v>
      </c>
      <c r="I77">
        <v>0</v>
      </c>
      <c r="J77">
        <f t="shared" si="2"/>
        <v>97065</v>
      </c>
      <c r="K77" t="s">
        <v>1640</v>
      </c>
      <c r="L77">
        <v>2486.67</v>
      </c>
      <c r="M77" s="1">
        <f t="shared" si="3"/>
        <v>45929</v>
      </c>
      <c r="N77" t="s">
        <v>1641</v>
      </c>
      <c r="O77">
        <v>0</v>
      </c>
    </row>
    <row r="78" spans="1:15">
      <c r="A78" s="6" t="s">
        <v>14</v>
      </c>
      <c r="B78" t="s">
        <v>15</v>
      </c>
      <c r="C78" t="s">
        <v>165</v>
      </c>
      <c r="D78" t="s">
        <v>166</v>
      </c>
      <c r="E78" s="1">
        <v>45929</v>
      </c>
      <c r="F78">
        <v>1</v>
      </c>
      <c r="G78">
        <v>2108.33</v>
      </c>
      <c r="H78">
        <v>128998</v>
      </c>
      <c r="I78">
        <v>0</v>
      </c>
      <c r="J78">
        <f t="shared" si="2"/>
        <v>128998</v>
      </c>
      <c r="K78" t="s">
        <v>1640</v>
      </c>
      <c r="L78">
        <v>2108.33</v>
      </c>
      <c r="M78" s="1">
        <f t="shared" si="3"/>
        <v>45929</v>
      </c>
      <c r="N78" t="s">
        <v>1641</v>
      </c>
      <c r="O78">
        <v>0</v>
      </c>
    </row>
    <row r="79" spans="1:15">
      <c r="A79" s="6" t="s">
        <v>14</v>
      </c>
      <c r="B79" t="s">
        <v>15</v>
      </c>
      <c r="C79" t="s">
        <v>167</v>
      </c>
      <c r="D79" t="s">
        <v>168</v>
      </c>
      <c r="E79" s="1">
        <v>45929</v>
      </c>
      <c r="F79">
        <v>1</v>
      </c>
      <c r="G79">
        <v>2610</v>
      </c>
      <c r="H79">
        <v>86485</v>
      </c>
      <c r="I79">
        <v>0</v>
      </c>
      <c r="J79">
        <f t="shared" si="2"/>
        <v>86485</v>
      </c>
      <c r="K79" t="s">
        <v>1640</v>
      </c>
      <c r="L79">
        <v>2610</v>
      </c>
      <c r="M79" s="1">
        <f t="shared" si="3"/>
        <v>45929</v>
      </c>
      <c r="N79" t="s">
        <v>1641</v>
      </c>
      <c r="O79">
        <v>0</v>
      </c>
    </row>
    <row r="80" spans="1:15">
      <c r="A80" s="6" t="s">
        <v>14</v>
      </c>
      <c r="B80" t="s">
        <v>15</v>
      </c>
      <c r="C80" t="s">
        <v>169</v>
      </c>
      <c r="D80" t="s">
        <v>170</v>
      </c>
      <c r="E80" s="1">
        <v>45929</v>
      </c>
      <c r="F80">
        <v>1</v>
      </c>
      <c r="G80">
        <v>2805</v>
      </c>
      <c r="H80">
        <v>83860</v>
      </c>
      <c r="I80">
        <v>0</v>
      </c>
      <c r="J80">
        <f t="shared" si="2"/>
        <v>83860</v>
      </c>
      <c r="K80" t="s">
        <v>1640</v>
      </c>
      <c r="L80">
        <v>2805</v>
      </c>
      <c r="M80" s="1">
        <f t="shared" si="3"/>
        <v>45929</v>
      </c>
      <c r="N80" t="s">
        <v>1641</v>
      </c>
      <c r="O80">
        <v>0</v>
      </c>
    </row>
    <row r="81" spans="1:15">
      <c r="A81" s="6" t="s">
        <v>14</v>
      </c>
      <c r="B81" t="s">
        <v>15</v>
      </c>
      <c r="C81" t="s">
        <v>171</v>
      </c>
      <c r="D81" t="s">
        <v>172</v>
      </c>
      <c r="E81" s="1">
        <v>45929</v>
      </c>
      <c r="F81">
        <v>1</v>
      </c>
      <c r="G81">
        <v>4216.67</v>
      </c>
      <c r="H81">
        <v>169978</v>
      </c>
      <c r="I81">
        <v>0</v>
      </c>
      <c r="J81">
        <f t="shared" si="2"/>
        <v>169978</v>
      </c>
      <c r="K81" t="s">
        <v>1640</v>
      </c>
      <c r="L81">
        <v>4216.67</v>
      </c>
      <c r="M81" s="1">
        <f t="shared" si="3"/>
        <v>45929</v>
      </c>
      <c r="N81" t="s">
        <v>1641</v>
      </c>
      <c r="O81">
        <v>0</v>
      </c>
    </row>
    <row r="82" spans="1:15">
      <c r="A82" s="6" t="s">
        <v>14</v>
      </c>
      <c r="B82" t="s">
        <v>15</v>
      </c>
      <c r="C82" t="s">
        <v>173</v>
      </c>
      <c r="D82" t="s">
        <v>174</v>
      </c>
      <c r="E82" s="1">
        <v>45929</v>
      </c>
      <c r="F82">
        <v>1</v>
      </c>
      <c r="G82">
        <v>1820</v>
      </c>
      <c r="H82">
        <v>94861</v>
      </c>
      <c r="I82">
        <v>0</v>
      </c>
      <c r="J82">
        <f t="shared" si="2"/>
        <v>94861</v>
      </c>
      <c r="K82" t="s">
        <v>1640</v>
      </c>
      <c r="L82">
        <v>1820</v>
      </c>
      <c r="M82" s="1">
        <f t="shared" si="3"/>
        <v>45929</v>
      </c>
      <c r="N82" t="s">
        <v>1641</v>
      </c>
      <c r="O82">
        <v>0</v>
      </c>
    </row>
    <row r="83" spans="1:15">
      <c r="A83" s="6" t="s">
        <v>14</v>
      </c>
      <c r="B83" t="s">
        <v>15</v>
      </c>
      <c r="C83" t="s">
        <v>175</v>
      </c>
      <c r="D83" t="s">
        <v>176</v>
      </c>
      <c r="E83" s="1">
        <v>45929</v>
      </c>
      <c r="F83">
        <v>1</v>
      </c>
      <c r="G83">
        <v>1833.33</v>
      </c>
      <c r="H83">
        <v>84036</v>
      </c>
      <c r="I83">
        <v>0</v>
      </c>
      <c r="J83">
        <f t="shared" si="2"/>
        <v>84036</v>
      </c>
      <c r="K83" t="s">
        <v>1640</v>
      </c>
      <c r="L83">
        <v>1833.33</v>
      </c>
      <c r="M83" s="1">
        <f t="shared" si="3"/>
        <v>45929</v>
      </c>
      <c r="N83" t="s">
        <v>1641</v>
      </c>
      <c r="O83">
        <v>0</v>
      </c>
    </row>
    <row r="84" spans="1:15">
      <c r="A84" s="6" t="s">
        <v>14</v>
      </c>
      <c r="B84" t="s">
        <v>15</v>
      </c>
      <c r="C84" t="s">
        <v>177</v>
      </c>
      <c r="D84" t="s">
        <v>178</v>
      </c>
      <c r="E84" s="1">
        <v>45929</v>
      </c>
      <c r="F84">
        <v>1</v>
      </c>
      <c r="G84">
        <v>2600</v>
      </c>
      <c r="H84">
        <v>73660</v>
      </c>
      <c r="I84">
        <v>0</v>
      </c>
      <c r="J84">
        <f t="shared" si="2"/>
        <v>73660</v>
      </c>
      <c r="K84" t="s">
        <v>1640</v>
      </c>
      <c r="L84">
        <v>2600</v>
      </c>
      <c r="M84" s="1">
        <f t="shared" si="3"/>
        <v>45929</v>
      </c>
      <c r="N84" t="s">
        <v>1641</v>
      </c>
      <c r="O84">
        <v>0</v>
      </c>
    </row>
    <row r="85" spans="1:15">
      <c r="A85" s="6" t="s">
        <v>14</v>
      </c>
      <c r="B85" t="s">
        <v>15</v>
      </c>
      <c r="C85" t="s">
        <v>179</v>
      </c>
      <c r="D85" t="s">
        <v>180</v>
      </c>
      <c r="E85" s="1">
        <v>45929</v>
      </c>
      <c r="F85">
        <v>1</v>
      </c>
      <c r="G85">
        <v>2035</v>
      </c>
      <c r="H85">
        <v>125000</v>
      </c>
      <c r="I85">
        <v>0</v>
      </c>
      <c r="J85">
        <f t="shared" si="2"/>
        <v>125000</v>
      </c>
      <c r="K85" t="s">
        <v>1640</v>
      </c>
      <c r="L85">
        <v>2035</v>
      </c>
      <c r="M85" s="1">
        <f t="shared" si="3"/>
        <v>45929</v>
      </c>
      <c r="N85" t="s">
        <v>1641</v>
      </c>
      <c r="O85">
        <v>0</v>
      </c>
    </row>
    <row r="86" spans="1:15">
      <c r="A86" s="6" t="s">
        <v>14</v>
      </c>
      <c r="B86" t="s">
        <v>15</v>
      </c>
      <c r="C86" t="s">
        <v>181</v>
      </c>
      <c r="D86" t="s">
        <v>182</v>
      </c>
      <c r="E86" s="1">
        <v>45929</v>
      </c>
      <c r="F86">
        <v>1</v>
      </c>
      <c r="G86">
        <v>4000</v>
      </c>
      <c r="H86">
        <v>84886</v>
      </c>
      <c r="I86">
        <v>0</v>
      </c>
      <c r="J86">
        <f t="shared" si="2"/>
        <v>84886</v>
      </c>
      <c r="K86" t="s">
        <v>1640</v>
      </c>
      <c r="L86">
        <v>4000</v>
      </c>
      <c r="M86" s="1">
        <f t="shared" si="3"/>
        <v>45929</v>
      </c>
      <c r="N86" t="s">
        <v>1641</v>
      </c>
      <c r="O86">
        <v>0</v>
      </c>
    </row>
    <row r="87" spans="1:15">
      <c r="A87" s="6" t="s">
        <v>14</v>
      </c>
      <c r="B87" t="s">
        <v>15</v>
      </c>
      <c r="C87" t="s">
        <v>183</v>
      </c>
      <c r="D87" t="s">
        <v>184</v>
      </c>
      <c r="E87" s="1">
        <v>45929</v>
      </c>
      <c r="F87">
        <v>1</v>
      </c>
      <c r="G87">
        <v>2543.33</v>
      </c>
      <c r="H87">
        <v>87520</v>
      </c>
      <c r="I87">
        <v>0</v>
      </c>
      <c r="J87">
        <f t="shared" si="2"/>
        <v>87520</v>
      </c>
      <c r="K87" t="s">
        <v>1640</v>
      </c>
      <c r="L87">
        <v>2543.33</v>
      </c>
      <c r="M87" s="1">
        <f t="shared" si="3"/>
        <v>45929</v>
      </c>
      <c r="N87" t="s">
        <v>1641</v>
      </c>
      <c r="O87">
        <v>0</v>
      </c>
    </row>
    <row r="88" spans="1:15">
      <c r="A88" s="6" t="s">
        <v>14</v>
      </c>
      <c r="B88" t="s">
        <v>15</v>
      </c>
      <c r="C88" t="s">
        <v>185</v>
      </c>
      <c r="D88" t="s">
        <v>186</v>
      </c>
      <c r="E88" s="1">
        <v>45929</v>
      </c>
      <c r="F88">
        <v>1</v>
      </c>
      <c r="G88">
        <v>4530</v>
      </c>
      <c r="H88">
        <v>106000</v>
      </c>
      <c r="I88">
        <v>0</v>
      </c>
      <c r="J88">
        <f t="shared" si="2"/>
        <v>106000</v>
      </c>
      <c r="K88" t="s">
        <v>1640</v>
      </c>
      <c r="L88">
        <v>4530</v>
      </c>
      <c r="M88" s="1">
        <f t="shared" si="3"/>
        <v>45929</v>
      </c>
      <c r="N88" t="s">
        <v>1641</v>
      </c>
      <c r="O88">
        <v>0</v>
      </c>
    </row>
    <row r="89" spans="1:15">
      <c r="A89" s="6" t="s">
        <v>14</v>
      </c>
      <c r="B89" t="s">
        <v>15</v>
      </c>
      <c r="C89" t="s">
        <v>187</v>
      </c>
      <c r="D89" t="s">
        <v>188</v>
      </c>
      <c r="E89" s="1">
        <v>45929</v>
      </c>
      <c r="F89">
        <v>1</v>
      </c>
      <c r="G89">
        <v>1140</v>
      </c>
      <c r="H89">
        <v>73000</v>
      </c>
      <c r="I89">
        <v>0</v>
      </c>
      <c r="J89">
        <f t="shared" si="2"/>
        <v>73000</v>
      </c>
      <c r="K89" t="s">
        <v>1640</v>
      </c>
      <c r="L89">
        <v>1140</v>
      </c>
      <c r="M89" s="1">
        <f t="shared" si="3"/>
        <v>45929</v>
      </c>
      <c r="N89" t="s">
        <v>1641</v>
      </c>
      <c r="O89">
        <v>0</v>
      </c>
    </row>
    <row r="90" spans="1:15">
      <c r="A90" s="6" t="s">
        <v>14</v>
      </c>
      <c r="B90" t="s">
        <v>15</v>
      </c>
      <c r="C90" t="s">
        <v>189</v>
      </c>
      <c r="D90" t="s">
        <v>190</v>
      </c>
      <c r="E90" s="1">
        <v>45929</v>
      </c>
      <c r="F90">
        <v>1</v>
      </c>
      <c r="G90">
        <v>3750</v>
      </c>
      <c r="H90">
        <v>88000</v>
      </c>
      <c r="I90">
        <v>0</v>
      </c>
      <c r="J90">
        <f t="shared" si="2"/>
        <v>88000</v>
      </c>
      <c r="K90" t="s">
        <v>1640</v>
      </c>
      <c r="L90">
        <v>3750</v>
      </c>
      <c r="M90" s="1">
        <f t="shared" si="3"/>
        <v>45929</v>
      </c>
      <c r="N90" t="s">
        <v>1641</v>
      </c>
      <c r="O90">
        <v>0</v>
      </c>
    </row>
    <row r="91" spans="1:15">
      <c r="A91" s="6" t="s">
        <v>14</v>
      </c>
      <c r="B91" t="s">
        <v>15</v>
      </c>
      <c r="C91" t="s">
        <v>191</v>
      </c>
      <c r="D91" t="s">
        <v>192</v>
      </c>
      <c r="E91" s="1">
        <v>45929</v>
      </c>
      <c r="F91">
        <v>1</v>
      </c>
      <c r="G91">
        <v>3933</v>
      </c>
      <c r="H91">
        <v>74625</v>
      </c>
      <c r="I91">
        <v>0</v>
      </c>
      <c r="J91">
        <f t="shared" si="2"/>
        <v>74625</v>
      </c>
      <c r="K91" t="s">
        <v>1640</v>
      </c>
      <c r="L91">
        <v>3933</v>
      </c>
      <c r="M91" s="1">
        <f t="shared" si="3"/>
        <v>45929</v>
      </c>
      <c r="N91" t="s">
        <v>1641</v>
      </c>
      <c r="O91">
        <v>0</v>
      </c>
    </row>
    <row r="92" spans="1:15">
      <c r="A92" s="6" t="s">
        <v>14</v>
      </c>
      <c r="B92" t="s">
        <v>15</v>
      </c>
      <c r="C92" t="s">
        <v>193</v>
      </c>
      <c r="D92" t="s">
        <v>194</v>
      </c>
      <c r="E92" s="1">
        <v>45929</v>
      </c>
      <c r="F92">
        <v>1</v>
      </c>
      <c r="G92">
        <v>2310</v>
      </c>
      <c r="H92">
        <v>88848</v>
      </c>
      <c r="I92">
        <v>0</v>
      </c>
      <c r="J92">
        <f t="shared" si="2"/>
        <v>88848</v>
      </c>
      <c r="K92" t="s">
        <v>1640</v>
      </c>
      <c r="L92">
        <v>2310</v>
      </c>
      <c r="M92" s="1">
        <f t="shared" si="3"/>
        <v>45929</v>
      </c>
      <c r="N92" t="s">
        <v>1641</v>
      </c>
      <c r="O92">
        <v>0</v>
      </c>
    </row>
    <row r="93" spans="1:15">
      <c r="A93" s="6" t="s">
        <v>14</v>
      </c>
      <c r="B93" t="s">
        <v>15</v>
      </c>
      <c r="C93" t="s">
        <v>195</v>
      </c>
      <c r="D93" t="s">
        <v>196</v>
      </c>
      <c r="E93" s="1">
        <v>45929</v>
      </c>
      <c r="F93">
        <v>1</v>
      </c>
      <c r="G93">
        <v>2340</v>
      </c>
      <c r="H93">
        <v>69800</v>
      </c>
      <c r="I93">
        <v>0</v>
      </c>
      <c r="J93">
        <f t="shared" si="2"/>
        <v>69800</v>
      </c>
      <c r="K93" t="s">
        <v>1640</v>
      </c>
      <c r="L93">
        <v>2340</v>
      </c>
      <c r="M93" s="1">
        <f t="shared" si="3"/>
        <v>45929</v>
      </c>
      <c r="N93" t="s">
        <v>1641</v>
      </c>
      <c r="O93">
        <v>0</v>
      </c>
    </row>
    <row r="94" spans="1:15">
      <c r="A94" s="6" t="s">
        <v>14</v>
      </c>
      <c r="B94" t="s">
        <v>15</v>
      </c>
      <c r="C94" t="s">
        <v>197</v>
      </c>
      <c r="D94" t="s">
        <v>198</v>
      </c>
      <c r="E94" s="1">
        <v>45929</v>
      </c>
      <c r="F94">
        <v>1</v>
      </c>
      <c r="G94">
        <v>2683.33</v>
      </c>
      <c r="H94">
        <v>84220</v>
      </c>
      <c r="I94">
        <v>0</v>
      </c>
      <c r="J94">
        <f t="shared" si="2"/>
        <v>84220</v>
      </c>
      <c r="K94" t="s">
        <v>1640</v>
      </c>
      <c r="L94">
        <v>2683.33</v>
      </c>
      <c r="M94" s="1">
        <f t="shared" si="3"/>
        <v>45929</v>
      </c>
      <c r="N94" t="s">
        <v>1641</v>
      </c>
      <c r="O94">
        <v>0</v>
      </c>
    </row>
    <row r="95" spans="1:15">
      <c r="A95" s="6" t="s">
        <v>14</v>
      </c>
      <c r="B95" t="s">
        <v>15</v>
      </c>
      <c r="C95" t="s">
        <v>199</v>
      </c>
      <c r="D95" t="s">
        <v>200</v>
      </c>
      <c r="E95" s="1">
        <v>45929</v>
      </c>
      <c r="F95">
        <v>1</v>
      </c>
      <c r="G95">
        <v>2950</v>
      </c>
      <c r="H95">
        <v>79275</v>
      </c>
      <c r="I95">
        <v>0</v>
      </c>
      <c r="J95">
        <f t="shared" si="2"/>
        <v>79275</v>
      </c>
      <c r="K95" t="s">
        <v>1640</v>
      </c>
      <c r="L95">
        <v>2950</v>
      </c>
      <c r="M95" s="1">
        <f t="shared" si="3"/>
        <v>45929</v>
      </c>
      <c r="N95" t="s">
        <v>1641</v>
      </c>
      <c r="O95">
        <v>0</v>
      </c>
    </row>
    <row r="96" spans="1:15">
      <c r="A96" s="6" t="s">
        <v>14</v>
      </c>
      <c r="B96" t="s">
        <v>15</v>
      </c>
      <c r="C96" t="s">
        <v>201</v>
      </c>
      <c r="D96" t="s">
        <v>202</v>
      </c>
      <c r="E96" s="1">
        <v>45929</v>
      </c>
      <c r="F96">
        <v>1</v>
      </c>
      <c r="G96">
        <v>2556.67</v>
      </c>
      <c r="H96">
        <v>81975</v>
      </c>
      <c r="I96">
        <v>0</v>
      </c>
      <c r="J96">
        <f t="shared" si="2"/>
        <v>81975</v>
      </c>
      <c r="K96" t="s">
        <v>1640</v>
      </c>
      <c r="L96">
        <v>2556.67</v>
      </c>
      <c r="M96" s="1">
        <f t="shared" si="3"/>
        <v>45929</v>
      </c>
      <c r="N96" t="s">
        <v>1641</v>
      </c>
      <c r="O96">
        <v>0</v>
      </c>
    </row>
    <row r="97" spans="1:15">
      <c r="A97" s="6" t="s">
        <v>14</v>
      </c>
      <c r="B97" t="s">
        <v>15</v>
      </c>
      <c r="C97" t="s">
        <v>203</v>
      </c>
      <c r="D97" t="s">
        <v>204</v>
      </c>
      <c r="E97" s="1">
        <v>45929</v>
      </c>
      <c r="F97">
        <v>1</v>
      </c>
      <c r="G97">
        <v>2200</v>
      </c>
      <c r="H97">
        <v>74625</v>
      </c>
      <c r="I97">
        <v>0</v>
      </c>
      <c r="J97">
        <f t="shared" si="2"/>
        <v>74625</v>
      </c>
      <c r="K97" t="s">
        <v>1640</v>
      </c>
      <c r="L97">
        <v>2200</v>
      </c>
      <c r="M97" s="1">
        <f t="shared" si="3"/>
        <v>45929</v>
      </c>
      <c r="N97" t="s">
        <v>1641</v>
      </c>
      <c r="O97">
        <v>0</v>
      </c>
    </row>
    <row r="98" spans="1:15">
      <c r="A98" s="6" t="s">
        <v>14</v>
      </c>
      <c r="B98" t="s">
        <v>15</v>
      </c>
      <c r="C98" t="s">
        <v>205</v>
      </c>
      <c r="D98" t="s">
        <v>206</v>
      </c>
      <c r="E98" s="1">
        <v>45929</v>
      </c>
      <c r="F98">
        <v>1</v>
      </c>
      <c r="G98">
        <v>4200</v>
      </c>
      <c r="H98">
        <v>172980</v>
      </c>
      <c r="I98">
        <v>0</v>
      </c>
      <c r="J98">
        <f t="shared" si="2"/>
        <v>172980</v>
      </c>
      <c r="K98" t="s">
        <v>1640</v>
      </c>
      <c r="L98">
        <v>4200</v>
      </c>
      <c r="M98" s="1">
        <f t="shared" si="3"/>
        <v>45929</v>
      </c>
      <c r="N98" t="s">
        <v>1641</v>
      </c>
      <c r="O98">
        <v>0</v>
      </c>
    </row>
    <row r="99" spans="1:15">
      <c r="A99" s="6" t="s">
        <v>14</v>
      </c>
      <c r="B99" t="s">
        <v>15</v>
      </c>
      <c r="C99" t="s">
        <v>207</v>
      </c>
      <c r="D99" t="s">
        <v>208</v>
      </c>
      <c r="E99" s="1">
        <v>45929</v>
      </c>
      <c r="F99">
        <v>1</v>
      </c>
      <c r="G99">
        <v>2063.33</v>
      </c>
      <c r="H99">
        <v>73000</v>
      </c>
      <c r="I99">
        <v>0</v>
      </c>
      <c r="J99">
        <f t="shared" si="2"/>
        <v>73000</v>
      </c>
      <c r="K99" t="s">
        <v>1640</v>
      </c>
      <c r="L99">
        <v>2063.33</v>
      </c>
      <c r="M99" s="1">
        <f t="shared" si="3"/>
        <v>45929</v>
      </c>
      <c r="N99" t="s">
        <v>1641</v>
      </c>
      <c r="O99">
        <v>0</v>
      </c>
    </row>
    <row r="100" spans="1:15">
      <c r="A100" s="6" t="s">
        <v>14</v>
      </c>
      <c r="B100" t="s">
        <v>15</v>
      </c>
      <c r="C100" t="s">
        <v>209</v>
      </c>
      <c r="D100" t="s">
        <v>210</v>
      </c>
      <c r="E100" s="1">
        <v>45929</v>
      </c>
      <c r="F100">
        <v>1</v>
      </c>
      <c r="G100">
        <v>5116.67</v>
      </c>
      <c r="H100">
        <v>187000</v>
      </c>
      <c r="I100">
        <v>0</v>
      </c>
      <c r="J100">
        <f t="shared" si="2"/>
        <v>187000</v>
      </c>
      <c r="K100" t="s">
        <v>1640</v>
      </c>
      <c r="L100">
        <v>5116.67</v>
      </c>
      <c r="M100" s="1">
        <f t="shared" si="3"/>
        <v>45929</v>
      </c>
      <c r="N100" t="s">
        <v>1641</v>
      </c>
      <c r="O100">
        <v>0</v>
      </c>
    </row>
    <row r="101" spans="1:15">
      <c r="A101" s="6" t="s">
        <v>14</v>
      </c>
      <c r="B101" t="s">
        <v>15</v>
      </c>
      <c r="C101" t="s">
        <v>211</v>
      </c>
      <c r="D101" t="s">
        <v>212</v>
      </c>
      <c r="E101" s="1">
        <v>45929</v>
      </c>
      <c r="F101">
        <v>1</v>
      </c>
      <c r="G101">
        <v>1533.33</v>
      </c>
      <c r="H101">
        <v>55200</v>
      </c>
      <c r="I101">
        <v>0</v>
      </c>
      <c r="J101">
        <f t="shared" si="2"/>
        <v>55200</v>
      </c>
      <c r="K101" t="s">
        <v>1640</v>
      </c>
      <c r="L101">
        <v>1533.33</v>
      </c>
      <c r="M101" s="1">
        <f t="shared" si="3"/>
        <v>45929</v>
      </c>
      <c r="N101" t="s">
        <v>1641</v>
      </c>
      <c r="O101">
        <v>0</v>
      </c>
    </row>
    <row r="102" spans="1:15">
      <c r="A102" s="6" t="s">
        <v>14</v>
      </c>
      <c r="B102" t="s">
        <v>15</v>
      </c>
      <c r="C102" t="s">
        <v>213</v>
      </c>
      <c r="D102" t="s">
        <v>214</v>
      </c>
      <c r="E102" s="1">
        <v>45929</v>
      </c>
      <c r="F102">
        <v>1</v>
      </c>
      <c r="G102">
        <v>2940</v>
      </c>
      <c r="H102">
        <v>86200</v>
      </c>
      <c r="I102">
        <v>0</v>
      </c>
      <c r="J102">
        <f t="shared" si="2"/>
        <v>86200</v>
      </c>
      <c r="K102" t="s">
        <v>1640</v>
      </c>
      <c r="L102">
        <v>2940</v>
      </c>
      <c r="M102" s="1">
        <f t="shared" si="3"/>
        <v>45929</v>
      </c>
      <c r="N102" t="s">
        <v>1641</v>
      </c>
      <c r="O102">
        <v>0</v>
      </c>
    </row>
    <row r="103" spans="1:15">
      <c r="A103" s="6" t="s">
        <v>14</v>
      </c>
      <c r="B103" t="s">
        <v>15</v>
      </c>
      <c r="C103" t="s">
        <v>215</v>
      </c>
      <c r="D103" t="s">
        <v>216</v>
      </c>
      <c r="E103" s="1">
        <v>45929</v>
      </c>
      <c r="F103">
        <v>1</v>
      </c>
      <c r="G103">
        <v>2640</v>
      </c>
      <c r="H103">
        <v>78314</v>
      </c>
      <c r="I103">
        <v>0</v>
      </c>
      <c r="J103">
        <f t="shared" si="2"/>
        <v>78314</v>
      </c>
      <c r="K103" t="s">
        <v>1640</v>
      </c>
      <c r="L103">
        <v>2640</v>
      </c>
      <c r="M103" s="1">
        <f t="shared" si="3"/>
        <v>45929</v>
      </c>
      <c r="N103" t="s">
        <v>1641</v>
      </c>
      <c r="O103">
        <v>0</v>
      </c>
    </row>
    <row r="104" spans="1:15">
      <c r="A104" s="6" t="s">
        <v>14</v>
      </c>
      <c r="B104" t="s">
        <v>15</v>
      </c>
      <c r="C104" t="s">
        <v>217</v>
      </c>
      <c r="D104" t="s">
        <v>218</v>
      </c>
      <c r="E104" s="1">
        <v>45929</v>
      </c>
      <c r="F104">
        <v>1</v>
      </c>
      <c r="G104">
        <v>2580</v>
      </c>
      <c r="H104">
        <v>90000</v>
      </c>
      <c r="I104">
        <v>0</v>
      </c>
      <c r="J104">
        <f t="shared" si="2"/>
        <v>90000</v>
      </c>
      <c r="K104" t="s">
        <v>1640</v>
      </c>
      <c r="L104">
        <v>2580</v>
      </c>
      <c r="M104" s="1">
        <f t="shared" si="3"/>
        <v>45929</v>
      </c>
      <c r="N104" t="s">
        <v>1641</v>
      </c>
      <c r="O104">
        <v>0</v>
      </c>
    </row>
    <row r="105" spans="1:15">
      <c r="A105" s="6" t="s">
        <v>14</v>
      </c>
      <c r="B105" t="s">
        <v>15</v>
      </c>
      <c r="C105" t="s">
        <v>219</v>
      </c>
      <c r="D105" t="s">
        <v>220</v>
      </c>
      <c r="E105" s="1">
        <v>45929</v>
      </c>
      <c r="F105">
        <v>1</v>
      </c>
      <c r="G105">
        <v>3914</v>
      </c>
      <c r="H105">
        <v>73000</v>
      </c>
      <c r="I105">
        <v>0</v>
      </c>
      <c r="J105">
        <f t="shared" si="2"/>
        <v>73000</v>
      </c>
      <c r="K105" t="s">
        <v>1640</v>
      </c>
      <c r="L105">
        <v>3914</v>
      </c>
      <c r="M105" s="1">
        <f t="shared" si="3"/>
        <v>45929</v>
      </c>
      <c r="N105" t="s">
        <v>1641</v>
      </c>
      <c r="O105">
        <v>0</v>
      </c>
    </row>
    <row r="106" spans="1:15">
      <c r="A106" s="6" t="s">
        <v>14</v>
      </c>
      <c r="B106" t="s">
        <v>15</v>
      </c>
      <c r="C106" t="s">
        <v>221</v>
      </c>
      <c r="D106" t="s">
        <v>222</v>
      </c>
      <c r="E106" s="1">
        <v>45929</v>
      </c>
      <c r="F106">
        <v>1</v>
      </c>
      <c r="G106">
        <v>2016.67</v>
      </c>
      <c r="H106">
        <v>73000</v>
      </c>
      <c r="I106">
        <v>0</v>
      </c>
      <c r="J106">
        <f t="shared" si="2"/>
        <v>73000</v>
      </c>
      <c r="K106" t="s">
        <v>1640</v>
      </c>
      <c r="L106">
        <v>2016.67</v>
      </c>
      <c r="M106" s="1">
        <f t="shared" si="3"/>
        <v>45929</v>
      </c>
      <c r="N106" t="s">
        <v>1641</v>
      </c>
      <c r="O106">
        <v>0</v>
      </c>
    </row>
    <row r="107" spans="1:15">
      <c r="A107" s="6" t="s">
        <v>14</v>
      </c>
      <c r="B107" t="s">
        <v>15</v>
      </c>
      <c r="C107" t="s">
        <v>223</v>
      </c>
      <c r="D107" t="s">
        <v>224</v>
      </c>
      <c r="E107" s="1">
        <v>45929</v>
      </c>
      <c r="F107">
        <v>1</v>
      </c>
      <c r="G107">
        <v>2800</v>
      </c>
      <c r="H107">
        <v>83560</v>
      </c>
      <c r="I107">
        <v>0</v>
      </c>
      <c r="J107">
        <f t="shared" si="2"/>
        <v>83560</v>
      </c>
      <c r="K107" t="s">
        <v>1640</v>
      </c>
      <c r="L107">
        <v>2800</v>
      </c>
      <c r="M107" s="1">
        <f t="shared" si="3"/>
        <v>45929</v>
      </c>
      <c r="N107" t="s">
        <v>1641</v>
      </c>
      <c r="O107">
        <v>0</v>
      </c>
    </row>
    <row r="108" spans="1:15">
      <c r="A108" s="6" t="s">
        <v>14</v>
      </c>
      <c r="B108" t="s">
        <v>15</v>
      </c>
      <c r="C108" t="s">
        <v>225</v>
      </c>
      <c r="D108" t="s">
        <v>226</v>
      </c>
      <c r="E108" s="1">
        <v>45929</v>
      </c>
      <c r="F108">
        <v>1</v>
      </c>
      <c r="G108">
        <v>2210</v>
      </c>
      <c r="H108">
        <v>92000</v>
      </c>
      <c r="I108">
        <v>0</v>
      </c>
      <c r="J108">
        <f t="shared" si="2"/>
        <v>92000</v>
      </c>
      <c r="K108" t="s">
        <v>1640</v>
      </c>
      <c r="L108">
        <v>2210</v>
      </c>
      <c r="M108" s="1">
        <f t="shared" si="3"/>
        <v>45929</v>
      </c>
      <c r="N108" t="s">
        <v>1641</v>
      </c>
      <c r="O108">
        <v>0</v>
      </c>
    </row>
    <row r="109" spans="1:15">
      <c r="A109" s="6" t="s">
        <v>14</v>
      </c>
      <c r="B109" t="s">
        <v>15</v>
      </c>
      <c r="C109" t="s">
        <v>227</v>
      </c>
      <c r="D109" t="s">
        <v>228</v>
      </c>
      <c r="E109" s="1">
        <v>45929</v>
      </c>
      <c r="F109">
        <v>1</v>
      </c>
      <c r="G109">
        <v>2652</v>
      </c>
      <c r="H109">
        <v>79976</v>
      </c>
      <c r="I109">
        <v>0</v>
      </c>
      <c r="J109">
        <f t="shared" si="2"/>
        <v>79976</v>
      </c>
      <c r="K109" t="s">
        <v>1640</v>
      </c>
      <c r="L109">
        <v>2652</v>
      </c>
      <c r="M109" s="1">
        <f t="shared" si="3"/>
        <v>45929</v>
      </c>
      <c r="N109" t="s">
        <v>1641</v>
      </c>
      <c r="O109">
        <v>0</v>
      </c>
    </row>
    <row r="110" spans="1:15">
      <c r="A110" s="6" t="s">
        <v>14</v>
      </c>
      <c r="B110" t="s">
        <v>15</v>
      </c>
      <c r="C110" t="s">
        <v>229</v>
      </c>
      <c r="D110" t="s">
        <v>230</v>
      </c>
      <c r="E110" s="1">
        <v>45929</v>
      </c>
      <c r="F110">
        <v>1</v>
      </c>
      <c r="G110">
        <v>2300</v>
      </c>
      <c r="H110">
        <v>77000</v>
      </c>
      <c r="I110">
        <v>0</v>
      </c>
      <c r="J110">
        <f t="shared" si="2"/>
        <v>77000</v>
      </c>
      <c r="K110" t="s">
        <v>1640</v>
      </c>
      <c r="L110">
        <v>2300</v>
      </c>
      <c r="M110" s="1">
        <f t="shared" si="3"/>
        <v>45929</v>
      </c>
      <c r="N110" t="s">
        <v>1641</v>
      </c>
      <c r="O110">
        <v>0</v>
      </c>
    </row>
    <row r="111" spans="1:15">
      <c r="A111" s="6" t="s">
        <v>14</v>
      </c>
      <c r="B111" t="s">
        <v>15</v>
      </c>
      <c r="C111" t="s">
        <v>231</v>
      </c>
      <c r="D111" t="s">
        <v>232</v>
      </c>
      <c r="E111" s="1">
        <v>45929</v>
      </c>
      <c r="F111">
        <v>1</v>
      </c>
      <c r="G111">
        <v>2483.33</v>
      </c>
      <c r="H111">
        <v>75800</v>
      </c>
      <c r="I111">
        <v>0</v>
      </c>
      <c r="J111">
        <f t="shared" si="2"/>
        <v>75800</v>
      </c>
      <c r="K111" t="s">
        <v>1640</v>
      </c>
      <c r="L111">
        <v>2483.33</v>
      </c>
      <c r="M111" s="1">
        <f t="shared" si="3"/>
        <v>45929</v>
      </c>
      <c r="N111" t="s">
        <v>1641</v>
      </c>
      <c r="O111">
        <v>0</v>
      </c>
    </row>
    <row r="112" spans="1:15">
      <c r="A112" s="6" t="s">
        <v>14</v>
      </c>
      <c r="B112" t="s">
        <v>15</v>
      </c>
      <c r="C112" t="s">
        <v>233</v>
      </c>
      <c r="D112" t="s">
        <v>1645</v>
      </c>
      <c r="E112" s="1">
        <v>45929</v>
      </c>
      <c r="F112">
        <v>1</v>
      </c>
      <c r="G112">
        <v>1920</v>
      </c>
      <c r="H112">
        <v>80000</v>
      </c>
      <c r="I112">
        <v>0</v>
      </c>
      <c r="J112">
        <f t="shared" si="2"/>
        <v>80000</v>
      </c>
      <c r="K112" t="s">
        <v>1640</v>
      </c>
      <c r="L112">
        <v>1920</v>
      </c>
      <c r="M112" s="1">
        <f t="shared" si="3"/>
        <v>45929</v>
      </c>
      <c r="N112" t="s">
        <v>1641</v>
      </c>
      <c r="O112">
        <v>0</v>
      </c>
    </row>
    <row r="113" spans="1:15">
      <c r="A113" s="6" t="s">
        <v>14</v>
      </c>
      <c r="B113" t="s">
        <v>15</v>
      </c>
      <c r="C113" t="s">
        <v>234</v>
      </c>
      <c r="D113" t="s">
        <v>235</v>
      </c>
      <c r="E113" s="1">
        <v>45929</v>
      </c>
      <c r="F113">
        <v>1</v>
      </c>
      <c r="G113">
        <v>2750</v>
      </c>
      <c r="H113">
        <v>85800</v>
      </c>
      <c r="I113">
        <v>0</v>
      </c>
      <c r="J113">
        <f t="shared" si="2"/>
        <v>85800</v>
      </c>
      <c r="K113" t="s">
        <v>1640</v>
      </c>
      <c r="L113">
        <v>2750</v>
      </c>
      <c r="M113" s="1">
        <f t="shared" si="3"/>
        <v>45929</v>
      </c>
      <c r="N113" t="s">
        <v>1641</v>
      </c>
      <c r="O113">
        <v>0</v>
      </c>
    </row>
    <row r="114" spans="1:15">
      <c r="A114" s="6" t="s">
        <v>14</v>
      </c>
      <c r="B114" t="s">
        <v>15</v>
      </c>
      <c r="C114" t="s">
        <v>236</v>
      </c>
      <c r="D114" t="s">
        <v>237</v>
      </c>
      <c r="E114" s="1">
        <v>45929</v>
      </c>
      <c r="F114">
        <v>1</v>
      </c>
      <c r="G114">
        <v>1825</v>
      </c>
      <c r="H114">
        <v>73000</v>
      </c>
      <c r="I114">
        <v>0</v>
      </c>
      <c r="J114">
        <f t="shared" si="2"/>
        <v>73000</v>
      </c>
      <c r="K114" t="s">
        <v>1640</v>
      </c>
      <c r="L114">
        <v>1825</v>
      </c>
      <c r="M114" s="1">
        <f t="shared" si="3"/>
        <v>45929</v>
      </c>
      <c r="N114" t="s">
        <v>1641</v>
      </c>
      <c r="O114">
        <v>0</v>
      </c>
    </row>
    <row r="115" spans="1:15">
      <c r="A115" s="6" t="s">
        <v>14</v>
      </c>
      <c r="B115" t="s">
        <v>15</v>
      </c>
      <c r="C115" t="s">
        <v>238</v>
      </c>
      <c r="D115" t="s">
        <v>239</v>
      </c>
      <c r="E115" s="1">
        <v>45929</v>
      </c>
      <c r="F115">
        <v>1</v>
      </c>
      <c r="G115">
        <v>2566.67</v>
      </c>
      <c r="H115">
        <v>74625</v>
      </c>
      <c r="I115">
        <v>0</v>
      </c>
      <c r="J115">
        <f t="shared" si="2"/>
        <v>74625</v>
      </c>
      <c r="K115" t="s">
        <v>1640</v>
      </c>
      <c r="L115">
        <v>2566.67</v>
      </c>
      <c r="M115" s="1">
        <f t="shared" si="3"/>
        <v>45929</v>
      </c>
      <c r="N115" t="s">
        <v>1641</v>
      </c>
      <c r="O115">
        <v>0</v>
      </c>
    </row>
    <row r="116" spans="1:15">
      <c r="A116" s="6" t="s">
        <v>14</v>
      </c>
      <c r="B116" t="s">
        <v>15</v>
      </c>
      <c r="C116" t="s">
        <v>240</v>
      </c>
      <c r="D116" t="s">
        <v>241</v>
      </c>
      <c r="E116" s="1">
        <v>45929</v>
      </c>
      <c r="F116">
        <v>1</v>
      </c>
      <c r="G116">
        <v>3080</v>
      </c>
      <c r="H116">
        <v>100000</v>
      </c>
      <c r="I116">
        <v>0</v>
      </c>
      <c r="J116">
        <f t="shared" si="2"/>
        <v>100000</v>
      </c>
      <c r="K116" t="s">
        <v>1640</v>
      </c>
      <c r="L116">
        <v>3080</v>
      </c>
      <c r="M116" s="1">
        <f t="shared" si="3"/>
        <v>45929</v>
      </c>
      <c r="N116" t="s">
        <v>1641</v>
      </c>
      <c r="O116">
        <v>0</v>
      </c>
    </row>
    <row r="117" spans="1:15">
      <c r="A117" s="6" t="s">
        <v>14</v>
      </c>
      <c r="B117" t="s">
        <v>15</v>
      </c>
      <c r="C117" t="s">
        <v>242</v>
      </c>
      <c r="D117" t="s">
        <v>243</v>
      </c>
      <c r="E117" s="1">
        <v>45929</v>
      </c>
      <c r="F117">
        <v>1</v>
      </c>
      <c r="G117">
        <v>2886</v>
      </c>
      <c r="H117">
        <v>84677</v>
      </c>
      <c r="I117">
        <v>0</v>
      </c>
      <c r="J117">
        <f t="shared" si="2"/>
        <v>84677</v>
      </c>
      <c r="K117" t="s">
        <v>1640</v>
      </c>
      <c r="L117">
        <v>2886</v>
      </c>
      <c r="M117" s="1">
        <f t="shared" si="3"/>
        <v>45929</v>
      </c>
      <c r="N117" t="s">
        <v>1641</v>
      </c>
      <c r="O117">
        <v>0</v>
      </c>
    </row>
    <row r="118" spans="1:15">
      <c r="A118" s="6" t="s">
        <v>14</v>
      </c>
      <c r="B118" t="s">
        <v>15</v>
      </c>
      <c r="C118" t="s">
        <v>244</v>
      </c>
      <c r="D118" t="s">
        <v>245</v>
      </c>
      <c r="E118" s="1">
        <v>45929</v>
      </c>
      <c r="F118">
        <v>1</v>
      </c>
      <c r="G118">
        <v>3670</v>
      </c>
      <c r="H118">
        <v>120000</v>
      </c>
      <c r="I118">
        <v>0</v>
      </c>
      <c r="J118">
        <f t="shared" si="2"/>
        <v>120000</v>
      </c>
      <c r="K118" t="s">
        <v>1640</v>
      </c>
      <c r="L118">
        <v>3670</v>
      </c>
      <c r="M118" s="1">
        <f t="shared" si="3"/>
        <v>45929</v>
      </c>
      <c r="N118" t="s">
        <v>1641</v>
      </c>
      <c r="O118">
        <v>0</v>
      </c>
    </row>
    <row r="119" spans="1:15">
      <c r="A119" s="6" t="s">
        <v>14</v>
      </c>
      <c r="B119" t="s">
        <v>15</v>
      </c>
      <c r="C119" t="s">
        <v>246</v>
      </c>
      <c r="D119" t="s">
        <v>247</v>
      </c>
      <c r="E119" s="1">
        <v>45929</v>
      </c>
      <c r="F119">
        <v>1</v>
      </c>
      <c r="G119">
        <v>1906.67</v>
      </c>
      <c r="H119">
        <v>83985</v>
      </c>
      <c r="I119">
        <v>0</v>
      </c>
      <c r="J119">
        <f t="shared" si="2"/>
        <v>83985</v>
      </c>
      <c r="K119" t="s">
        <v>1640</v>
      </c>
      <c r="L119">
        <v>1906.67</v>
      </c>
      <c r="M119" s="1">
        <f t="shared" si="3"/>
        <v>45929</v>
      </c>
      <c r="N119" t="s">
        <v>1641</v>
      </c>
      <c r="O119">
        <v>0</v>
      </c>
    </row>
    <row r="120" spans="1:15">
      <c r="A120" s="6" t="s">
        <v>14</v>
      </c>
      <c r="B120" t="s">
        <v>15</v>
      </c>
      <c r="C120" t="s">
        <v>248</v>
      </c>
      <c r="D120" t="s">
        <v>249</v>
      </c>
      <c r="E120" s="1">
        <v>45929</v>
      </c>
      <c r="F120">
        <v>1</v>
      </c>
      <c r="G120">
        <v>1530</v>
      </c>
      <c r="H120">
        <v>77000</v>
      </c>
      <c r="I120">
        <v>0</v>
      </c>
      <c r="J120">
        <f t="shared" si="2"/>
        <v>77000</v>
      </c>
      <c r="K120" t="s">
        <v>1640</v>
      </c>
      <c r="L120">
        <v>1530</v>
      </c>
      <c r="M120" s="1">
        <f t="shared" si="3"/>
        <v>45929</v>
      </c>
      <c r="N120" t="s">
        <v>1641</v>
      </c>
      <c r="O120">
        <v>0</v>
      </c>
    </row>
    <row r="121" spans="1:15">
      <c r="A121" s="6" t="s">
        <v>14</v>
      </c>
      <c r="B121" t="s">
        <v>15</v>
      </c>
      <c r="C121" t="s">
        <v>250</v>
      </c>
      <c r="D121" t="s">
        <v>251</v>
      </c>
      <c r="E121" s="1">
        <v>45929</v>
      </c>
      <c r="F121">
        <v>1</v>
      </c>
      <c r="G121">
        <v>3270</v>
      </c>
      <c r="H121">
        <v>120000</v>
      </c>
      <c r="I121">
        <v>0</v>
      </c>
      <c r="J121">
        <f t="shared" si="2"/>
        <v>120000</v>
      </c>
      <c r="K121" t="s">
        <v>1640</v>
      </c>
      <c r="L121">
        <v>3270</v>
      </c>
      <c r="M121" s="1">
        <f t="shared" si="3"/>
        <v>45929</v>
      </c>
      <c r="N121" t="s">
        <v>1641</v>
      </c>
      <c r="O121">
        <v>0</v>
      </c>
    </row>
    <row r="122" spans="1:15">
      <c r="A122" s="6" t="s">
        <v>14</v>
      </c>
      <c r="B122" t="s">
        <v>15</v>
      </c>
      <c r="C122" t="s">
        <v>252</v>
      </c>
      <c r="D122" t="s">
        <v>253</v>
      </c>
      <c r="E122" s="1">
        <v>45929</v>
      </c>
      <c r="F122">
        <v>1</v>
      </c>
      <c r="G122">
        <v>2409</v>
      </c>
      <c r="H122">
        <v>74625</v>
      </c>
      <c r="I122">
        <v>0</v>
      </c>
      <c r="J122">
        <f t="shared" si="2"/>
        <v>74625</v>
      </c>
      <c r="K122" t="s">
        <v>1640</v>
      </c>
      <c r="L122">
        <v>2409</v>
      </c>
      <c r="M122" s="1">
        <f t="shared" si="3"/>
        <v>45929</v>
      </c>
      <c r="N122" t="s">
        <v>1641</v>
      </c>
      <c r="O122">
        <v>0</v>
      </c>
    </row>
    <row r="123" spans="1:15">
      <c r="A123" s="6" t="s">
        <v>14</v>
      </c>
      <c r="B123" t="s">
        <v>15</v>
      </c>
      <c r="C123" t="s">
        <v>254</v>
      </c>
      <c r="D123" t="s">
        <v>255</v>
      </c>
      <c r="E123" s="1">
        <v>45929</v>
      </c>
      <c r="F123">
        <v>1</v>
      </c>
      <c r="G123">
        <v>3840</v>
      </c>
      <c r="H123">
        <v>115413</v>
      </c>
      <c r="I123">
        <v>0</v>
      </c>
      <c r="J123">
        <f t="shared" si="2"/>
        <v>115413</v>
      </c>
      <c r="K123" t="s">
        <v>1640</v>
      </c>
      <c r="L123">
        <v>3840</v>
      </c>
      <c r="M123" s="1">
        <f t="shared" si="3"/>
        <v>45929</v>
      </c>
      <c r="N123" t="s">
        <v>1641</v>
      </c>
      <c r="O123">
        <v>0</v>
      </c>
    </row>
    <row r="124" spans="1:15">
      <c r="A124" s="6" t="s">
        <v>14</v>
      </c>
      <c r="B124" t="s">
        <v>15</v>
      </c>
      <c r="C124" t="s">
        <v>256</v>
      </c>
      <c r="D124" t="s">
        <v>257</v>
      </c>
      <c r="E124" s="1">
        <v>45929</v>
      </c>
      <c r="F124">
        <v>1</v>
      </c>
      <c r="G124">
        <v>3375</v>
      </c>
      <c r="H124">
        <v>105000</v>
      </c>
      <c r="I124">
        <v>0</v>
      </c>
      <c r="J124">
        <f t="shared" si="2"/>
        <v>105000</v>
      </c>
      <c r="K124" t="s">
        <v>1640</v>
      </c>
      <c r="L124">
        <v>3375</v>
      </c>
      <c r="M124" s="1">
        <f t="shared" si="3"/>
        <v>45929</v>
      </c>
      <c r="N124" t="s">
        <v>1641</v>
      </c>
      <c r="O124">
        <v>0</v>
      </c>
    </row>
    <row r="125" spans="1:15">
      <c r="A125" s="6" t="s">
        <v>14</v>
      </c>
      <c r="B125" t="s">
        <v>15</v>
      </c>
      <c r="C125" t="s">
        <v>258</v>
      </c>
      <c r="D125" t="s">
        <v>259</v>
      </c>
      <c r="E125" s="1">
        <v>45929</v>
      </c>
      <c r="F125">
        <v>1</v>
      </c>
      <c r="G125">
        <v>2676.67</v>
      </c>
      <c r="H125">
        <v>79553</v>
      </c>
      <c r="I125">
        <v>0</v>
      </c>
      <c r="J125">
        <f t="shared" si="2"/>
        <v>79553</v>
      </c>
      <c r="K125" t="s">
        <v>1640</v>
      </c>
      <c r="L125">
        <v>2676.67</v>
      </c>
      <c r="M125" s="1">
        <f t="shared" si="3"/>
        <v>45929</v>
      </c>
      <c r="N125" t="s">
        <v>1641</v>
      </c>
      <c r="O125">
        <v>0</v>
      </c>
    </row>
    <row r="126" spans="1:15">
      <c r="A126" s="6" t="s">
        <v>14</v>
      </c>
      <c r="B126" t="s">
        <v>15</v>
      </c>
      <c r="C126" t="s">
        <v>260</v>
      </c>
      <c r="D126" t="s">
        <v>261</v>
      </c>
      <c r="E126" s="1">
        <v>45929</v>
      </c>
      <c r="F126">
        <v>1</v>
      </c>
      <c r="G126">
        <v>2660</v>
      </c>
      <c r="H126">
        <v>78299</v>
      </c>
      <c r="I126">
        <v>0</v>
      </c>
      <c r="J126">
        <f t="shared" si="2"/>
        <v>78299</v>
      </c>
      <c r="K126" t="s">
        <v>1640</v>
      </c>
      <c r="L126">
        <v>2660</v>
      </c>
      <c r="M126" s="1">
        <f t="shared" si="3"/>
        <v>45929</v>
      </c>
      <c r="N126" t="s">
        <v>1641</v>
      </c>
      <c r="O126">
        <v>0</v>
      </c>
    </row>
    <row r="127" spans="1:15">
      <c r="A127" s="6" t="s">
        <v>14</v>
      </c>
      <c r="B127" t="s">
        <v>15</v>
      </c>
      <c r="C127" t="s">
        <v>262</v>
      </c>
      <c r="D127" t="s">
        <v>263</v>
      </c>
      <c r="E127" s="1">
        <v>45929</v>
      </c>
      <c r="F127">
        <v>1</v>
      </c>
      <c r="G127">
        <v>2592</v>
      </c>
      <c r="H127">
        <v>78645</v>
      </c>
      <c r="I127">
        <v>0</v>
      </c>
      <c r="J127">
        <f t="shared" si="2"/>
        <v>78645</v>
      </c>
      <c r="K127" t="s">
        <v>1640</v>
      </c>
      <c r="L127">
        <v>2592</v>
      </c>
      <c r="M127" s="1">
        <f t="shared" si="3"/>
        <v>45929</v>
      </c>
      <c r="N127" t="s">
        <v>1641</v>
      </c>
      <c r="O127">
        <v>0</v>
      </c>
    </row>
    <row r="128" spans="1:15">
      <c r="A128" s="6" t="s">
        <v>14</v>
      </c>
      <c r="B128" t="s">
        <v>15</v>
      </c>
      <c r="C128" t="s">
        <v>264</v>
      </c>
      <c r="D128" t="s">
        <v>265</v>
      </c>
      <c r="E128" s="1">
        <v>45929</v>
      </c>
      <c r="F128">
        <v>1</v>
      </c>
      <c r="G128">
        <v>3850</v>
      </c>
      <c r="H128">
        <v>115960</v>
      </c>
      <c r="I128">
        <v>0</v>
      </c>
      <c r="J128">
        <f t="shared" si="2"/>
        <v>115960</v>
      </c>
      <c r="K128" t="s">
        <v>1640</v>
      </c>
      <c r="L128">
        <v>3850</v>
      </c>
      <c r="M128" s="1">
        <f t="shared" si="3"/>
        <v>45929</v>
      </c>
      <c r="N128" t="s">
        <v>1641</v>
      </c>
      <c r="O128">
        <v>0</v>
      </c>
    </row>
    <row r="129" spans="1:15">
      <c r="A129" s="6" t="s">
        <v>14</v>
      </c>
      <c r="B129" t="s">
        <v>15</v>
      </c>
      <c r="C129" t="s">
        <v>266</v>
      </c>
      <c r="D129" t="s">
        <v>267</v>
      </c>
      <c r="E129" s="1">
        <v>45929</v>
      </c>
      <c r="F129">
        <v>1</v>
      </c>
      <c r="G129">
        <v>1890</v>
      </c>
      <c r="H129">
        <v>43500</v>
      </c>
      <c r="I129">
        <v>0</v>
      </c>
      <c r="J129">
        <f t="shared" si="2"/>
        <v>43500</v>
      </c>
      <c r="K129" t="s">
        <v>1640</v>
      </c>
      <c r="L129">
        <v>1890</v>
      </c>
      <c r="M129" s="1">
        <f t="shared" si="3"/>
        <v>45929</v>
      </c>
      <c r="N129" t="s">
        <v>1641</v>
      </c>
      <c r="O129">
        <v>0</v>
      </c>
    </row>
    <row r="130" spans="1:15">
      <c r="A130" s="6" t="s">
        <v>14</v>
      </c>
      <c r="B130" t="s">
        <v>15</v>
      </c>
      <c r="C130" t="s">
        <v>268</v>
      </c>
      <c r="D130" t="s">
        <v>269</v>
      </c>
      <c r="E130" s="1">
        <v>45929</v>
      </c>
      <c r="F130">
        <v>1</v>
      </c>
      <c r="G130">
        <v>2683.33</v>
      </c>
      <c r="H130">
        <v>73000</v>
      </c>
      <c r="I130">
        <v>0</v>
      </c>
      <c r="J130">
        <f t="shared" si="2"/>
        <v>73000</v>
      </c>
      <c r="K130" t="s">
        <v>1640</v>
      </c>
      <c r="L130">
        <v>2683.33</v>
      </c>
      <c r="M130" s="1">
        <f t="shared" si="3"/>
        <v>45929</v>
      </c>
      <c r="N130" t="s">
        <v>1641</v>
      </c>
      <c r="O130">
        <v>0</v>
      </c>
    </row>
    <row r="131" spans="1:15">
      <c r="A131" s="6" t="s">
        <v>14</v>
      </c>
      <c r="B131" t="s">
        <v>15</v>
      </c>
      <c r="C131" t="s">
        <v>270</v>
      </c>
      <c r="D131" t="s">
        <v>271</v>
      </c>
      <c r="E131" s="1">
        <v>45929</v>
      </c>
      <c r="F131">
        <v>1</v>
      </c>
      <c r="G131">
        <v>3480</v>
      </c>
      <c r="H131">
        <v>121733</v>
      </c>
      <c r="I131">
        <v>0</v>
      </c>
      <c r="J131">
        <f t="shared" ref="J131:J194" si="4">H131-I131</f>
        <v>121733</v>
      </c>
      <c r="K131" t="s">
        <v>1640</v>
      </c>
      <c r="L131">
        <v>3480</v>
      </c>
      <c r="M131" s="1">
        <f t="shared" ref="M131:M194" si="5">E131</f>
        <v>45929</v>
      </c>
      <c r="N131" t="s">
        <v>1641</v>
      </c>
      <c r="O131">
        <v>0</v>
      </c>
    </row>
    <row r="132" spans="1:15">
      <c r="A132" s="6" t="s">
        <v>14</v>
      </c>
      <c r="B132" t="s">
        <v>15</v>
      </c>
      <c r="C132" t="s">
        <v>272</v>
      </c>
      <c r="D132" t="s">
        <v>273</v>
      </c>
      <c r="E132" s="1">
        <v>45929</v>
      </c>
      <c r="F132">
        <v>1</v>
      </c>
      <c r="G132">
        <v>4400</v>
      </c>
      <c r="H132">
        <v>95000</v>
      </c>
      <c r="I132">
        <v>0</v>
      </c>
      <c r="J132">
        <f t="shared" si="4"/>
        <v>95000</v>
      </c>
      <c r="K132" t="s">
        <v>1640</v>
      </c>
      <c r="L132">
        <v>4400</v>
      </c>
      <c r="M132" s="1">
        <f t="shared" si="5"/>
        <v>45929</v>
      </c>
      <c r="N132" t="s">
        <v>1641</v>
      </c>
      <c r="O132">
        <v>0</v>
      </c>
    </row>
    <row r="133" spans="1:15">
      <c r="A133" s="6" t="s">
        <v>14</v>
      </c>
      <c r="B133" t="s">
        <v>15</v>
      </c>
      <c r="C133" t="s">
        <v>274</v>
      </c>
      <c r="D133" t="s">
        <v>275</v>
      </c>
      <c r="E133" s="1">
        <v>45929</v>
      </c>
      <c r="F133">
        <v>1</v>
      </c>
      <c r="G133">
        <v>2200</v>
      </c>
      <c r="H133">
        <v>73000</v>
      </c>
      <c r="I133">
        <v>0</v>
      </c>
      <c r="J133">
        <f t="shared" si="4"/>
        <v>73000</v>
      </c>
      <c r="K133" t="s">
        <v>1640</v>
      </c>
      <c r="L133">
        <v>2200</v>
      </c>
      <c r="M133" s="1">
        <f t="shared" si="5"/>
        <v>45929</v>
      </c>
      <c r="N133" t="s">
        <v>1641</v>
      </c>
      <c r="O133">
        <v>0</v>
      </c>
    </row>
    <row r="134" spans="1:15">
      <c r="A134" s="6" t="s">
        <v>14</v>
      </c>
      <c r="B134" t="s">
        <v>15</v>
      </c>
      <c r="C134" t="s">
        <v>276</v>
      </c>
      <c r="D134" t="s">
        <v>277</v>
      </c>
      <c r="E134" s="1">
        <v>45929</v>
      </c>
      <c r="F134">
        <v>1</v>
      </c>
      <c r="G134">
        <v>2960</v>
      </c>
      <c r="H134">
        <v>82751</v>
      </c>
      <c r="I134">
        <v>0</v>
      </c>
      <c r="J134">
        <f t="shared" si="4"/>
        <v>82751</v>
      </c>
      <c r="K134" t="s">
        <v>1640</v>
      </c>
      <c r="L134">
        <v>2960</v>
      </c>
      <c r="M134" s="1">
        <f t="shared" si="5"/>
        <v>45929</v>
      </c>
      <c r="N134" t="s">
        <v>1641</v>
      </c>
      <c r="O134">
        <v>0</v>
      </c>
    </row>
    <row r="135" spans="1:15">
      <c r="A135" s="6" t="s">
        <v>14</v>
      </c>
      <c r="B135" t="s">
        <v>15</v>
      </c>
      <c r="C135" t="s">
        <v>278</v>
      </c>
      <c r="D135" t="s">
        <v>279</v>
      </c>
      <c r="E135" s="1">
        <v>45929</v>
      </c>
      <c r="F135">
        <v>1</v>
      </c>
      <c r="G135">
        <v>2640</v>
      </c>
      <c r="H135">
        <v>84625</v>
      </c>
      <c r="I135">
        <v>0</v>
      </c>
      <c r="J135">
        <f t="shared" si="4"/>
        <v>84625</v>
      </c>
      <c r="K135" t="s">
        <v>1640</v>
      </c>
      <c r="L135">
        <v>2640</v>
      </c>
      <c r="M135" s="1">
        <f t="shared" si="5"/>
        <v>45929</v>
      </c>
      <c r="N135" t="s">
        <v>1641</v>
      </c>
      <c r="O135">
        <v>0</v>
      </c>
    </row>
    <row r="136" spans="1:15">
      <c r="A136" s="6" t="s">
        <v>14</v>
      </c>
      <c r="B136" t="s">
        <v>15</v>
      </c>
      <c r="C136" t="s">
        <v>280</v>
      </c>
      <c r="D136" t="s">
        <v>281</v>
      </c>
      <c r="E136" s="1">
        <v>45929</v>
      </c>
      <c r="F136">
        <v>1</v>
      </c>
      <c r="G136">
        <v>2081.67</v>
      </c>
      <c r="H136">
        <v>95000</v>
      </c>
      <c r="I136">
        <v>0</v>
      </c>
      <c r="J136">
        <f t="shared" si="4"/>
        <v>95000</v>
      </c>
      <c r="K136" t="s">
        <v>1640</v>
      </c>
      <c r="L136">
        <v>2081.67</v>
      </c>
      <c r="M136" s="1">
        <f t="shared" si="5"/>
        <v>45929</v>
      </c>
      <c r="N136" t="s">
        <v>1641</v>
      </c>
      <c r="O136">
        <v>0</v>
      </c>
    </row>
    <row r="137" spans="1:15">
      <c r="A137" s="6" t="s">
        <v>14</v>
      </c>
      <c r="B137" t="s">
        <v>15</v>
      </c>
      <c r="C137" t="s">
        <v>282</v>
      </c>
      <c r="D137" t="s">
        <v>283</v>
      </c>
      <c r="E137" s="1">
        <v>45929</v>
      </c>
      <c r="F137">
        <v>1</v>
      </c>
      <c r="G137">
        <v>2432</v>
      </c>
      <c r="H137">
        <v>73000</v>
      </c>
      <c r="I137">
        <v>0</v>
      </c>
      <c r="J137">
        <f t="shared" si="4"/>
        <v>73000</v>
      </c>
      <c r="K137" t="s">
        <v>1640</v>
      </c>
      <c r="L137">
        <v>2432</v>
      </c>
      <c r="M137" s="1">
        <f t="shared" si="5"/>
        <v>45929</v>
      </c>
      <c r="N137" t="s">
        <v>1641</v>
      </c>
      <c r="O137">
        <v>0</v>
      </c>
    </row>
    <row r="138" spans="1:15">
      <c r="A138" s="6" t="s">
        <v>14</v>
      </c>
      <c r="B138" t="s">
        <v>15</v>
      </c>
      <c r="C138" t="s">
        <v>284</v>
      </c>
      <c r="D138" t="s">
        <v>285</v>
      </c>
      <c r="E138" s="1">
        <v>45929</v>
      </c>
      <c r="F138">
        <v>1</v>
      </c>
      <c r="G138">
        <v>5366.67</v>
      </c>
      <c r="H138">
        <v>111290</v>
      </c>
      <c r="I138">
        <v>0</v>
      </c>
      <c r="J138">
        <f t="shared" si="4"/>
        <v>111290</v>
      </c>
      <c r="K138" t="s">
        <v>1640</v>
      </c>
      <c r="L138">
        <v>5366.67</v>
      </c>
      <c r="M138" s="1">
        <f t="shared" si="5"/>
        <v>45929</v>
      </c>
      <c r="N138" t="s">
        <v>1641</v>
      </c>
      <c r="O138">
        <v>0</v>
      </c>
    </row>
    <row r="139" spans="1:15">
      <c r="A139" s="6" t="s">
        <v>14</v>
      </c>
      <c r="B139" t="s">
        <v>15</v>
      </c>
      <c r="C139" t="s">
        <v>286</v>
      </c>
      <c r="D139" t="s">
        <v>287</v>
      </c>
      <c r="E139" s="1">
        <v>45929</v>
      </c>
      <c r="F139">
        <v>1</v>
      </c>
      <c r="G139">
        <v>2835</v>
      </c>
      <c r="H139">
        <v>85900</v>
      </c>
      <c r="I139">
        <v>0</v>
      </c>
      <c r="J139">
        <f t="shared" si="4"/>
        <v>85900</v>
      </c>
      <c r="K139" t="s">
        <v>1640</v>
      </c>
      <c r="L139">
        <v>2835</v>
      </c>
      <c r="M139" s="1">
        <f t="shared" si="5"/>
        <v>45929</v>
      </c>
      <c r="N139" t="s">
        <v>1641</v>
      </c>
      <c r="O139">
        <v>0</v>
      </c>
    </row>
    <row r="140" spans="1:15">
      <c r="A140" s="6" t="s">
        <v>14</v>
      </c>
      <c r="B140" t="s">
        <v>15</v>
      </c>
      <c r="C140" t="s">
        <v>288</v>
      </c>
      <c r="D140" t="s">
        <v>289</v>
      </c>
      <c r="E140" s="1">
        <v>45929</v>
      </c>
      <c r="F140">
        <v>1</v>
      </c>
      <c r="G140">
        <v>2695</v>
      </c>
      <c r="H140">
        <v>85000</v>
      </c>
      <c r="I140">
        <v>0</v>
      </c>
      <c r="J140">
        <f t="shared" si="4"/>
        <v>85000</v>
      </c>
      <c r="K140" t="s">
        <v>1640</v>
      </c>
      <c r="L140">
        <v>2695</v>
      </c>
      <c r="M140" s="1">
        <f t="shared" si="5"/>
        <v>45929</v>
      </c>
      <c r="N140" t="s">
        <v>1641</v>
      </c>
      <c r="O140">
        <v>0</v>
      </c>
    </row>
    <row r="141" spans="1:15">
      <c r="A141" s="6" t="s">
        <v>14</v>
      </c>
      <c r="B141" t="s">
        <v>15</v>
      </c>
      <c r="C141" t="s">
        <v>290</v>
      </c>
      <c r="D141" t="s">
        <v>291</v>
      </c>
      <c r="E141" s="1">
        <v>45929</v>
      </c>
      <c r="F141">
        <v>1</v>
      </c>
      <c r="G141">
        <v>1800</v>
      </c>
      <c r="H141">
        <v>79600</v>
      </c>
      <c r="I141">
        <v>0</v>
      </c>
      <c r="J141">
        <f t="shared" si="4"/>
        <v>79600</v>
      </c>
      <c r="K141" t="s">
        <v>1640</v>
      </c>
      <c r="L141">
        <v>1800</v>
      </c>
      <c r="M141" s="1">
        <f t="shared" si="5"/>
        <v>45929</v>
      </c>
      <c r="N141" t="s">
        <v>1641</v>
      </c>
      <c r="O141">
        <v>0</v>
      </c>
    </row>
    <row r="142" spans="1:15">
      <c r="A142" s="6" t="s">
        <v>14</v>
      </c>
      <c r="B142" t="s">
        <v>15</v>
      </c>
      <c r="C142" t="s">
        <v>292</v>
      </c>
      <c r="D142" t="s">
        <v>293</v>
      </c>
      <c r="E142" s="1">
        <v>45929</v>
      </c>
      <c r="F142">
        <v>1</v>
      </c>
      <c r="G142">
        <v>2250</v>
      </c>
      <c r="H142">
        <v>78580</v>
      </c>
      <c r="I142">
        <v>0</v>
      </c>
      <c r="J142">
        <f t="shared" si="4"/>
        <v>78580</v>
      </c>
      <c r="K142" t="s">
        <v>1640</v>
      </c>
      <c r="L142">
        <v>2250</v>
      </c>
      <c r="M142" s="1">
        <f t="shared" si="5"/>
        <v>45929</v>
      </c>
      <c r="N142" t="s">
        <v>1641</v>
      </c>
      <c r="O142">
        <v>0</v>
      </c>
    </row>
    <row r="143" spans="1:15">
      <c r="A143" s="6" t="s">
        <v>14</v>
      </c>
      <c r="B143" t="s">
        <v>15</v>
      </c>
      <c r="C143" t="s">
        <v>294</v>
      </c>
      <c r="D143" t="s">
        <v>295</v>
      </c>
      <c r="E143" s="1">
        <v>45929</v>
      </c>
      <c r="F143">
        <v>1</v>
      </c>
      <c r="G143">
        <v>2760</v>
      </c>
      <c r="H143">
        <v>89000</v>
      </c>
      <c r="I143">
        <v>0</v>
      </c>
      <c r="J143">
        <f t="shared" si="4"/>
        <v>89000</v>
      </c>
      <c r="K143" t="s">
        <v>1640</v>
      </c>
      <c r="L143">
        <v>2760</v>
      </c>
      <c r="M143" s="1">
        <f t="shared" si="5"/>
        <v>45929</v>
      </c>
      <c r="N143" t="s">
        <v>1641</v>
      </c>
      <c r="O143">
        <v>0</v>
      </c>
    </row>
    <row r="144" spans="1:15">
      <c r="A144" s="6" t="s">
        <v>14</v>
      </c>
      <c r="B144" t="s">
        <v>15</v>
      </c>
      <c r="C144" t="s">
        <v>296</v>
      </c>
      <c r="D144" t="s">
        <v>297</v>
      </c>
      <c r="E144" s="1">
        <v>45929</v>
      </c>
      <c r="F144">
        <v>1</v>
      </c>
      <c r="G144">
        <v>2970</v>
      </c>
      <c r="H144">
        <v>82153</v>
      </c>
      <c r="I144">
        <v>0</v>
      </c>
      <c r="J144">
        <f t="shared" si="4"/>
        <v>82153</v>
      </c>
      <c r="K144" t="s">
        <v>1640</v>
      </c>
      <c r="L144">
        <v>2970</v>
      </c>
      <c r="M144" s="1">
        <f t="shared" si="5"/>
        <v>45929</v>
      </c>
      <c r="N144" t="s">
        <v>1641</v>
      </c>
      <c r="O144">
        <v>0</v>
      </c>
    </row>
    <row r="145" spans="1:15">
      <c r="A145" s="6" t="s">
        <v>14</v>
      </c>
      <c r="B145" t="s">
        <v>15</v>
      </c>
      <c r="C145" t="s">
        <v>298</v>
      </c>
      <c r="D145" t="s">
        <v>299</v>
      </c>
      <c r="E145" s="1">
        <v>45929</v>
      </c>
      <c r="F145">
        <v>1</v>
      </c>
      <c r="G145">
        <v>2493.33</v>
      </c>
      <c r="H145">
        <v>85872</v>
      </c>
      <c r="I145">
        <v>0</v>
      </c>
      <c r="J145">
        <f t="shared" si="4"/>
        <v>85872</v>
      </c>
      <c r="K145" t="s">
        <v>1640</v>
      </c>
      <c r="L145">
        <v>2493.33</v>
      </c>
      <c r="M145" s="1">
        <f t="shared" si="5"/>
        <v>45929</v>
      </c>
      <c r="N145" t="s">
        <v>1641</v>
      </c>
      <c r="O145">
        <v>0</v>
      </c>
    </row>
    <row r="146" spans="1:15">
      <c r="A146" s="6" t="s">
        <v>14</v>
      </c>
      <c r="B146" t="s">
        <v>15</v>
      </c>
      <c r="C146" t="s">
        <v>300</v>
      </c>
      <c r="D146" t="s">
        <v>301</v>
      </c>
      <c r="E146" s="1">
        <v>45929</v>
      </c>
      <c r="F146">
        <v>1</v>
      </c>
      <c r="G146">
        <v>2300</v>
      </c>
      <c r="H146">
        <v>75800</v>
      </c>
      <c r="I146">
        <v>0</v>
      </c>
      <c r="J146">
        <f t="shared" si="4"/>
        <v>75800</v>
      </c>
      <c r="K146" t="s">
        <v>1640</v>
      </c>
      <c r="L146">
        <v>2300</v>
      </c>
      <c r="M146" s="1">
        <f t="shared" si="5"/>
        <v>45929</v>
      </c>
      <c r="N146" t="s">
        <v>1641</v>
      </c>
      <c r="O146">
        <v>0</v>
      </c>
    </row>
    <row r="147" spans="1:15">
      <c r="A147" s="6" t="s">
        <v>14</v>
      </c>
      <c r="B147" t="s">
        <v>15</v>
      </c>
      <c r="C147" t="s">
        <v>302</v>
      </c>
      <c r="D147" t="s">
        <v>303</v>
      </c>
      <c r="E147" s="1">
        <v>45929</v>
      </c>
      <c r="F147">
        <v>1</v>
      </c>
      <c r="G147">
        <v>2750</v>
      </c>
      <c r="H147">
        <v>84946</v>
      </c>
      <c r="I147">
        <v>0</v>
      </c>
      <c r="J147">
        <f t="shared" si="4"/>
        <v>84946</v>
      </c>
      <c r="K147" t="s">
        <v>1640</v>
      </c>
      <c r="L147">
        <v>2750</v>
      </c>
      <c r="M147" s="1">
        <f t="shared" si="5"/>
        <v>45929</v>
      </c>
      <c r="N147" t="s">
        <v>1641</v>
      </c>
      <c r="O147">
        <v>0</v>
      </c>
    </row>
    <row r="148" spans="1:15">
      <c r="A148" s="6" t="s">
        <v>14</v>
      </c>
      <c r="B148" t="s">
        <v>15</v>
      </c>
      <c r="C148" t="s">
        <v>304</v>
      </c>
      <c r="D148" t="s">
        <v>305</v>
      </c>
      <c r="E148" s="1">
        <v>45929</v>
      </c>
      <c r="F148">
        <v>1</v>
      </c>
      <c r="G148">
        <v>2470</v>
      </c>
      <c r="H148">
        <v>74000</v>
      </c>
      <c r="I148">
        <v>0</v>
      </c>
      <c r="J148">
        <f t="shared" si="4"/>
        <v>74000</v>
      </c>
      <c r="K148" t="s">
        <v>1640</v>
      </c>
      <c r="L148">
        <v>2470</v>
      </c>
      <c r="M148" s="1">
        <f t="shared" si="5"/>
        <v>45929</v>
      </c>
      <c r="N148" t="s">
        <v>1641</v>
      </c>
      <c r="O148">
        <v>0</v>
      </c>
    </row>
    <row r="149" spans="1:15">
      <c r="A149" s="6" t="s">
        <v>14</v>
      </c>
      <c r="B149" t="s">
        <v>15</v>
      </c>
      <c r="C149" t="s">
        <v>306</v>
      </c>
      <c r="D149" t="s">
        <v>307</v>
      </c>
      <c r="E149" s="1">
        <v>45929</v>
      </c>
      <c r="F149">
        <v>1</v>
      </c>
      <c r="G149">
        <v>2580</v>
      </c>
      <c r="H149">
        <v>77921</v>
      </c>
      <c r="I149">
        <v>0</v>
      </c>
      <c r="J149">
        <f t="shared" si="4"/>
        <v>77921</v>
      </c>
      <c r="K149" t="s">
        <v>1640</v>
      </c>
      <c r="L149">
        <v>2580</v>
      </c>
      <c r="M149" s="1">
        <f t="shared" si="5"/>
        <v>45929</v>
      </c>
      <c r="N149" t="s">
        <v>1641</v>
      </c>
      <c r="O149">
        <v>0</v>
      </c>
    </row>
    <row r="150" spans="1:15">
      <c r="A150" s="6" t="s">
        <v>14</v>
      </c>
      <c r="B150" t="s">
        <v>15</v>
      </c>
      <c r="C150" t="s">
        <v>308</v>
      </c>
      <c r="D150" t="s">
        <v>309</v>
      </c>
      <c r="E150" s="1">
        <v>45929</v>
      </c>
      <c r="F150">
        <v>1</v>
      </c>
      <c r="G150">
        <v>2080</v>
      </c>
      <c r="H150">
        <v>88414</v>
      </c>
      <c r="I150">
        <v>0</v>
      </c>
      <c r="J150">
        <f t="shared" si="4"/>
        <v>88414</v>
      </c>
      <c r="K150" t="s">
        <v>1640</v>
      </c>
      <c r="L150">
        <v>2080</v>
      </c>
      <c r="M150" s="1">
        <f t="shared" si="5"/>
        <v>45929</v>
      </c>
      <c r="N150" t="s">
        <v>1641</v>
      </c>
      <c r="O150">
        <v>0</v>
      </c>
    </row>
    <row r="151" spans="1:15">
      <c r="A151" s="6" t="s">
        <v>14</v>
      </c>
      <c r="B151" t="s">
        <v>15</v>
      </c>
      <c r="C151" t="s">
        <v>310</v>
      </c>
      <c r="D151" t="s">
        <v>311</v>
      </c>
      <c r="E151" s="1">
        <v>45929</v>
      </c>
      <c r="F151">
        <v>1</v>
      </c>
      <c r="G151">
        <v>1410</v>
      </c>
      <c r="H151">
        <v>98000</v>
      </c>
      <c r="I151">
        <v>0</v>
      </c>
      <c r="J151">
        <f t="shared" si="4"/>
        <v>98000</v>
      </c>
      <c r="K151" t="s">
        <v>1640</v>
      </c>
      <c r="L151">
        <v>1410</v>
      </c>
      <c r="M151" s="1">
        <f t="shared" si="5"/>
        <v>45929</v>
      </c>
      <c r="N151" t="s">
        <v>1641</v>
      </c>
      <c r="O151">
        <v>0</v>
      </c>
    </row>
    <row r="152" spans="1:15">
      <c r="A152" s="6" t="s">
        <v>14</v>
      </c>
      <c r="B152" t="s">
        <v>15</v>
      </c>
      <c r="C152" t="s">
        <v>312</v>
      </c>
      <c r="D152" t="s">
        <v>313</v>
      </c>
      <c r="E152" s="1">
        <v>45929</v>
      </c>
      <c r="F152">
        <v>1</v>
      </c>
      <c r="G152">
        <v>1782</v>
      </c>
      <c r="H152">
        <v>52000</v>
      </c>
      <c r="I152">
        <v>0</v>
      </c>
      <c r="J152">
        <f t="shared" si="4"/>
        <v>52000</v>
      </c>
      <c r="K152" t="s">
        <v>1640</v>
      </c>
      <c r="L152">
        <v>1782</v>
      </c>
      <c r="M152" s="1">
        <f t="shared" si="5"/>
        <v>45929</v>
      </c>
      <c r="N152" t="s">
        <v>1641</v>
      </c>
      <c r="O152">
        <v>0</v>
      </c>
    </row>
    <row r="153" spans="1:15">
      <c r="A153" s="6" t="s">
        <v>14</v>
      </c>
      <c r="B153" t="s">
        <v>15</v>
      </c>
      <c r="C153" t="s">
        <v>314</v>
      </c>
      <c r="D153" t="s">
        <v>315</v>
      </c>
      <c r="E153" s="1">
        <v>45929</v>
      </c>
      <c r="F153">
        <v>1</v>
      </c>
      <c r="G153">
        <v>0</v>
      </c>
      <c r="H153">
        <v>106791.67</v>
      </c>
      <c r="I153">
        <v>0</v>
      </c>
      <c r="J153">
        <f t="shared" si="4"/>
        <v>106791.67</v>
      </c>
      <c r="K153" t="s">
        <v>1640</v>
      </c>
      <c r="L153">
        <v>0</v>
      </c>
      <c r="M153" s="1">
        <f t="shared" si="5"/>
        <v>45929</v>
      </c>
      <c r="N153" t="s">
        <v>1641</v>
      </c>
      <c r="O153">
        <v>0</v>
      </c>
    </row>
    <row r="154" spans="1:15">
      <c r="A154" s="6" t="s">
        <v>14</v>
      </c>
      <c r="B154" t="s">
        <v>15</v>
      </c>
      <c r="C154" t="s">
        <v>316</v>
      </c>
      <c r="D154" t="s">
        <v>317</v>
      </c>
      <c r="E154" s="1">
        <v>45929</v>
      </c>
      <c r="F154">
        <v>1</v>
      </c>
      <c r="G154">
        <v>0</v>
      </c>
      <c r="H154">
        <v>77507.5</v>
      </c>
      <c r="I154">
        <v>0</v>
      </c>
      <c r="J154">
        <f t="shared" si="4"/>
        <v>77507.5</v>
      </c>
      <c r="K154" t="s">
        <v>1640</v>
      </c>
      <c r="L154">
        <v>0</v>
      </c>
      <c r="M154" s="1">
        <f t="shared" si="5"/>
        <v>45929</v>
      </c>
      <c r="N154" t="s">
        <v>1641</v>
      </c>
      <c r="O154">
        <v>0</v>
      </c>
    </row>
    <row r="155" spans="1:15">
      <c r="A155" s="6" t="s">
        <v>14</v>
      </c>
      <c r="B155" t="s">
        <v>15</v>
      </c>
      <c r="C155" t="s">
        <v>318</v>
      </c>
      <c r="D155" t="s">
        <v>319</v>
      </c>
      <c r="E155" s="1">
        <v>45929</v>
      </c>
      <c r="F155">
        <v>1</v>
      </c>
      <c r="G155">
        <v>1480</v>
      </c>
      <c r="H155">
        <v>80000</v>
      </c>
      <c r="I155">
        <v>0</v>
      </c>
      <c r="J155">
        <f t="shared" si="4"/>
        <v>80000</v>
      </c>
      <c r="K155" t="s">
        <v>1640</v>
      </c>
      <c r="L155">
        <v>1480</v>
      </c>
      <c r="M155" s="1">
        <f t="shared" si="5"/>
        <v>45929</v>
      </c>
      <c r="N155" t="s">
        <v>1641</v>
      </c>
      <c r="O155">
        <v>0</v>
      </c>
    </row>
    <row r="156" spans="1:15">
      <c r="A156" s="6" t="s">
        <v>14</v>
      </c>
      <c r="B156" t="s">
        <v>15</v>
      </c>
      <c r="C156" t="s">
        <v>320</v>
      </c>
      <c r="D156" t="s">
        <v>321</v>
      </c>
      <c r="E156" s="1">
        <v>45929</v>
      </c>
      <c r="F156">
        <v>1</v>
      </c>
      <c r="G156">
        <v>2850</v>
      </c>
      <c r="H156">
        <v>85000</v>
      </c>
      <c r="I156">
        <v>0</v>
      </c>
      <c r="J156">
        <f t="shared" si="4"/>
        <v>85000</v>
      </c>
      <c r="K156" t="s">
        <v>1640</v>
      </c>
      <c r="L156">
        <v>2850</v>
      </c>
      <c r="M156" s="1">
        <f t="shared" si="5"/>
        <v>45929</v>
      </c>
      <c r="N156" t="s">
        <v>1641</v>
      </c>
      <c r="O156">
        <v>0</v>
      </c>
    </row>
    <row r="157" spans="1:15">
      <c r="A157" s="6" t="s">
        <v>14</v>
      </c>
      <c r="B157" t="s">
        <v>15</v>
      </c>
      <c r="C157" t="s">
        <v>322</v>
      </c>
      <c r="D157" t="s">
        <v>323</v>
      </c>
      <c r="E157" s="1">
        <v>45929</v>
      </c>
      <c r="F157">
        <v>1</v>
      </c>
      <c r="G157">
        <v>1105</v>
      </c>
      <c r="H157">
        <v>19454</v>
      </c>
      <c r="I157">
        <v>0</v>
      </c>
      <c r="J157">
        <f t="shared" si="4"/>
        <v>19454</v>
      </c>
      <c r="K157" t="s">
        <v>1640</v>
      </c>
      <c r="L157">
        <v>1105</v>
      </c>
      <c r="M157" s="1">
        <f t="shared" si="5"/>
        <v>45929</v>
      </c>
      <c r="N157" t="s">
        <v>1641</v>
      </c>
      <c r="O157">
        <v>0</v>
      </c>
    </row>
    <row r="158" spans="1:15">
      <c r="A158" s="6" t="s">
        <v>14</v>
      </c>
      <c r="B158" t="s">
        <v>15</v>
      </c>
      <c r="C158" t="s">
        <v>324</v>
      </c>
      <c r="D158" t="s">
        <v>325</v>
      </c>
      <c r="E158" s="1">
        <v>45929</v>
      </c>
      <c r="F158">
        <v>1</v>
      </c>
      <c r="G158">
        <v>0</v>
      </c>
      <c r="H158">
        <v>69260</v>
      </c>
      <c r="I158">
        <v>0</v>
      </c>
      <c r="J158">
        <f t="shared" si="4"/>
        <v>69260</v>
      </c>
      <c r="K158" t="s">
        <v>1640</v>
      </c>
      <c r="L158">
        <v>0</v>
      </c>
      <c r="M158" s="1">
        <f t="shared" si="5"/>
        <v>45929</v>
      </c>
      <c r="N158" t="s">
        <v>1641</v>
      </c>
      <c r="O158">
        <v>0</v>
      </c>
    </row>
    <row r="159" spans="1:15">
      <c r="A159" s="6" t="s">
        <v>14</v>
      </c>
      <c r="B159" t="s">
        <v>15</v>
      </c>
      <c r="C159" t="s">
        <v>326</v>
      </c>
      <c r="D159" t="s">
        <v>327</v>
      </c>
      <c r="E159" s="1">
        <v>45929</v>
      </c>
      <c r="F159">
        <v>1</v>
      </c>
      <c r="G159">
        <v>4092</v>
      </c>
      <c r="H159">
        <v>122717</v>
      </c>
      <c r="I159">
        <v>0</v>
      </c>
      <c r="J159">
        <f t="shared" si="4"/>
        <v>122717</v>
      </c>
      <c r="K159" t="s">
        <v>1640</v>
      </c>
      <c r="L159">
        <v>4092</v>
      </c>
      <c r="M159" s="1">
        <f t="shared" si="5"/>
        <v>45929</v>
      </c>
      <c r="N159" t="s">
        <v>1641</v>
      </c>
      <c r="O159">
        <v>0</v>
      </c>
    </row>
    <row r="160" spans="1:15">
      <c r="A160" s="6" t="s">
        <v>14</v>
      </c>
      <c r="B160" t="s">
        <v>15</v>
      </c>
      <c r="C160" t="s">
        <v>328</v>
      </c>
      <c r="D160" t="s">
        <v>329</v>
      </c>
      <c r="E160" s="1">
        <v>45929</v>
      </c>
      <c r="F160">
        <v>1</v>
      </c>
      <c r="G160">
        <v>2210</v>
      </c>
      <c r="H160">
        <v>114888</v>
      </c>
      <c r="I160">
        <v>0</v>
      </c>
      <c r="J160">
        <f t="shared" si="4"/>
        <v>114888</v>
      </c>
      <c r="K160" t="s">
        <v>1640</v>
      </c>
      <c r="L160">
        <v>2210</v>
      </c>
      <c r="M160" s="1">
        <f t="shared" si="5"/>
        <v>45929</v>
      </c>
      <c r="N160" t="s">
        <v>1641</v>
      </c>
      <c r="O160">
        <v>0</v>
      </c>
    </row>
    <row r="161" spans="1:15">
      <c r="A161" s="6" t="s">
        <v>14</v>
      </c>
      <c r="B161" t="s">
        <v>15</v>
      </c>
      <c r="C161" t="s">
        <v>330</v>
      </c>
      <c r="D161" t="s">
        <v>331</v>
      </c>
      <c r="E161" s="1">
        <v>45929</v>
      </c>
      <c r="F161">
        <v>1</v>
      </c>
      <c r="G161">
        <v>3519</v>
      </c>
      <c r="H161">
        <v>102530</v>
      </c>
      <c r="I161">
        <v>0</v>
      </c>
      <c r="J161">
        <f t="shared" si="4"/>
        <v>102530</v>
      </c>
      <c r="K161" t="s">
        <v>1640</v>
      </c>
      <c r="L161">
        <v>3519</v>
      </c>
      <c r="M161" s="1">
        <f t="shared" si="5"/>
        <v>45929</v>
      </c>
      <c r="N161" t="s">
        <v>1641</v>
      </c>
      <c r="O161">
        <v>0</v>
      </c>
    </row>
    <row r="162" spans="1:15">
      <c r="A162" s="6" t="s">
        <v>14</v>
      </c>
      <c r="B162" t="s">
        <v>15</v>
      </c>
      <c r="C162" t="s">
        <v>332</v>
      </c>
      <c r="D162" t="s">
        <v>333</v>
      </c>
      <c r="E162" s="1">
        <v>45929</v>
      </c>
      <c r="F162">
        <v>1</v>
      </c>
      <c r="G162">
        <v>1510</v>
      </c>
      <c r="H162">
        <v>130500</v>
      </c>
      <c r="I162">
        <v>0</v>
      </c>
      <c r="J162">
        <f t="shared" si="4"/>
        <v>130500</v>
      </c>
      <c r="K162" t="s">
        <v>1640</v>
      </c>
      <c r="L162">
        <v>1510</v>
      </c>
      <c r="M162" s="1">
        <f t="shared" si="5"/>
        <v>45929</v>
      </c>
      <c r="N162" t="s">
        <v>1641</v>
      </c>
      <c r="O162">
        <v>0</v>
      </c>
    </row>
    <row r="163" spans="1:15">
      <c r="A163" s="6" t="s">
        <v>14</v>
      </c>
      <c r="B163" t="s">
        <v>15</v>
      </c>
      <c r="C163" t="s">
        <v>334</v>
      </c>
      <c r="D163" t="s">
        <v>335</v>
      </c>
      <c r="E163" s="1">
        <v>45929</v>
      </c>
      <c r="F163">
        <v>1</v>
      </c>
      <c r="G163">
        <v>2666.67</v>
      </c>
      <c r="H163">
        <v>119788</v>
      </c>
      <c r="I163">
        <v>0</v>
      </c>
      <c r="J163">
        <f t="shared" si="4"/>
        <v>119788</v>
      </c>
      <c r="K163" t="s">
        <v>1640</v>
      </c>
      <c r="L163">
        <v>2666.67</v>
      </c>
      <c r="M163" s="1">
        <f t="shared" si="5"/>
        <v>45929</v>
      </c>
      <c r="N163" t="s">
        <v>1641</v>
      </c>
      <c r="O163">
        <v>0</v>
      </c>
    </row>
    <row r="164" spans="1:15">
      <c r="A164" s="6" t="s">
        <v>14</v>
      </c>
      <c r="B164" t="s">
        <v>15</v>
      </c>
      <c r="C164" t="s">
        <v>336</v>
      </c>
      <c r="D164" t="s">
        <v>337</v>
      </c>
      <c r="E164" s="1">
        <v>45929</v>
      </c>
      <c r="F164">
        <v>1</v>
      </c>
      <c r="G164">
        <v>2400</v>
      </c>
      <c r="H164">
        <v>44000</v>
      </c>
      <c r="I164">
        <v>0</v>
      </c>
      <c r="J164">
        <f t="shared" si="4"/>
        <v>44000</v>
      </c>
      <c r="K164" t="s">
        <v>1640</v>
      </c>
      <c r="L164">
        <v>2400</v>
      </c>
      <c r="M164" s="1">
        <f t="shared" si="5"/>
        <v>45929</v>
      </c>
      <c r="N164" t="s">
        <v>1641</v>
      </c>
      <c r="O164">
        <v>0</v>
      </c>
    </row>
    <row r="165" spans="1:15">
      <c r="A165" s="6" t="s">
        <v>14</v>
      </c>
      <c r="B165" t="s">
        <v>15</v>
      </c>
      <c r="C165" t="s">
        <v>338</v>
      </c>
      <c r="D165" t="s">
        <v>339</v>
      </c>
      <c r="E165" s="1">
        <v>45929</v>
      </c>
      <c r="F165">
        <v>1</v>
      </c>
      <c r="G165">
        <v>3060</v>
      </c>
      <c r="H165">
        <v>92000</v>
      </c>
      <c r="I165">
        <v>0</v>
      </c>
      <c r="J165">
        <f t="shared" si="4"/>
        <v>92000</v>
      </c>
      <c r="K165" t="s">
        <v>1640</v>
      </c>
      <c r="L165">
        <v>3060</v>
      </c>
      <c r="M165" s="1">
        <f t="shared" si="5"/>
        <v>45929</v>
      </c>
      <c r="N165" t="s">
        <v>1641</v>
      </c>
      <c r="O165">
        <v>0</v>
      </c>
    </row>
    <row r="166" spans="1:15">
      <c r="A166" s="6" t="s">
        <v>14</v>
      </c>
      <c r="B166" t="s">
        <v>15</v>
      </c>
      <c r="C166" t="s">
        <v>340</v>
      </c>
      <c r="D166" t="s">
        <v>341</v>
      </c>
      <c r="E166" s="1">
        <v>45929</v>
      </c>
      <c r="F166">
        <v>1</v>
      </c>
      <c r="G166">
        <v>2450</v>
      </c>
      <c r="H166">
        <v>118000</v>
      </c>
      <c r="I166">
        <v>0</v>
      </c>
      <c r="J166">
        <f t="shared" si="4"/>
        <v>118000</v>
      </c>
      <c r="K166" t="s">
        <v>1640</v>
      </c>
      <c r="L166">
        <v>2450</v>
      </c>
      <c r="M166" s="1">
        <f t="shared" si="5"/>
        <v>45929</v>
      </c>
      <c r="N166" t="s">
        <v>1641</v>
      </c>
      <c r="O166">
        <v>0</v>
      </c>
    </row>
    <row r="167" spans="1:15">
      <c r="A167" s="6" t="s">
        <v>14</v>
      </c>
      <c r="B167" t="s">
        <v>15</v>
      </c>
      <c r="C167" t="s">
        <v>342</v>
      </c>
      <c r="D167" t="s">
        <v>343</v>
      </c>
      <c r="E167" s="1">
        <v>45929</v>
      </c>
      <c r="F167">
        <v>1</v>
      </c>
      <c r="G167">
        <v>3600</v>
      </c>
      <c r="H167">
        <v>173888</v>
      </c>
      <c r="I167">
        <v>0</v>
      </c>
      <c r="J167">
        <f t="shared" si="4"/>
        <v>173888</v>
      </c>
      <c r="K167" t="s">
        <v>1640</v>
      </c>
      <c r="L167">
        <v>3600</v>
      </c>
      <c r="M167" s="1">
        <f t="shared" si="5"/>
        <v>45929</v>
      </c>
      <c r="N167" t="s">
        <v>1641</v>
      </c>
      <c r="O167">
        <v>0</v>
      </c>
    </row>
    <row r="168" spans="1:15">
      <c r="A168" s="6" t="s">
        <v>14</v>
      </c>
      <c r="B168" t="s">
        <v>15</v>
      </c>
      <c r="C168" t="s">
        <v>344</v>
      </c>
      <c r="D168" t="s">
        <v>345</v>
      </c>
      <c r="E168" s="1">
        <v>45929</v>
      </c>
      <c r="F168">
        <v>1</v>
      </c>
      <c r="G168">
        <v>1930</v>
      </c>
      <c r="H168">
        <v>119000</v>
      </c>
      <c r="I168">
        <v>0</v>
      </c>
      <c r="J168">
        <f t="shared" si="4"/>
        <v>119000</v>
      </c>
      <c r="K168" t="s">
        <v>1640</v>
      </c>
      <c r="L168">
        <v>1930</v>
      </c>
      <c r="M168" s="1">
        <f t="shared" si="5"/>
        <v>45929</v>
      </c>
      <c r="N168" t="s">
        <v>1641</v>
      </c>
      <c r="O168">
        <v>0</v>
      </c>
    </row>
    <row r="169" spans="1:15">
      <c r="A169" s="6" t="s">
        <v>14</v>
      </c>
      <c r="B169" t="s">
        <v>15</v>
      </c>
      <c r="C169" t="s">
        <v>346</v>
      </c>
      <c r="D169" t="s">
        <v>347</v>
      </c>
      <c r="E169" s="1">
        <v>45929</v>
      </c>
      <c r="F169">
        <v>1</v>
      </c>
      <c r="G169">
        <v>2300</v>
      </c>
      <c r="H169">
        <v>109415</v>
      </c>
      <c r="I169">
        <v>0</v>
      </c>
      <c r="J169">
        <f t="shared" si="4"/>
        <v>109415</v>
      </c>
      <c r="K169" t="s">
        <v>1640</v>
      </c>
      <c r="L169">
        <v>2300</v>
      </c>
      <c r="M169" s="1">
        <f t="shared" si="5"/>
        <v>45929</v>
      </c>
      <c r="N169" t="s">
        <v>1641</v>
      </c>
      <c r="O169">
        <v>0</v>
      </c>
    </row>
    <row r="170" spans="1:15">
      <c r="A170" s="6" t="s">
        <v>14</v>
      </c>
      <c r="B170" t="s">
        <v>15</v>
      </c>
      <c r="C170" t="s">
        <v>348</v>
      </c>
      <c r="D170" t="s">
        <v>349</v>
      </c>
      <c r="E170" s="1">
        <v>45929</v>
      </c>
      <c r="F170">
        <v>1</v>
      </c>
      <c r="G170">
        <v>2150</v>
      </c>
      <c r="H170">
        <v>99693</v>
      </c>
      <c r="I170">
        <v>0</v>
      </c>
      <c r="J170">
        <f t="shared" si="4"/>
        <v>99693</v>
      </c>
      <c r="K170" t="s">
        <v>1640</v>
      </c>
      <c r="L170">
        <v>2150</v>
      </c>
      <c r="M170" s="1">
        <f t="shared" si="5"/>
        <v>45929</v>
      </c>
      <c r="N170" t="s">
        <v>1641</v>
      </c>
      <c r="O170">
        <v>0</v>
      </c>
    </row>
    <row r="171" spans="1:15">
      <c r="A171" s="6" t="s">
        <v>14</v>
      </c>
      <c r="B171" t="s">
        <v>15</v>
      </c>
      <c r="C171" t="s">
        <v>350</v>
      </c>
      <c r="D171" t="s">
        <v>351</v>
      </c>
      <c r="E171" s="1">
        <v>45929</v>
      </c>
      <c r="F171">
        <v>1</v>
      </c>
      <c r="G171">
        <v>2400</v>
      </c>
      <c r="H171">
        <v>90777</v>
      </c>
      <c r="I171">
        <v>0</v>
      </c>
      <c r="J171">
        <f t="shared" si="4"/>
        <v>90777</v>
      </c>
      <c r="K171" t="s">
        <v>1640</v>
      </c>
      <c r="L171">
        <v>2400</v>
      </c>
      <c r="M171" s="1">
        <f t="shared" si="5"/>
        <v>45929</v>
      </c>
      <c r="N171" t="s">
        <v>1641</v>
      </c>
      <c r="O171">
        <v>0</v>
      </c>
    </row>
    <row r="172" spans="1:15">
      <c r="A172" s="6" t="s">
        <v>14</v>
      </c>
      <c r="B172" t="s">
        <v>15</v>
      </c>
      <c r="C172" t="s">
        <v>352</v>
      </c>
      <c r="D172" t="s">
        <v>353</v>
      </c>
      <c r="E172" s="1">
        <v>45929</v>
      </c>
      <c r="F172">
        <v>1</v>
      </c>
      <c r="G172">
        <v>2000</v>
      </c>
      <c r="H172">
        <v>97686</v>
      </c>
      <c r="I172">
        <v>0</v>
      </c>
      <c r="J172">
        <f t="shared" si="4"/>
        <v>97686</v>
      </c>
      <c r="K172" t="s">
        <v>1640</v>
      </c>
      <c r="L172">
        <v>2000</v>
      </c>
      <c r="M172" s="1">
        <f t="shared" si="5"/>
        <v>45929</v>
      </c>
      <c r="N172" t="s">
        <v>1641</v>
      </c>
      <c r="O172">
        <v>0</v>
      </c>
    </row>
    <row r="173" spans="1:15">
      <c r="A173" s="6" t="s">
        <v>14</v>
      </c>
      <c r="B173" t="s">
        <v>15</v>
      </c>
      <c r="C173" t="s">
        <v>354</v>
      </c>
      <c r="D173" t="s">
        <v>355</v>
      </c>
      <c r="E173" s="1">
        <v>45929</v>
      </c>
      <c r="F173">
        <v>1</v>
      </c>
      <c r="G173">
        <v>2890</v>
      </c>
      <c r="H173">
        <v>117000</v>
      </c>
      <c r="I173">
        <v>0</v>
      </c>
      <c r="J173">
        <f t="shared" si="4"/>
        <v>117000</v>
      </c>
      <c r="K173" t="s">
        <v>1640</v>
      </c>
      <c r="L173">
        <v>2890</v>
      </c>
      <c r="M173" s="1">
        <f t="shared" si="5"/>
        <v>45929</v>
      </c>
      <c r="N173" t="s">
        <v>1641</v>
      </c>
      <c r="O173">
        <v>0</v>
      </c>
    </row>
    <row r="174" spans="1:15">
      <c r="A174" s="6" t="s">
        <v>14</v>
      </c>
      <c r="B174" t="s">
        <v>15</v>
      </c>
      <c r="C174" t="s">
        <v>356</v>
      </c>
      <c r="D174" t="s">
        <v>357</v>
      </c>
      <c r="E174" s="1">
        <v>45929</v>
      </c>
      <c r="F174">
        <v>1</v>
      </c>
      <c r="G174">
        <v>1820</v>
      </c>
      <c r="H174">
        <v>126800</v>
      </c>
      <c r="I174">
        <v>0</v>
      </c>
      <c r="J174">
        <f t="shared" si="4"/>
        <v>126800</v>
      </c>
      <c r="K174" t="s">
        <v>1640</v>
      </c>
      <c r="L174">
        <v>1820</v>
      </c>
      <c r="M174" s="1">
        <f t="shared" si="5"/>
        <v>45929</v>
      </c>
      <c r="N174" t="s">
        <v>1641</v>
      </c>
      <c r="O174">
        <v>0</v>
      </c>
    </row>
    <row r="175" spans="1:15">
      <c r="A175" s="6" t="s">
        <v>14</v>
      </c>
      <c r="B175" t="s">
        <v>15</v>
      </c>
      <c r="C175" t="s">
        <v>358</v>
      </c>
      <c r="D175" t="s">
        <v>359</v>
      </c>
      <c r="E175" s="1">
        <v>45929</v>
      </c>
      <c r="F175">
        <v>1</v>
      </c>
      <c r="G175">
        <v>1600</v>
      </c>
      <c r="H175">
        <v>121800</v>
      </c>
      <c r="I175">
        <v>0</v>
      </c>
      <c r="J175">
        <f t="shared" si="4"/>
        <v>121800</v>
      </c>
      <c r="K175" t="s">
        <v>1640</v>
      </c>
      <c r="L175">
        <v>1600</v>
      </c>
      <c r="M175" s="1">
        <f t="shared" si="5"/>
        <v>45929</v>
      </c>
      <c r="N175" t="s">
        <v>1641</v>
      </c>
      <c r="O175">
        <v>0</v>
      </c>
    </row>
    <row r="176" spans="1:15">
      <c r="A176" s="6" t="s">
        <v>14</v>
      </c>
      <c r="B176" t="s">
        <v>15</v>
      </c>
      <c r="C176" t="s">
        <v>360</v>
      </c>
      <c r="D176" t="s">
        <v>361</v>
      </c>
      <c r="E176" s="1">
        <v>45929</v>
      </c>
      <c r="F176">
        <v>1</v>
      </c>
      <c r="G176">
        <v>2696.1</v>
      </c>
      <c r="H176">
        <v>80000</v>
      </c>
      <c r="I176">
        <v>0</v>
      </c>
      <c r="J176">
        <f t="shared" si="4"/>
        <v>80000</v>
      </c>
      <c r="K176" t="s">
        <v>1640</v>
      </c>
      <c r="L176">
        <v>2696.1</v>
      </c>
      <c r="M176" s="1">
        <f t="shared" si="5"/>
        <v>45929</v>
      </c>
      <c r="N176" t="s">
        <v>1641</v>
      </c>
      <c r="O176">
        <v>0</v>
      </c>
    </row>
    <row r="177" spans="1:15">
      <c r="A177" s="6" t="s">
        <v>14</v>
      </c>
      <c r="B177" t="s">
        <v>15</v>
      </c>
      <c r="C177" t="s">
        <v>362</v>
      </c>
      <c r="D177" t="s">
        <v>363</v>
      </c>
      <c r="E177" s="1">
        <v>45929</v>
      </c>
      <c r="F177">
        <v>1</v>
      </c>
      <c r="G177">
        <v>1455</v>
      </c>
      <c r="H177">
        <v>59000</v>
      </c>
      <c r="I177">
        <v>0</v>
      </c>
      <c r="J177">
        <f t="shared" si="4"/>
        <v>59000</v>
      </c>
      <c r="K177" t="s">
        <v>1640</v>
      </c>
      <c r="L177">
        <v>1455</v>
      </c>
      <c r="M177" s="1">
        <f t="shared" si="5"/>
        <v>45929</v>
      </c>
      <c r="N177" t="s">
        <v>1641</v>
      </c>
      <c r="O177">
        <v>0</v>
      </c>
    </row>
    <row r="178" spans="1:15">
      <c r="A178" s="6" t="s">
        <v>14</v>
      </c>
      <c r="B178" t="s">
        <v>15</v>
      </c>
      <c r="C178" t="s">
        <v>364</v>
      </c>
      <c r="D178" t="s">
        <v>365</v>
      </c>
      <c r="E178" s="1">
        <v>45929</v>
      </c>
      <c r="F178">
        <v>1</v>
      </c>
      <c r="G178">
        <v>2795</v>
      </c>
      <c r="H178">
        <v>83042</v>
      </c>
      <c r="I178">
        <v>0</v>
      </c>
      <c r="J178">
        <f t="shared" si="4"/>
        <v>83042</v>
      </c>
      <c r="K178" t="s">
        <v>1640</v>
      </c>
      <c r="L178">
        <v>2795</v>
      </c>
      <c r="M178" s="1">
        <f t="shared" si="5"/>
        <v>45929</v>
      </c>
      <c r="N178" t="s">
        <v>1641</v>
      </c>
      <c r="O178">
        <v>0</v>
      </c>
    </row>
    <row r="179" spans="1:15">
      <c r="A179" s="6" t="s">
        <v>14</v>
      </c>
      <c r="B179" t="s">
        <v>15</v>
      </c>
      <c r="C179" t="s">
        <v>366</v>
      </c>
      <c r="D179" t="s">
        <v>367</v>
      </c>
      <c r="E179" s="1">
        <v>45929</v>
      </c>
      <c r="F179">
        <v>1</v>
      </c>
      <c r="G179">
        <v>3016</v>
      </c>
      <c r="H179">
        <v>104008</v>
      </c>
      <c r="I179">
        <v>0</v>
      </c>
      <c r="J179">
        <f t="shared" si="4"/>
        <v>104008</v>
      </c>
      <c r="K179" t="s">
        <v>1640</v>
      </c>
      <c r="L179">
        <v>3016</v>
      </c>
      <c r="M179" s="1">
        <f t="shared" si="5"/>
        <v>45929</v>
      </c>
      <c r="N179" t="s">
        <v>1641</v>
      </c>
      <c r="O179">
        <v>0</v>
      </c>
    </row>
    <row r="180" spans="1:15">
      <c r="A180" s="6" t="s">
        <v>14</v>
      </c>
      <c r="B180" t="s">
        <v>15</v>
      </c>
      <c r="C180" t="s">
        <v>368</v>
      </c>
      <c r="D180" t="s">
        <v>369</v>
      </c>
      <c r="E180" s="1">
        <v>45929</v>
      </c>
      <c r="F180">
        <v>1</v>
      </c>
      <c r="G180">
        <v>1615</v>
      </c>
      <c r="H180">
        <v>28553</v>
      </c>
      <c r="I180">
        <v>0</v>
      </c>
      <c r="J180">
        <f t="shared" si="4"/>
        <v>28553</v>
      </c>
      <c r="K180" t="s">
        <v>1640</v>
      </c>
      <c r="L180">
        <v>1615</v>
      </c>
      <c r="M180" s="1">
        <f t="shared" si="5"/>
        <v>45929</v>
      </c>
      <c r="N180" t="s">
        <v>1641</v>
      </c>
      <c r="O180">
        <v>0</v>
      </c>
    </row>
    <row r="181" spans="1:15">
      <c r="A181" s="6" t="s">
        <v>14</v>
      </c>
      <c r="B181" t="s">
        <v>15</v>
      </c>
      <c r="C181" t="s">
        <v>370</v>
      </c>
      <c r="D181" t="s">
        <v>371</v>
      </c>
      <c r="E181" s="1">
        <v>45929</v>
      </c>
      <c r="F181">
        <v>1</v>
      </c>
      <c r="G181">
        <v>2597</v>
      </c>
      <c r="H181">
        <v>77700</v>
      </c>
      <c r="I181">
        <v>0</v>
      </c>
      <c r="J181">
        <f t="shared" si="4"/>
        <v>77700</v>
      </c>
      <c r="K181" t="s">
        <v>1640</v>
      </c>
      <c r="L181">
        <v>2597</v>
      </c>
      <c r="M181" s="1">
        <f t="shared" si="5"/>
        <v>45929</v>
      </c>
      <c r="N181" t="s">
        <v>1641</v>
      </c>
      <c r="O181">
        <v>0</v>
      </c>
    </row>
    <row r="182" spans="1:15">
      <c r="A182" s="6" t="s">
        <v>14</v>
      </c>
      <c r="B182" t="s">
        <v>15</v>
      </c>
      <c r="C182" t="s">
        <v>372</v>
      </c>
      <c r="D182" t="s">
        <v>1646</v>
      </c>
      <c r="E182" s="1">
        <v>45929</v>
      </c>
      <c r="F182">
        <v>1</v>
      </c>
      <c r="G182">
        <v>2200</v>
      </c>
      <c r="H182">
        <v>121169</v>
      </c>
      <c r="I182">
        <v>0</v>
      </c>
      <c r="J182">
        <f t="shared" si="4"/>
        <v>121169</v>
      </c>
      <c r="K182" t="s">
        <v>1640</v>
      </c>
      <c r="L182">
        <v>2200</v>
      </c>
      <c r="M182" s="1">
        <f t="shared" si="5"/>
        <v>45929</v>
      </c>
      <c r="N182" t="s">
        <v>1641</v>
      </c>
      <c r="O182">
        <v>0</v>
      </c>
    </row>
    <row r="183" spans="1:15">
      <c r="A183" s="6" t="s">
        <v>14</v>
      </c>
      <c r="B183" t="s">
        <v>15</v>
      </c>
      <c r="C183" t="s">
        <v>373</v>
      </c>
      <c r="D183" t="s">
        <v>374</v>
      </c>
      <c r="E183" s="1">
        <v>45929</v>
      </c>
      <c r="F183">
        <v>1</v>
      </c>
      <c r="G183">
        <v>7370</v>
      </c>
      <c r="H183">
        <v>220995</v>
      </c>
      <c r="I183">
        <v>0</v>
      </c>
      <c r="J183">
        <f t="shared" si="4"/>
        <v>220995</v>
      </c>
      <c r="K183" t="s">
        <v>1640</v>
      </c>
      <c r="L183">
        <v>7370</v>
      </c>
      <c r="M183" s="1">
        <f t="shared" si="5"/>
        <v>45929</v>
      </c>
      <c r="N183" t="s">
        <v>1641</v>
      </c>
      <c r="O183">
        <v>0</v>
      </c>
    </row>
    <row r="184" spans="1:15">
      <c r="A184" s="6" t="s">
        <v>14</v>
      </c>
      <c r="B184" t="s">
        <v>15</v>
      </c>
      <c r="C184" t="s">
        <v>375</v>
      </c>
      <c r="D184" t="s">
        <v>376</v>
      </c>
      <c r="E184" s="1">
        <v>45929</v>
      </c>
      <c r="F184">
        <v>1</v>
      </c>
      <c r="G184">
        <v>2652</v>
      </c>
      <c r="H184">
        <v>77033</v>
      </c>
      <c r="I184">
        <v>0</v>
      </c>
      <c r="J184">
        <f t="shared" si="4"/>
        <v>77033</v>
      </c>
      <c r="K184" t="s">
        <v>1640</v>
      </c>
      <c r="L184">
        <v>2652</v>
      </c>
      <c r="M184" s="1">
        <f t="shared" si="5"/>
        <v>45929</v>
      </c>
      <c r="N184" t="s">
        <v>1641</v>
      </c>
      <c r="O184">
        <v>0</v>
      </c>
    </row>
    <row r="185" spans="1:15">
      <c r="A185" s="6" t="s">
        <v>14</v>
      </c>
      <c r="B185" t="s">
        <v>15</v>
      </c>
      <c r="C185" t="s">
        <v>377</v>
      </c>
      <c r="D185" t="s">
        <v>378</v>
      </c>
      <c r="E185" s="1">
        <v>45929</v>
      </c>
      <c r="F185">
        <v>1</v>
      </c>
      <c r="G185">
        <v>1600</v>
      </c>
      <c r="H185">
        <v>66000</v>
      </c>
      <c r="I185">
        <v>0</v>
      </c>
      <c r="J185">
        <f t="shared" si="4"/>
        <v>66000</v>
      </c>
      <c r="K185" t="s">
        <v>1640</v>
      </c>
      <c r="L185">
        <v>1600</v>
      </c>
      <c r="M185" s="1">
        <f t="shared" si="5"/>
        <v>45929</v>
      </c>
      <c r="N185" t="s">
        <v>1641</v>
      </c>
      <c r="O185">
        <v>0</v>
      </c>
    </row>
    <row r="186" spans="1:15">
      <c r="A186" s="6" t="s">
        <v>14</v>
      </c>
      <c r="B186" t="s">
        <v>15</v>
      </c>
      <c r="C186" t="s">
        <v>379</v>
      </c>
      <c r="D186" t="s">
        <v>380</v>
      </c>
      <c r="E186" s="1">
        <v>45929</v>
      </c>
      <c r="F186">
        <v>1</v>
      </c>
      <c r="G186">
        <v>0</v>
      </c>
      <c r="H186">
        <v>33828</v>
      </c>
      <c r="I186">
        <v>0</v>
      </c>
      <c r="J186">
        <f t="shared" si="4"/>
        <v>33828</v>
      </c>
      <c r="K186" t="s">
        <v>1640</v>
      </c>
      <c r="L186">
        <v>0</v>
      </c>
      <c r="M186" s="1">
        <f t="shared" si="5"/>
        <v>45929</v>
      </c>
      <c r="N186" t="s">
        <v>1641</v>
      </c>
      <c r="O186">
        <v>0</v>
      </c>
    </row>
    <row r="187" spans="1:15">
      <c r="A187" s="6" t="s">
        <v>14</v>
      </c>
      <c r="B187" t="s">
        <v>15</v>
      </c>
      <c r="C187" t="s">
        <v>381</v>
      </c>
      <c r="D187" t="s">
        <v>382</v>
      </c>
      <c r="E187" s="1">
        <v>45929</v>
      </c>
      <c r="F187">
        <v>1</v>
      </c>
      <c r="G187">
        <v>2920</v>
      </c>
      <c r="H187">
        <v>129002</v>
      </c>
      <c r="I187">
        <v>0</v>
      </c>
      <c r="J187">
        <f t="shared" si="4"/>
        <v>129002</v>
      </c>
      <c r="K187" t="s">
        <v>1640</v>
      </c>
      <c r="L187">
        <v>2920</v>
      </c>
      <c r="M187" s="1">
        <f t="shared" si="5"/>
        <v>45929</v>
      </c>
      <c r="N187" t="s">
        <v>1641</v>
      </c>
      <c r="O187">
        <v>0</v>
      </c>
    </row>
    <row r="188" spans="1:15">
      <c r="A188" s="6" t="s">
        <v>14</v>
      </c>
      <c r="B188" t="s">
        <v>15</v>
      </c>
      <c r="C188" t="s">
        <v>383</v>
      </c>
      <c r="D188" t="s">
        <v>384</v>
      </c>
      <c r="E188" s="1">
        <v>45929</v>
      </c>
      <c r="F188">
        <v>1</v>
      </c>
      <c r="G188">
        <v>0</v>
      </c>
      <c r="H188">
        <v>44340</v>
      </c>
      <c r="I188">
        <v>0</v>
      </c>
      <c r="J188">
        <f t="shared" si="4"/>
        <v>44340</v>
      </c>
      <c r="K188" t="s">
        <v>1640</v>
      </c>
      <c r="L188">
        <v>0</v>
      </c>
      <c r="M188" s="1">
        <f t="shared" si="5"/>
        <v>45929</v>
      </c>
      <c r="N188" t="s">
        <v>1641</v>
      </c>
      <c r="O188">
        <v>0</v>
      </c>
    </row>
    <row r="189" spans="1:15">
      <c r="A189" s="6" t="s">
        <v>14</v>
      </c>
      <c r="B189" t="s">
        <v>15</v>
      </c>
      <c r="C189" t="s">
        <v>385</v>
      </c>
      <c r="D189" t="s">
        <v>386</v>
      </c>
      <c r="E189" s="1">
        <v>45929</v>
      </c>
      <c r="F189">
        <v>1</v>
      </c>
      <c r="G189">
        <v>1880</v>
      </c>
      <c r="H189">
        <v>87624</v>
      </c>
      <c r="I189">
        <v>0</v>
      </c>
      <c r="J189">
        <f t="shared" si="4"/>
        <v>87624</v>
      </c>
      <c r="K189" t="s">
        <v>1640</v>
      </c>
      <c r="L189">
        <v>1880</v>
      </c>
      <c r="M189" s="1">
        <f t="shared" si="5"/>
        <v>45929</v>
      </c>
      <c r="N189" t="s">
        <v>1641</v>
      </c>
      <c r="O189">
        <v>0</v>
      </c>
    </row>
    <row r="190" spans="1:15">
      <c r="A190" s="6" t="s">
        <v>14</v>
      </c>
      <c r="B190" t="s">
        <v>15</v>
      </c>
      <c r="C190" t="s">
        <v>387</v>
      </c>
      <c r="D190" t="s">
        <v>388</v>
      </c>
      <c r="E190" s="1">
        <v>45929</v>
      </c>
      <c r="F190">
        <v>1</v>
      </c>
      <c r="G190">
        <v>2584</v>
      </c>
      <c r="H190">
        <v>78213</v>
      </c>
      <c r="I190">
        <v>0</v>
      </c>
      <c r="J190">
        <f t="shared" si="4"/>
        <v>78213</v>
      </c>
      <c r="K190" t="s">
        <v>1640</v>
      </c>
      <c r="L190">
        <v>2584</v>
      </c>
      <c r="M190" s="1">
        <f t="shared" si="5"/>
        <v>45929</v>
      </c>
      <c r="N190" t="s">
        <v>1641</v>
      </c>
      <c r="O190">
        <v>0</v>
      </c>
    </row>
    <row r="191" spans="1:15">
      <c r="A191" s="6" t="s">
        <v>14</v>
      </c>
      <c r="B191" t="s">
        <v>15</v>
      </c>
      <c r="C191" t="s">
        <v>389</v>
      </c>
      <c r="D191" t="s">
        <v>390</v>
      </c>
      <c r="E191" s="1">
        <v>45929</v>
      </c>
      <c r="F191">
        <v>1</v>
      </c>
      <c r="G191">
        <v>1880</v>
      </c>
      <c r="H191">
        <v>86683</v>
      </c>
      <c r="I191">
        <v>0</v>
      </c>
      <c r="J191">
        <f t="shared" si="4"/>
        <v>86683</v>
      </c>
      <c r="K191" t="s">
        <v>1640</v>
      </c>
      <c r="L191">
        <v>1880</v>
      </c>
      <c r="M191" s="1">
        <f t="shared" si="5"/>
        <v>45929</v>
      </c>
      <c r="N191" t="s">
        <v>1641</v>
      </c>
      <c r="O191">
        <v>0</v>
      </c>
    </row>
    <row r="192" spans="1:15">
      <c r="A192" s="6" t="s">
        <v>14</v>
      </c>
      <c r="B192" t="s">
        <v>15</v>
      </c>
      <c r="C192" t="s">
        <v>391</v>
      </c>
      <c r="D192" t="s">
        <v>392</v>
      </c>
      <c r="E192" s="1">
        <v>45929</v>
      </c>
      <c r="F192">
        <v>1</v>
      </c>
      <c r="G192">
        <v>3012.6</v>
      </c>
      <c r="H192">
        <v>124469</v>
      </c>
      <c r="I192">
        <v>0</v>
      </c>
      <c r="J192">
        <f t="shared" si="4"/>
        <v>124469</v>
      </c>
      <c r="K192" t="s">
        <v>1640</v>
      </c>
      <c r="L192">
        <v>3012.6</v>
      </c>
      <c r="M192" s="1">
        <f t="shared" si="5"/>
        <v>45929</v>
      </c>
      <c r="N192" t="s">
        <v>1641</v>
      </c>
      <c r="O192">
        <v>0</v>
      </c>
    </row>
    <row r="193" spans="1:15">
      <c r="A193" s="6" t="s">
        <v>14</v>
      </c>
      <c r="B193" t="s">
        <v>15</v>
      </c>
      <c r="C193" t="s">
        <v>393</v>
      </c>
      <c r="D193" t="s">
        <v>394</v>
      </c>
      <c r="E193" s="1">
        <v>45929</v>
      </c>
      <c r="F193">
        <v>1</v>
      </c>
      <c r="G193">
        <v>2200</v>
      </c>
      <c r="H193">
        <v>93000</v>
      </c>
      <c r="I193">
        <v>0</v>
      </c>
      <c r="J193">
        <f t="shared" si="4"/>
        <v>93000</v>
      </c>
      <c r="K193" t="s">
        <v>1640</v>
      </c>
      <c r="L193">
        <v>2200</v>
      </c>
      <c r="M193" s="1">
        <f t="shared" si="5"/>
        <v>45929</v>
      </c>
      <c r="N193" t="s">
        <v>1641</v>
      </c>
      <c r="O193">
        <v>0</v>
      </c>
    </row>
    <row r="194" spans="1:15">
      <c r="A194" s="6" t="s">
        <v>14</v>
      </c>
      <c r="B194" t="s">
        <v>15</v>
      </c>
      <c r="C194" t="s">
        <v>395</v>
      </c>
      <c r="D194" t="s">
        <v>396</v>
      </c>
      <c r="E194" s="1">
        <v>45929</v>
      </c>
      <c r="F194">
        <v>1</v>
      </c>
      <c r="G194">
        <v>1512</v>
      </c>
      <c r="H194">
        <v>27000</v>
      </c>
      <c r="I194">
        <v>0</v>
      </c>
      <c r="J194">
        <f t="shared" si="4"/>
        <v>27000</v>
      </c>
      <c r="K194" t="s">
        <v>1640</v>
      </c>
      <c r="L194">
        <v>1512</v>
      </c>
      <c r="M194" s="1">
        <f t="shared" si="5"/>
        <v>45929</v>
      </c>
      <c r="N194" t="s">
        <v>1641</v>
      </c>
      <c r="O194">
        <v>0</v>
      </c>
    </row>
    <row r="195" spans="1:15">
      <c r="A195" s="6" t="s">
        <v>14</v>
      </c>
      <c r="B195" t="s">
        <v>15</v>
      </c>
      <c r="C195" t="s">
        <v>397</v>
      </c>
      <c r="D195" t="s">
        <v>398</v>
      </c>
      <c r="E195" s="1">
        <v>45929</v>
      </c>
      <c r="F195">
        <v>1</v>
      </c>
      <c r="G195">
        <v>1600</v>
      </c>
      <c r="H195">
        <v>84713</v>
      </c>
      <c r="I195">
        <v>0</v>
      </c>
      <c r="J195">
        <f t="shared" ref="J195:J258" si="6">H195-I195</f>
        <v>84713</v>
      </c>
      <c r="K195" t="s">
        <v>1640</v>
      </c>
      <c r="L195">
        <v>1600</v>
      </c>
      <c r="M195" s="1">
        <f t="shared" ref="M195:M258" si="7">E195</f>
        <v>45929</v>
      </c>
      <c r="N195" t="s">
        <v>1641</v>
      </c>
      <c r="O195">
        <v>0</v>
      </c>
    </row>
    <row r="196" spans="1:15">
      <c r="A196" s="6" t="s">
        <v>14</v>
      </c>
      <c r="B196" t="s">
        <v>15</v>
      </c>
      <c r="C196" t="s">
        <v>399</v>
      </c>
      <c r="D196" t="s">
        <v>400</v>
      </c>
      <c r="E196" s="1">
        <v>45929</v>
      </c>
      <c r="F196">
        <v>1</v>
      </c>
      <c r="G196">
        <v>3080</v>
      </c>
      <c r="H196">
        <v>91000</v>
      </c>
      <c r="I196">
        <v>0</v>
      </c>
      <c r="J196">
        <f t="shared" si="6"/>
        <v>91000</v>
      </c>
      <c r="K196" t="s">
        <v>1640</v>
      </c>
      <c r="L196">
        <v>3080</v>
      </c>
      <c r="M196" s="1">
        <f t="shared" si="7"/>
        <v>45929</v>
      </c>
      <c r="N196" t="s">
        <v>1641</v>
      </c>
      <c r="O196">
        <v>0</v>
      </c>
    </row>
    <row r="197" spans="1:15">
      <c r="A197" s="6" t="s">
        <v>14</v>
      </c>
      <c r="B197" t="s">
        <v>15</v>
      </c>
      <c r="C197" t="s">
        <v>401</v>
      </c>
      <c r="D197" t="s">
        <v>402</v>
      </c>
      <c r="E197" s="1">
        <v>45929</v>
      </c>
      <c r="F197">
        <v>1</v>
      </c>
      <c r="G197">
        <v>3536</v>
      </c>
      <c r="H197">
        <v>121325</v>
      </c>
      <c r="I197">
        <v>0</v>
      </c>
      <c r="J197">
        <f t="shared" si="6"/>
        <v>121325</v>
      </c>
      <c r="K197" t="s">
        <v>1640</v>
      </c>
      <c r="L197">
        <v>3536</v>
      </c>
      <c r="M197" s="1">
        <f t="shared" si="7"/>
        <v>45929</v>
      </c>
      <c r="N197" t="s">
        <v>1641</v>
      </c>
      <c r="O197">
        <v>0</v>
      </c>
    </row>
    <row r="198" spans="1:15">
      <c r="A198" s="6" t="s">
        <v>14</v>
      </c>
      <c r="B198" t="s">
        <v>15</v>
      </c>
      <c r="C198" t="s">
        <v>403</v>
      </c>
      <c r="D198" t="s">
        <v>404</v>
      </c>
      <c r="E198" s="1">
        <v>45929</v>
      </c>
      <c r="F198">
        <v>1</v>
      </c>
      <c r="G198">
        <v>2600</v>
      </c>
      <c r="H198">
        <v>107000</v>
      </c>
      <c r="I198">
        <v>0</v>
      </c>
      <c r="J198">
        <f t="shared" si="6"/>
        <v>107000</v>
      </c>
      <c r="K198" t="s">
        <v>1640</v>
      </c>
      <c r="L198">
        <v>2600</v>
      </c>
      <c r="M198" s="1">
        <f t="shared" si="7"/>
        <v>45929</v>
      </c>
      <c r="N198" t="s">
        <v>1641</v>
      </c>
      <c r="O198">
        <v>0</v>
      </c>
    </row>
    <row r="199" spans="1:15">
      <c r="A199" s="6" t="s">
        <v>14</v>
      </c>
      <c r="B199" t="s">
        <v>15</v>
      </c>
      <c r="C199" t="s">
        <v>405</v>
      </c>
      <c r="D199" t="s">
        <v>406</v>
      </c>
      <c r="E199" s="1">
        <v>45929</v>
      </c>
      <c r="F199">
        <v>1</v>
      </c>
      <c r="G199">
        <v>3075</v>
      </c>
      <c r="H199">
        <v>89337</v>
      </c>
      <c r="I199">
        <v>0</v>
      </c>
      <c r="J199">
        <f t="shared" si="6"/>
        <v>89337</v>
      </c>
      <c r="K199" t="s">
        <v>1640</v>
      </c>
      <c r="L199">
        <v>3075</v>
      </c>
      <c r="M199" s="1">
        <f t="shared" si="7"/>
        <v>45929</v>
      </c>
      <c r="N199" t="s">
        <v>1641</v>
      </c>
      <c r="O199">
        <v>0</v>
      </c>
    </row>
    <row r="200" spans="1:15">
      <c r="A200" s="6" t="s">
        <v>14</v>
      </c>
      <c r="B200" t="s">
        <v>15</v>
      </c>
      <c r="C200" t="s">
        <v>407</v>
      </c>
      <c r="D200" t="s">
        <v>408</v>
      </c>
      <c r="E200" s="1">
        <v>45929</v>
      </c>
      <c r="F200">
        <v>1</v>
      </c>
      <c r="G200">
        <v>1900</v>
      </c>
      <c r="H200">
        <v>98000</v>
      </c>
      <c r="I200">
        <v>0</v>
      </c>
      <c r="J200">
        <f t="shared" si="6"/>
        <v>98000</v>
      </c>
      <c r="K200" t="s">
        <v>1640</v>
      </c>
      <c r="L200">
        <v>1900</v>
      </c>
      <c r="M200" s="1">
        <f t="shared" si="7"/>
        <v>45929</v>
      </c>
      <c r="N200" t="s">
        <v>1641</v>
      </c>
      <c r="O200">
        <v>0</v>
      </c>
    </row>
    <row r="201" spans="1:15">
      <c r="A201" s="6" t="s">
        <v>14</v>
      </c>
      <c r="B201" t="s">
        <v>15</v>
      </c>
      <c r="C201" t="s">
        <v>409</v>
      </c>
      <c r="D201" t="s">
        <v>410</v>
      </c>
      <c r="E201" s="1">
        <v>45929</v>
      </c>
      <c r="F201">
        <v>1</v>
      </c>
      <c r="G201">
        <v>0</v>
      </c>
      <c r="H201">
        <v>88101</v>
      </c>
      <c r="I201">
        <v>0</v>
      </c>
      <c r="J201">
        <f t="shared" si="6"/>
        <v>88101</v>
      </c>
      <c r="K201" t="s">
        <v>1640</v>
      </c>
      <c r="L201">
        <v>0</v>
      </c>
      <c r="M201" s="1">
        <f t="shared" si="7"/>
        <v>45929</v>
      </c>
      <c r="N201" t="s">
        <v>1641</v>
      </c>
      <c r="O201">
        <v>0</v>
      </c>
    </row>
    <row r="202" spans="1:15">
      <c r="A202" s="6" t="s">
        <v>14</v>
      </c>
      <c r="B202" t="s">
        <v>15</v>
      </c>
      <c r="C202" t="s">
        <v>411</v>
      </c>
      <c r="D202" t="s">
        <v>412</v>
      </c>
      <c r="E202" s="1">
        <v>45929</v>
      </c>
      <c r="F202">
        <v>1</v>
      </c>
      <c r="G202">
        <v>0</v>
      </c>
      <c r="H202">
        <v>9216</v>
      </c>
      <c r="I202">
        <v>0</v>
      </c>
      <c r="J202">
        <f t="shared" si="6"/>
        <v>9216</v>
      </c>
      <c r="K202" t="s">
        <v>1640</v>
      </c>
      <c r="L202">
        <v>0</v>
      </c>
      <c r="M202" s="1">
        <f t="shared" si="7"/>
        <v>45929</v>
      </c>
      <c r="N202" t="s">
        <v>1641</v>
      </c>
      <c r="O202">
        <v>0</v>
      </c>
    </row>
    <row r="203" spans="1:15">
      <c r="A203" s="6" t="s">
        <v>14</v>
      </c>
      <c r="B203" t="s">
        <v>15</v>
      </c>
      <c r="C203" t="s">
        <v>413</v>
      </c>
      <c r="D203" t="s">
        <v>414</v>
      </c>
      <c r="E203" s="1">
        <v>45929</v>
      </c>
      <c r="F203">
        <v>1</v>
      </c>
      <c r="G203">
        <v>1734</v>
      </c>
      <c r="H203">
        <v>50000</v>
      </c>
      <c r="I203">
        <v>0</v>
      </c>
      <c r="J203">
        <f t="shared" si="6"/>
        <v>50000</v>
      </c>
      <c r="K203" t="s">
        <v>1640</v>
      </c>
      <c r="L203">
        <v>1734</v>
      </c>
      <c r="M203" s="1">
        <f t="shared" si="7"/>
        <v>45929</v>
      </c>
      <c r="N203" t="s">
        <v>1641</v>
      </c>
      <c r="O203">
        <v>0</v>
      </c>
    </row>
    <row r="204" spans="1:15">
      <c r="A204" s="6" t="s">
        <v>14</v>
      </c>
      <c r="B204" t="s">
        <v>15</v>
      </c>
      <c r="C204" t="s">
        <v>415</v>
      </c>
      <c r="D204" t="s">
        <v>416</v>
      </c>
      <c r="E204" s="1">
        <v>45929</v>
      </c>
      <c r="F204">
        <v>1</v>
      </c>
      <c r="G204">
        <v>1632</v>
      </c>
      <c r="H204">
        <v>46731</v>
      </c>
      <c r="I204">
        <v>0</v>
      </c>
      <c r="J204">
        <f t="shared" si="6"/>
        <v>46731</v>
      </c>
      <c r="K204" t="s">
        <v>1640</v>
      </c>
      <c r="L204">
        <v>1632</v>
      </c>
      <c r="M204" s="1">
        <f t="shared" si="7"/>
        <v>45929</v>
      </c>
      <c r="N204" t="s">
        <v>1641</v>
      </c>
      <c r="O204">
        <v>0</v>
      </c>
    </row>
    <row r="205" spans="1:15">
      <c r="A205" s="6" t="s">
        <v>14</v>
      </c>
      <c r="B205" t="s">
        <v>15</v>
      </c>
      <c r="C205" t="s">
        <v>417</v>
      </c>
      <c r="D205" t="s">
        <v>418</v>
      </c>
      <c r="E205" s="1">
        <v>45929</v>
      </c>
      <c r="F205">
        <v>1</v>
      </c>
      <c r="G205">
        <v>1500</v>
      </c>
      <c r="H205">
        <v>26749</v>
      </c>
      <c r="I205">
        <v>0</v>
      </c>
      <c r="J205">
        <f t="shared" si="6"/>
        <v>26749</v>
      </c>
      <c r="K205" t="s">
        <v>1640</v>
      </c>
      <c r="L205">
        <v>1500</v>
      </c>
      <c r="M205" s="1">
        <f t="shared" si="7"/>
        <v>45929</v>
      </c>
      <c r="N205" t="s">
        <v>1641</v>
      </c>
      <c r="O205">
        <v>0</v>
      </c>
    </row>
    <row r="206" spans="1:15">
      <c r="A206" s="6" t="s">
        <v>14</v>
      </c>
      <c r="B206" t="s">
        <v>15</v>
      </c>
      <c r="C206" t="s">
        <v>419</v>
      </c>
      <c r="D206" t="s">
        <v>420</v>
      </c>
      <c r="E206" s="1">
        <v>45929</v>
      </c>
      <c r="F206">
        <v>1</v>
      </c>
      <c r="G206">
        <v>476</v>
      </c>
      <c r="H206">
        <v>8410</v>
      </c>
      <c r="I206">
        <v>0</v>
      </c>
      <c r="J206">
        <f t="shared" si="6"/>
        <v>8410</v>
      </c>
      <c r="K206" t="s">
        <v>1640</v>
      </c>
      <c r="L206">
        <v>476</v>
      </c>
      <c r="M206" s="1">
        <f t="shared" si="7"/>
        <v>45929</v>
      </c>
      <c r="N206" t="s">
        <v>1641</v>
      </c>
      <c r="O206">
        <v>0</v>
      </c>
    </row>
    <row r="207" spans="1:15">
      <c r="A207" s="6" t="s">
        <v>14</v>
      </c>
      <c r="B207" t="s">
        <v>15</v>
      </c>
      <c r="C207" t="s">
        <v>421</v>
      </c>
      <c r="D207" t="s">
        <v>422</v>
      </c>
      <c r="E207" s="1">
        <v>45929</v>
      </c>
      <c r="F207">
        <v>1</v>
      </c>
      <c r="G207">
        <v>4059</v>
      </c>
      <c r="H207">
        <v>70000</v>
      </c>
      <c r="I207">
        <v>0</v>
      </c>
      <c r="J207">
        <f t="shared" si="6"/>
        <v>70000</v>
      </c>
      <c r="K207" t="s">
        <v>1640</v>
      </c>
      <c r="L207">
        <v>4059</v>
      </c>
      <c r="M207" s="1">
        <f t="shared" si="7"/>
        <v>45929</v>
      </c>
      <c r="N207" t="s">
        <v>1641</v>
      </c>
      <c r="O207">
        <v>0</v>
      </c>
    </row>
    <row r="208" spans="1:15">
      <c r="A208" s="6" t="s">
        <v>14</v>
      </c>
      <c r="B208" t="s">
        <v>15</v>
      </c>
      <c r="C208" t="s">
        <v>423</v>
      </c>
      <c r="D208" t="s">
        <v>424</v>
      </c>
      <c r="E208" s="1">
        <v>45929</v>
      </c>
      <c r="F208">
        <v>1</v>
      </c>
      <c r="G208">
        <v>1995</v>
      </c>
      <c r="H208">
        <v>75570</v>
      </c>
      <c r="I208">
        <v>0</v>
      </c>
      <c r="J208">
        <f t="shared" si="6"/>
        <v>75570</v>
      </c>
      <c r="K208" t="s">
        <v>1640</v>
      </c>
      <c r="L208">
        <v>1995</v>
      </c>
      <c r="M208" s="1">
        <f t="shared" si="7"/>
        <v>45929</v>
      </c>
      <c r="N208" t="s">
        <v>1641</v>
      </c>
      <c r="O208">
        <v>0</v>
      </c>
    </row>
    <row r="209" spans="1:15">
      <c r="A209" s="6" t="s">
        <v>14</v>
      </c>
      <c r="B209" t="s">
        <v>15</v>
      </c>
      <c r="C209" t="s">
        <v>425</v>
      </c>
      <c r="D209" t="s">
        <v>426</v>
      </c>
      <c r="E209" s="1">
        <v>45929</v>
      </c>
      <c r="F209">
        <v>1</v>
      </c>
      <c r="G209">
        <v>1840</v>
      </c>
      <c r="H209">
        <v>89000</v>
      </c>
      <c r="I209">
        <v>0</v>
      </c>
      <c r="J209">
        <f t="shared" si="6"/>
        <v>89000</v>
      </c>
      <c r="K209" t="s">
        <v>1640</v>
      </c>
      <c r="L209">
        <v>1840</v>
      </c>
      <c r="M209" s="1">
        <f t="shared" si="7"/>
        <v>45929</v>
      </c>
      <c r="N209" t="s">
        <v>1641</v>
      </c>
      <c r="O209">
        <v>0</v>
      </c>
    </row>
    <row r="210" spans="1:15">
      <c r="A210" s="6" t="s">
        <v>14</v>
      </c>
      <c r="B210" t="s">
        <v>15</v>
      </c>
      <c r="C210" t="s">
        <v>427</v>
      </c>
      <c r="D210" t="s">
        <v>428</v>
      </c>
      <c r="E210" s="1">
        <v>45929</v>
      </c>
      <c r="F210">
        <v>1</v>
      </c>
      <c r="G210">
        <v>2800</v>
      </c>
      <c r="H210">
        <v>151204</v>
      </c>
      <c r="I210">
        <v>0</v>
      </c>
      <c r="J210">
        <f t="shared" si="6"/>
        <v>151204</v>
      </c>
      <c r="K210" t="s">
        <v>1640</v>
      </c>
      <c r="L210">
        <v>2800</v>
      </c>
      <c r="M210" s="1">
        <f t="shared" si="7"/>
        <v>45929</v>
      </c>
      <c r="N210" t="s">
        <v>1641</v>
      </c>
      <c r="O210">
        <v>0</v>
      </c>
    </row>
    <row r="211" spans="1:15">
      <c r="A211" s="6" t="s">
        <v>14</v>
      </c>
      <c r="B211" t="s">
        <v>15</v>
      </c>
      <c r="C211" t="s">
        <v>429</v>
      </c>
      <c r="D211" t="s">
        <v>430</v>
      </c>
      <c r="E211" s="1">
        <v>45929</v>
      </c>
      <c r="F211">
        <v>1</v>
      </c>
      <c r="G211">
        <v>2420</v>
      </c>
      <c r="H211">
        <v>120000</v>
      </c>
      <c r="I211">
        <v>0</v>
      </c>
      <c r="J211">
        <f t="shared" si="6"/>
        <v>120000</v>
      </c>
      <c r="K211" t="s">
        <v>1640</v>
      </c>
      <c r="L211">
        <v>2420</v>
      </c>
      <c r="M211" s="1">
        <f t="shared" si="7"/>
        <v>45929</v>
      </c>
      <c r="N211" t="s">
        <v>1641</v>
      </c>
      <c r="O211">
        <v>0</v>
      </c>
    </row>
    <row r="212" spans="1:15">
      <c r="A212" s="6" t="s">
        <v>14</v>
      </c>
      <c r="B212" t="s">
        <v>15</v>
      </c>
      <c r="C212" t="s">
        <v>431</v>
      </c>
      <c r="D212" t="s">
        <v>432</v>
      </c>
      <c r="E212" s="1">
        <v>45929</v>
      </c>
      <c r="F212">
        <v>1</v>
      </c>
      <c r="G212">
        <v>2000</v>
      </c>
      <c r="H212">
        <v>159619</v>
      </c>
      <c r="I212">
        <v>0</v>
      </c>
      <c r="J212">
        <f t="shared" si="6"/>
        <v>159619</v>
      </c>
      <c r="K212" t="s">
        <v>1640</v>
      </c>
      <c r="L212">
        <v>2000</v>
      </c>
      <c r="M212" s="1">
        <f t="shared" si="7"/>
        <v>45929</v>
      </c>
      <c r="N212" t="s">
        <v>1641</v>
      </c>
      <c r="O212">
        <v>0</v>
      </c>
    </row>
    <row r="213" spans="1:15">
      <c r="A213" s="6" t="s">
        <v>14</v>
      </c>
      <c r="B213" t="s">
        <v>15</v>
      </c>
      <c r="C213" t="s">
        <v>433</v>
      </c>
      <c r="D213" t="s">
        <v>434</v>
      </c>
      <c r="E213" s="1">
        <v>45929</v>
      </c>
      <c r="F213">
        <v>1</v>
      </c>
      <c r="G213">
        <v>2480</v>
      </c>
      <c r="H213">
        <v>76000</v>
      </c>
      <c r="I213">
        <v>0</v>
      </c>
      <c r="J213">
        <f t="shared" si="6"/>
        <v>76000</v>
      </c>
      <c r="K213" t="s">
        <v>1640</v>
      </c>
      <c r="L213">
        <v>2480</v>
      </c>
      <c r="M213" s="1">
        <f t="shared" si="7"/>
        <v>45929</v>
      </c>
      <c r="N213" t="s">
        <v>1641</v>
      </c>
      <c r="O213">
        <v>0</v>
      </c>
    </row>
    <row r="214" spans="1:15">
      <c r="A214" s="6" t="s">
        <v>14</v>
      </c>
      <c r="B214" t="s">
        <v>15</v>
      </c>
      <c r="C214" t="s">
        <v>435</v>
      </c>
      <c r="D214" t="s">
        <v>436</v>
      </c>
      <c r="E214" s="1">
        <v>45929</v>
      </c>
      <c r="F214">
        <v>1</v>
      </c>
      <c r="G214">
        <v>826</v>
      </c>
      <c r="H214">
        <v>22053</v>
      </c>
      <c r="I214">
        <v>0</v>
      </c>
      <c r="J214">
        <f t="shared" si="6"/>
        <v>22053</v>
      </c>
      <c r="K214" t="s">
        <v>1640</v>
      </c>
      <c r="L214">
        <v>826</v>
      </c>
      <c r="M214" s="1">
        <f t="shared" si="7"/>
        <v>45929</v>
      </c>
      <c r="N214" t="s">
        <v>1641</v>
      </c>
      <c r="O214">
        <v>0</v>
      </c>
    </row>
    <row r="215" spans="1:15">
      <c r="A215" s="6" t="s">
        <v>14</v>
      </c>
      <c r="B215" t="s">
        <v>15</v>
      </c>
      <c r="C215" t="s">
        <v>437</v>
      </c>
      <c r="D215" t="s">
        <v>438</v>
      </c>
      <c r="E215" s="1">
        <v>45929</v>
      </c>
      <c r="F215">
        <v>1</v>
      </c>
      <c r="G215">
        <v>3000</v>
      </c>
      <c r="H215">
        <v>105878</v>
      </c>
      <c r="I215">
        <v>0</v>
      </c>
      <c r="J215">
        <f t="shared" si="6"/>
        <v>105878</v>
      </c>
      <c r="K215" t="s">
        <v>1640</v>
      </c>
      <c r="L215">
        <v>3000</v>
      </c>
      <c r="M215" s="1">
        <f t="shared" si="7"/>
        <v>45929</v>
      </c>
      <c r="N215" t="s">
        <v>1641</v>
      </c>
      <c r="O215">
        <v>0</v>
      </c>
    </row>
    <row r="216" spans="1:15">
      <c r="A216" s="6" t="s">
        <v>14</v>
      </c>
      <c r="B216" t="s">
        <v>15</v>
      </c>
      <c r="C216" t="s">
        <v>439</v>
      </c>
      <c r="D216" t="s">
        <v>440</v>
      </c>
      <c r="E216" s="1">
        <v>45929</v>
      </c>
      <c r="F216">
        <v>1</v>
      </c>
      <c r="G216">
        <v>1083</v>
      </c>
      <c r="H216">
        <v>20000</v>
      </c>
      <c r="I216">
        <v>0</v>
      </c>
      <c r="J216">
        <f t="shared" si="6"/>
        <v>20000</v>
      </c>
      <c r="K216" t="s">
        <v>1640</v>
      </c>
      <c r="L216">
        <v>1083</v>
      </c>
      <c r="M216" s="1">
        <f t="shared" si="7"/>
        <v>45929</v>
      </c>
      <c r="N216" t="s">
        <v>1641</v>
      </c>
      <c r="O216">
        <v>0</v>
      </c>
    </row>
    <row r="217" spans="1:15">
      <c r="A217" s="6" t="s">
        <v>14</v>
      </c>
      <c r="B217" t="s">
        <v>15</v>
      </c>
      <c r="C217" t="s">
        <v>441</v>
      </c>
      <c r="D217" t="s">
        <v>442</v>
      </c>
      <c r="E217" s="1">
        <v>45929</v>
      </c>
      <c r="F217">
        <v>1</v>
      </c>
      <c r="G217">
        <v>1820</v>
      </c>
      <c r="H217">
        <v>79554</v>
      </c>
      <c r="I217">
        <v>0</v>
      </c>
      <c r="J217">
        <f t="shared" si="6"/>
        <v>79554</v>
      </c>
      <c r="K217" t="s">
        <v>1640</v>
      </c>
      <c r="L217">
        <v>1820</v>
      </c>
      <c r="M217" s="1">
        <f t="shared" si="7"/>
        <v>45929</v>
      </c>
      <c r="N217" t="s">
        <v>1641</v>
      </c>
      <c r="O217">
        <v>0</v>
      </c>
    </row>
    <row r="218" spans="1:15">
      <c r="A218" s="6" t="s">
        <v>14</v>
      </c>
      <c r="B218" t="s">
        <v>15</v>
      </c>
      <c r="C218" t="s">
        <v>443</v>
      </c>
      <c r="D218" t="s">
        <v>444</v>
      </c>
      <c r="E218" s="1">
        <v>45929</v>
      </c>
      <c r="F218">
        <v>1</v>
      </c>
      <c r="G218">
        <v>1980</v>
      </c>
      <c r="H218">
        <v>84000</v>
      </c>
      <c r="I218">
        <v>0</v>
      </c>
      <c r="J218">
        <f t="shared" si="6"/>
        <v>84000</v>
      </c>
      <c r="K218" t="s">
        <v>1640</v>
      </c>
      <c r="L218">
        <v>1980</v>
      </c>
      <c r="M218" s="1">
        <f t="shared" si="7"/>
        <v>45929</v>
      </c>
      <c r="N218" t="s">
        <v>1641</v>
      </c>
      <c r="O218">
        <v>0</v>
      </c>
    </row>
    <row r="219" spans="1:15">
      <c r="A219" s="6" t="s">
        <v>14</v>
      </c>
      <c r="B219" t="s">
        <v>15</v>
      </c>
      <c r="C219" t="s">
        <v>445</v>
      </c>
      <c r="D219" t="s">
        <v>446</v>
      </c>
      <c r="E219" s="1">
        <v>45929</v>
      </c>
      <c r="F219">
        <v>1</v>
      </c>
      <c r="G219">
        <v>1680</v>
      </c>
      <c r="H219">
        <v>76666</v>
      </c>
      <c r="I219">
        <v>0</v>
      </c>
      <c r="J219">
        <f t="shared" si="6"/>
        <v>76666</v>
      </c>
      <c r="K219" t="s">
        <v>1640</v>
      </c>
      <c r="L219">
        <v>1680</v>
      </c>
      <c r="M219" s="1">
        <f t="shared" si="7"/>
        <v>45929</v>
      </c>
      <c r="N219" t="s">
        <v>1641</v>
      </c>
      <c r="O219">
        <v>0</v>
      </c>
    </row>
    <row r="220" spans="1:15">
      <c r="A220" s="6" t="s">
        <v>14</v>
      </c>
      <c r="B220" t="s">
        <v>15</v>
      </c>
      <c r="C220" t="s">
        <v>447</v>
      </c>
      <c r="D220" t="s">
        <v>448</v>
      </c>
      <c r="E220" s="1">
        <v>45929</v>
      </c>
      <c r="F220">
        <v>1</v>
      </c>
      <c r="G220">
        <v>2170</v>
      </c>
      <c r="H220">
        <v>71000</v>
      </c>
      <c r="I220">
        <v>0</v>
      </c>
      <c r="J220">
        <f t="shared" si="6"/>
        <v>71000</v>
      </c>
      <c r="K220" t="s">
        <v>1640</v>
      </c>
      <c r="L220">
        <v>2170</v>
      </c>
      <c r="M220" s="1">
        <f t="shared" si="7"/>
        <v>45929</v>
      </c>
      <c r="N220" t="s">
        <v>1641</v>
      </c>
      <c r="O220">
        <v>0</v>
      </c>
    </row>
    <row r="221" spans="1:15">
      <c r="A221" s="6" t="s">
        <v>14</v>
      </c>
      <c r="B221" t="s">
        <v>15</v>
      </c>
      <c r="C221" t="s">
        <v>449</v>
      </c>
      <c r="D221" t="s">
        <v>450</v>
      </c>
      <c r="E221" s="1">
        <v>45929</v>
      </c>
      <c r="F221">
        <v>1</v>
      </c>
      <c r="G221">
        <v>1600</v>
      </c>
      <c r="H221">
        <v>69900</v>
      </c>
      <c r="I221">
        <v>0</v>
      </c>
      <c r="J221">
        <f t="shared" si="6"/>
        <v>69900</v>
      </c>
      <c r="K221" t="s">
        <v>1640</v>
      </c>
      <c r="L221">
        <v>1600</v>
      </c>
      <c r="M221" s="1">
        <f t="shared" si="7"/>
        <v>45929</v>
      </c>
      <c r="N221" t="s">
        <v>1641</v>
      </c>
      <c r="O221">
        <v>0</v>
      </c>
    </row>
    <row r="222" spans="1:15">
      <c r="A222" s="6" t="s">
        <v>14</v>
      </c>
      <c r="B222" t="s">
        <v>15</v>
      </c>
      <c r="C222" t="s">
        <v>451</v>
      </c>
      <c r="D222" t="s">
        <v>452</v>
      </c>
      <c r="E222" s="1">
        <v>45929</v>
      </c>
      <c r="F222">
        <v>1</v>
      </c>
      <c r="G222">
        <v>1600</v>
      </c>
      <c r="H222">
        <v>106836</v>
      </c>
      <c r="I222">
        <v>0</v>
      </c>
      <c r="J222">
        <f t="shared" si="6"/>
        <v>106836</v>
      </c>
      <c r="K222" t="s">
        <v>1640</v>
      </c>
      <c r="L222">
        <v>1600</v>
      </c>
      <c r="M222" s="1">
        <f t="shared" si="7"/>
        <v>45929</v>
      </c>
      <c r="N222" t="s">
        <v>1641</v>
      </c>
      <c r="O222">
        <v>0</v>
      </c>
    </row>
    <row r="223" spans="1:15">
      <c r="A223" s="6" t="s">
        <v>14</v>
      </c>
      <c r="B223" t="s">
        <v>15</v>
      </c>
      <c r="C223" t="s">
        <v>453</v>
      </c>
      <c r="D223" t="s">
        <v>454</v>
      </c>
      <c r="E223" s="1">
        <v>45929</v>
      </c>
      <c r="F223">
        <v>1</v>
      </c>
      <c r="G223">
        <v>1155</v>
      </c>
      <c r="H223">
        <v>20000</v>
      </c>
      <c r="I223">
        <v>0</v>
      </c>
      <c r="J223">
        <f t="shared" si="6"/>
        <v>20000</v>
      </c>
      <c r="K223" t="s">
        <v>1640</v>
      </c>
      <c r="L223">
        <v>1155</v>
      </c>
      <c r="M223" s="1">
        <f t="shared" si="7"/>
        <v>45929</v>
      </c>
      <c r="N223" t="s">
        <v>1641</v>
      </c>
      <c r="O223">
        <v>0</v>
      </c>
    </row>
    <row r="224" spans="1:15">
      <c r="A224" s="6" t="s">
        <v>14</v>
      </c>
      <c r="B224" t="s">
        <v>15</v>
      </c>
      <c r="C224" t="s">
        <v>455</v>
      </c>
      <c r="D224" t="s">
        <v>456</v>
      </c>
      <c r="E224" s="1">
        <v>45929</v>
      </c>
      <c r="F224">
        <v>1</v>
      </c>
      <c r="G224">
        <v>2600</v>
      </c>
      <c r="H224">
        <v>96000</v>
      </c>
      <c r="I224">
        <v>0</v>
      </c>
      <c r="J224">
        <f t="shared" si="6"/>
        <v>96000</v>
      </c>
      <c r="K224" t="s">
        <v>1640</v>
      </c>
      <c r="L224">
        <v>2600</v>
      </c>
      <c r="M224" s="1">
        <f t="shared" si="7"/>
        <v>45929</v>
      </c>
      <c r="N224" t="s">
        <v>1641</v>
      </c>
      <c r="O224">
        <v>0</v>
      </c>
    </row>
    <row r="225" spans="1:15">
      <c r="A225" s="6" t="s">
        <v>14</v>
      </c>
      <c r="B225" t="s">
        <v>15</v>
      </c>
      <c r="C225" t="s">
        <v>457</v>
      </c>
      <c r="D225" t="s">
        <v>458</v>
      </c>
      <c r="E225" s="1">
        <v>45929</v>
      </c>
      <c r="F225">
        <v>1</v>
      </c>
      <c r="G225">
        <v>1540</v>
      </c>
      <c r="H225">
        <v>66238</v>
      </c>
      <c r="I225">
        <v>0</v>
      </c>
      <c r="J225">
        <f t="shared" si="6"/>
        <v>66238</v>
      </c>
      <c r="K225" t="s">
        <v>1640</v>
      </c>
      <c r="L225">
        <v>1540</v>
      </c>
      <c r="M225" s="1">
        <f t="shared" si="7"/>
        <v>45929</v>
      </c>
      <c r="N225" t="s">
        <v>1641</v>
      </c>
      <c r="O225">
        <v>0</v>
      </c>
    </row>
    <row r="226" spans="1:15">
      <c r="A226" s="6" t="s">
        <v>14</v>
      </c>
      <c r="B226" t="s">
        <v>15</v>
      </c>
      <c r="C226" t="s">
        <v>459</v>
      </c>
      <c r="D226" t="s">
        <v>460</v>
      </c>
      <c r="E226" s="1">
        <v>45929</v>
      </c>
      <c r="F226">
        <v>1</v>
      </c>
      <c r="G226">
        <v>3380</v>
      </c>
      <c r="H226">
        <v>118888</v>
      </c>
      <c r="I226">
        <v>0</v>
      </c>
      <c r="J226">
        <f t="shared" si="6"/>
        <v>118888</v>
      </c>
      <c r="K226" t="s">
        <v>1640</v>
      </c>
      <c r="L226">
        <v>3380</v>
      </c>
      <c r="M226" s="1">
        <f t="shared" si="7"/>
        <v>45929</v>
      </c>
      <c r="N226" t="s">
        <v>1641</v>
      </c>
      <c r="O226">
        <v>0</v>
      </c>
    </row>
    <row r="227" spans="1:15">
      <c r="A227" s="6" t="s">
        <v>14</v>
      </c>
      <c r="B227" t="s">
        <v>15</v>
      </c>
      <c r="C227" t="s">
        <v>461</v>
      </c>
      <c r="D227" t="s">
        <v>462</v>
      </c>
      <c r="E227" s="1">
        <v>45929</v>
      </c>
      <c r="F227">
        <v>1</v>
      </c>
      <c r="G227">
        <v>2260</v>
      </c>
      <c r="H227">
        <v>78259</v>
      </c>
      <c r="I227">
        <v>0</v>
      </c>
      <c r="J227">
        <f t="shared" si="6"/>
        <v>78259</v>
      </c>
      <c r="K227" t="s">
        <v>1640</v>
      </c>
      <c r="L227">
        <v>2260</v>
      </c>
      <c r="M227" s="1">
        <f t="shared" si="7"/>
        <v>45929</v>
      </c>
      <c r="N227" t="s">
        <v>1641</v>
      </c>
      <c r="O227">
        <v>0</v>
      </c>
    </row>
    <row r="228" spans="1:15">
      <c r="A228" s="6" t="s">
        <v>14</v>
      </c>
      <c r="B228" t="s">
        <v>15</v>
      </c>
      <c r="C228" t="s">
        <v>463</v>
      </c>
      <c r="D228" t="s">
        <v>464</v>
      </c>
      <c r="E228" s="1">
        <v>45929</v>
      </c>
      <c r="F228">
        <v>1</v>
      </c>
      <c r="G228">
        <v>2080</v>
      </c>
      <c r="H228">
        <v>112197</v>
      </c>
      <c r="I228">
        <v>0</v>
      </c>
      <c r="J228">
        <f t="shared" si="6"/>
        <v>112197</v>
      </c>
      <c r="K228" t="s">
        <v>1640</v>
      </c>
      <c r="L228">
        <v>2080</v>
      </c>
      <c r="M228" s="1">
        <f t="shared" si="7"/>
        <v>45929</v>
      </c>
      <c r="N228" t="s">
        <v>1641</v>
      </c>
      <c r="O228">
        <v>0</v>
      </c>
    </row>
    <row r="229" spans="1:15">
      <c r="A229" s="6" t="s">
        <v>14</v>
      </c>
      <c r="B229" t="s">
        <v>15</v>
      </c>
      <c r="C229" t="s">
        <v>465</v>
      </c>
      <c r="D229" t="s">
        <v>466</v>
      </c>
      <c r="E229" s="1">
        <v>45929</v>
      </c>
      <c r="F229">
        <v>1</v>
      </c>
      <c r="G229">
        <v>2600</v>
      </c>
      <c r="H229">
        <v>112715</v>
      </c>
      <c r="I229">
        <v>0</v>
      </c>
      <c r="J229">
        <f t="shared" si="6"/>
        <v>112715</v>
      </c>
      <c r="K229" t="s">
        <v>1640</v>
      </c>
      <c r="L229">
        <v>2600</v>
      </c>
      <c r="M229" s="1">
        <f t="shared" si="7"/>
        <v>45929</v>
      </c>
      <c r="N229" t="s">
        <v>1641</v>
      </c>
      <c r="O229">
        <v>0</v>
      </c>
    </row>
    <row r="230" spans="1:15">
      <c r="A230" s="6" t="s">
        <v>14</v>
      </c>
      <c r="B230" t="s">
        <v>15</v>
      </c>
      <c r="C230" t="s">
        <v>467</v>
      </c>
      <c r="D230" t="s">
        <v>468</v>
      </c>
      <c r="E230" s="1">
        <v>45929</v>
      </c>
      <c r="F230">
        <v>1</v>
      </c>
      <c r="G230">
        <v>1320</v>
      </c>
      <c r="H230">
        <v>22853</v>
      </c>
      <c r="I230">
        <v>0</v>
      </c>
      <c r="J230">
        <f t="shared" si="6"/>
        <v>22853</v>
      </c>
      <c r="K230" t="s">
        <v>1640</v>
      </c>
      <c r="L230">
        <v>1320</v>
      </c>
      <c r="M230" s="1">
        <f t="shared" si="7"/>
        <v>45929</v>
      </c>
      <c r="N230" t="s">
        <v>1641</v>
      </c>
      <c r="O230">
        <v>0</v>
      </c>
    </row>
    <row r="231" spans="1:15">
      <c r="A231" s="6" t="s">
        <v>14</v>
      </c>
      <c r="B231" t="s">
        <v>15</v>
      </c>
      <c r="C231" t="s">
        <v>469</v>
      </c>
      <c r="D231" t="s">
        <v>470</v>
      </c>
      <c r="E231" s="1">
        <v>45929</v>
      </c>
      <c r="F231">
        <v>1</v>
      </c>
      <c r="G231">
        <v>78</v>
      </c>
      <c r="H231">
        <v>89000</v>
      </c>
      <c r="I231">
        <v>0</v>
      </c>
      <c r="J231">
        <f t="shared" si="6"/>
        <v>89000</v>
      </c>
      <c r="K231" t="s">
        <v>1640</v>
      </c>
      <c r="L231">
        <v>78</v>
      </c>
      <c r="M231" s="1">
        <f t="shared" si="7"/>
        <v>45929</v>
      </c>
      <c r="N231" t="s">
        <v>1641</v>
      </c>
      <c r="O231">
        <v>0</v>
      </c>
    </row>
    <row r="232" spans="1:15">
      <c r="A232" s="6" t="s">
        <v>14</v>
      </c>
      <c r="B232" t="s">
        <v>15</v>
      </c>
      <c r="C232" t="s">
        <v>471</v>
      </c>
      <c r="D232" t="s">
        <v>472</v>
      </c>
      <c r="E232" s="1">
        <v>45929</v>
      </c>
      <c r="F232">
        <v>1</v>
      </c>
      <c r="G232">
        <v>1800</v>
      </c>
      <c r="H232">
        <v>118000</v>
      </c>
      <c r="I232">
        <v>0</v>
      </c>
      <c r="J232">
        <f t="shared" si="6"/>
        <v>118000</v>
      </c>
      <c r="K232" t="s">
        <v>1640</v>
      </c>
      <c r="L232">
        <v>1800</v>
      </c>
      <c r="M232" s="1">
        <f t="shared" si="7"/>
        <v>45929</v>
      </c>
      <c r="N232" t="s">
        <v>1641</v>
      </c>
      <c r="O232">
        <v>0</v>
      </c>
    </row>
    <row r="233" spans="1:15">
      <c r="A233" s="6" t="s">
        <v>14</v>
      </c>
      <c r="B233" t="s">
        <v>15</v>
      </c>
      <c r="C233" t="s">
        <v>473</v>
      </c>
      <c r="D233" t="s">
        <v>474</v>
      </c>
      <c r="E233" s="1">
        <v>45929</v>
      </c>
      <c r="F233">
        <v>1</v>
      </c>
      <c r="G233">
        <v>1311</v>
      </c>
      <c r="H233">
        <v>23863</v>
      </c>
      <c r="I233">
        <v>0</v>
      </c>
      <c r="J233">
        <f t="shared" si="6"/>
        <v>23863</v>
      </c>
      <c r="K233" t="s">
        <v>1640</v>
      </c>
      <c r="L233">
        <v>1311</v>
      </c>
      <c r="M233" s="1">
        <f t="shared" si="7"/>
        <v>45929</v>
      </c>
      <c r="N233" t="s">
        <v>1641</v>
      </c>
      <c r="O233">
        <v>0</v>
      </c>
    </row>
    <row r="234" spans="1:15">
      <c r="A234" s="6" t="s">
        <v>14</v>
      </c>
      <c r="B234" t="s">
        <v>15</v>
      </c>
      <c r="C234" t="s">
        <v>475</v>
      </c>
      <c r="D234" t="s">
        <v>476</v>
      </c>
      <c r="E234" s="1">
        <v>45929</v>
      </c>
      <c r="F234">
        <v>1</v>
      </c>
      <c r="G234">
        <v>1566</v>
      </c>
      <c r="H234">
        <v>29297</v>
      </c>
      <c r="I234">
        <v>0</v>
      </c>
      <c r="J234">
        <f t="shared" si="6"/>
        <v>29297</v>
      </c>
      <c r="K234" t="s">
        <v>1640</v>
      </c>
      <c r="L234">
        <v>1566</v>
      </c>
      <c r="M234" s="1">
        <f t="shared" si="7"/>
        <v>45929</v>
      </c>
      <c r="N234" t="s">
        <v>1641</v>
      </c>
      <c r="O234">
        <v>0</v>
      </c>
    </row>
    <row r="235" spans="1:15">
      <c r="A235" s="6" t="s">
        <v>14</v>
      </c>
      <c r="B235" t="s">
        <v>15</v>
      </c>
      <c r="C235" t="s">
        <v>477</v>
      </c>
      <c r="D235" t="s">
        <v>478</v>
      </c>
      <c r="E235" s="1">
        <v>45929</v>
      </c>
      <c r="F235">
        <v>1</v>
      </c>
      <c r="G235">
        <v>1820</v>
      </c>
      <c r="H235">
        <v>90000</v>
      </c>
      <c r="I235">
        <v>0</v>
      </c>
      <c r="J235">
        <f t="shared" si="6"/>
        <v>90000</v>
      </c>
      <c r="K235" t="s">
        <v>1640</v>
      </c>
      <c r="L235">
        <v>1820</v>
      </c>
      <c r="M235" s="1">
        <f t="shared" si="7"/>
        <v>45929</v>
      </c>
      <c r="N235" t="s">
        <v>1641</v>
      </c>
      <c r="O235">
        <v>0</v>
      </c>
    </row>
    <row r="236" spans="1:15">
      <c r="A236" s="6" t="s">
        <v>14</v>
      </c>
      <c r="B236" t="s">
        <v>15</v>
      </c>
      <c r="C236" t="s">
        <v>479</v>
      </c>
      <c r="D236" t="s">
        <v>480</v>
      </c>
      <c r="E236" s="1">
        <v>45929</v>
      </c>
      <c r="F236">
        <v>1</v>
      </c>
      <c r="G236">
        <v>1118</v>
      </c>
      <c r="H236">
        <v>19456</v>
      </c>
      <c r="I236">
        <v>0</v>
      </c>
      <c r="J236">
        <f t="shared" si="6"/>
        <v>19456</v>
      </c>
      <c r="K236" t="s">
        <v>1640</v>
      </c>
      <c r="L236">
        <v>1118</v>
      </c>
      <c r="M236" s="1">
        <f t="shared" si="7"/>
        <v>45929</v>
      </c>
      <c r="N236" t="s">
        <v>1641</v>
      </c>
      <c r="O236">
        <v>0</v>
      </c>
    </row>
    <row r="237" spans="1:15">
      <c r="A237" s="6" t="s">
        <v>14</v>
      </c>
      <c r="B237" t="s">
        <v>15</v>
      </c>
      <c r="C237" t="s">
        <v>481</v>
      </c>
      <c r="D237" t="s">
        <v>482</v>
      </c>
      <c r="E237" s="1">
        <v>45929</v>
      </c>
      <c r="F237">
        <v>1</v>
      </c>
      <c r="G237">
        <v>2340</v>
      </c>
      <c r="H237">
        <v>141000</v>
      </c>
      <c r="I237">
        <v>0</v>
      </c>
      <c r="J237">
        <f t="shared" si="6"/>
        <v>141000</v>
      </c>
      <c r="K237" t="s">
        <v>1640</v>
      </c>
      <c r="L237">
        <v>2340</v>
      </c>
      <c r="M237" s="1">
        <f t="shared" si="7"/>
        <v>45929</v>
      </c>
      <c r="N237" t="s">
        <v>1641</v>
      </c>
      <c r="O237">
        <v>0</v>
      </c>
    </row>
    <row r="238" spans="1:15">
      <c r="A238" s="6" t="s">
        <v>14</v>
      </c>
      <c r="B238" t="s">
        <v>15</v>
      </c>
      <c r="C238" t="s">
        <v>483</v>
      </c>
      <c r="D238" t="s">
        <v>484</v>
      </c>
      <c r="E238" s="1">
        <v>45929</v>
      </c>
      <c r="F238">
        <v>1</v>
      </c>
      <c r="G238">
        <v>3880</v>
      </c>
      <c r="H238">
        <v>137380</v>
      </c>
      <c r="I238">
        <v>0</v>
      </c>
      <c r="J238">
        <f t="shared" si="6"/>
        <v>137380</v>
      </c>
      <c r="K238" t="s">
        <v>1640</v>
      </c>
      <c r="L238">
        <v>3880</v>
      </c>
      <c r="M238" s="1">
        <f t="shared" si="7"/>
        <v>45929</v>
      </c>
      <c r="N238" t="s">
        <v>1641</v>
      </c>
      <c r="O238">
        <v>0</v>
      </c>
    </row>
    <row r="239" spans="1:15">
      <c r="A239" s="6" t="s">
        <v>14</v>
      </c>
      <c r="B239" t="s">
        <v>15</v>
      </c>
      <c r="C239" t="s">
        <v>485</v>
      </c>
      <c r="D239" t="s">
        <v>486</v>
      </c>
      <c r="E239" s="1">
        <v>45929</v>
      </c>
      <c r="F239">
        <v>1</v>
      </c>
      <c r="G239">
        <v>2200</v>
      </c>
      <c r="H239">
        <v>93980</v>
      </c>
      <c r="I239">
        <v>0</v>
      </c>
      <c r="J239">
        <f t="shared" si="6"/>
        <v>93980</v>
      </c>
      <c r="K239" t="s">
        <v>1640</v>
      </c>
      <c r="L239">
        <v>2200</v>
      </c>
      <c r="M239" s="1">
        <f t="shared" si="7"/>
        <v>45929</v>
      </c>
      <c r="N239" t="s">
        <v>1641</v>
      </c>
      <c r="O239">
        <v>0</v>
      </c>
    </row>
    <row r="240" spans="1:15">
      <c r="A240" s="6" t="s">
        <v>14</v>
      </c>
      <c r="B240" t="s">
        <v>15</v>
      </c>
      <c r="C240" t="s">
        <v>487</v>
      </c>
      <c r="D240" t="s">
        <v>488</v>
      </c>
      <c r="E240" s="1">
        <v>45929</v>
      </c>
      <c r="F240">
        <v>1</v>
      </c>
      <c r="G240">
        <v>1888</v>
      </c>
      <c r="H240">
        <v>77000</v>
      </c>
      <c r="I240">
        <v>0</v>
      </c>
      <c r="J240">
        <f t="shared" si="6"/>
        <v>77000</v>
      </c>
      <c r="K240" t="s">
        <v>1640</v>
      </c>
      <c r="L240">
        <v>1888</v>
      </c>
      <c r="M240" s="1">
        <f t="shared" si="7"/>
        <v>45929</v>
      </c>
      <c r="N240" t="s">
        <v>1641</v>
      </c>
      <c r="O240">
        <v>0</v>
      </c>
    </row>
    <row r="241" spans="1:15">
      <c r="A241" s="6" t="s">
        <v>14</v>
      </c>
      <c r="B241" t="s">
        <v>15</v>
      </c>
      <c r="C241" t="s">
        <v>489</v>
      </c>
      <c r="D241" t="s">
        <v>490</v>
      </c>
      <c r="E241" s="1">
        <v>45929</v>
      </c>
      <c r="F241">
        <v>1</v>
      </c>
      <c r="G241">
        <v>1650</v>
      </c>
      <c r="H241">
        <v>28225</v>
      </c>
      <c r="I241">
        <v>0</v>
      </c>
      <c r="J241">
        <f t="shared" si="6"/>
        <v>28225</v>
      </c>
      <c r="K241" t="s">
        <v>1640</v>
      </c>
      <c r="L241">
        <v>1650</v>
      </c>
      <c r="M241" s="1">
        <f t="shared" si="7"/>
        <v>45929</v>
      </c>
      <c r="N241" t="s">
        <v>1641</v>
      </c>
      <c r="O241">
        <v>0</v>
      </c>
    </row>
    <row r="242" spans="1:15">
      <c r="A242" s="6" t="s">
        <v>14</v>
      </c>
      <c r="B242" t="s">
        <v>15</v>
      </c>
      <c r="C242" t="s">
        <v>491</v>
      </c>
      <c r="D242" t="s">
        <v>492</v>
      </c>
      <c r="E242" s="1">
        <v>45929</v>
      </c>
      <c r="F242">
        <v>1</v>
      </c>
      <c r="G242">
        <v>2050</v>
      </c>
      <c r="H242">
        <v>132000</v>
      </c>
      <c r="I242">
        <v>0</v>
      </c>
      <c r="J242">
        <f t="shared" si="6"/>
        <v>132000</v>
      </c>
      <c r="K242" t="s">
        <v>1640</v>
      </c>
      <c r="L242">
        <v>2050</v>
      </c>
      <c r="M242" s="1">
        <f t="shared" si="7"/>
        <v>45929</v>
      </c>
      <c r="N242" t="s">
        <v>1641</v>
      </c>
      <c r="O242">
        <v>0</v>
      </c>
    </row>
    <row r="243" spans="1:15">
      <c r="A243" s="6" t="s">
        <v>14</v>
      </c>
      <c r="B243" t="s">
        <v>15</v>
      </c>
      <c r="C243" t="s">
        <v>493</v>
      </c>
      <c r="D243" t="s">
        <v>494</v>
      </c>
      <c r="E243" s="1">
        <v>45929</v>
      </c>
      <c r="F243">
        <v>1</v>
      </c>
      <c r="G243">
        <v>2320</v>
      </c>
      <c r="H243">
        <v>109196</v>
      </c>
      <c r="I243">
        <v>0</v>
      </c>
      <c r="J243">
        <f t="shared" si="6"/>
        <v>109196</v>
      </c>
      <c r="K243" t="s">
        <v>1640</v>
      </c>
      <c r="L243">
        <v>2320</v>
      </c>
      <c r="M243" s="1">
        <f t="shared" si="7"/>
        <v>45929</v>
      </c>
      <c r="N243" t="s">
        <v>1641</v>
      </c>
      <c r="O243">
        <v>0</v>
      </c>
    </row>
    <row r="244" spans="1:15">
      <c r="A244" s="6" t="s">
        <v>14</v>
      </c>
      <c r="B244" t="s">
        <v>15</v>
      </c>
      <c r="C244" t="s">
        <v>495</v>
      </c>
      <c r="D244" t="s">
        <v>496</v>
      </c>
      <c r="E244" s="1">
        <v>45929</v>
      </c>
      <c r="F244">
        <v>1</v>
      </c>
      <c r="G244">
        <v>1365</v>
      </c>
      <c r="H244">
        <v>24963</v>
      </c>
      <c r="I244">
        <v>0</v>
      </c>
      <c r="J244">
        <f t="shared" si="6"/>
        <v>24963</v>
      </c>
      <c r="K244" t="s">
        <v>1640</v>
      </c>
      <c r="L244">
        <v>1365</v>
      </c>
      <c r="M244" s="1">
        <f t="shared" si="7"/>
        <v>45929</v>
      </c>
      <c r="N244" t="s">
        <v>1641</v>
      </c>
      <c r="O244">
        <v>0</v>
      </c>
    </row>
    <row r="245" spans="1:15">
      <c r="A245" s="6" t="s">
        <v>14</v>
      </c>
      <c r="B245" t="s">
        <v>15</v>
      </c>
      <c r="C245" t="s">
        <v>497</v>
      </c>
      <c r="D245" t="s">
        <v>498</v>
      </c>
      <c r="E245" s="1">
        <v>45929</v>
      </c>
      <c r="F245">
        <v>1</v>
      </c>
      <c r="G245">
        <v>1679</v>
      </c>
      <c r="H245">
        <v>30363</v>
      </c>
      <c r="I245">
        <v>0</v>
      </c>
      <c r="J245">
        <f t="shared" si="6"/>
        <v>30363</v>
      </c>
      <c r="K245" t="s">
        <v>1640</v>
      </c>
      <c r="L245">
        <v>1679</v>
      </c>
      <c r="M245" s="1">
        <f t="shared" si="7"/>
        <v>45929</v>
      </c>
      <c r="N245" t="s">
        <v>1641</v>
      </c>
      <c r="O245">
        <v>0</v>
      </c>
    </row>
    <row r="246" spans="1:15">
      <c r="A246" s="6" t="s">
        <v>14</v>
      </c>
      <c r="B246" t="s">
        <v>15</v>
      </c>
      <c r="C246" t="s">
        <v>499</v>
      </c>
      <c r="D246" t="s">
        <v>500</v>
      </c>
      <c r="E246" s="1">
        <v>45929</v>
      </c>
      <c r="F246">
        <v>1</v>
      </c>
      <c r="G246">
        <v>2660</v>
      </c>
      <c r="H246">
        <v>101346</v>
      </c>
      <c r="I246">
        <v>0</v>
      </c>
      <c r="J246">
        <f t="shared" si="6"/>
        <v>101346</v>
      </c>
      <c r="K246" t="s">
        <v>1640</v>
      </c>
      <c r="L246">
        <v>2660</v>
      </c>
      <c r="M246" s="1">
        <f t="shared" si="7"/>
        <v>45929</v>
      </c>
      <c r="N246" t="s">
        <v>1641</v>
      </c>
      <c r="O246">
        <v>0</v>
      </c>
    </row>
    <row r="247" spans="1:15">
      <c r="A247" s="6" t="s">
        <v>14</v>
      </c>
      <c r="B247" t="s">
        <v>15</v>
      </c>
      <c r="C247" t="s">
        <v>501</v>
      </c>
      <c r="D247" t="s">
        <v>502</v>
      </c>
      <c r="E247" s="1">
        <v>45929</v>
      </c>
      <c r="F247">
        <v>1</v>
      </c>
      <c r="G247">
        <v>2400</v>
      </c>
      <c r="H247">
        <v>99900</v>
      </c>
      <c r="I247">
        <v>0</v>
      </c>
      <c r="J247">
        <f t="shared" si="6"/>
        <v>99900</v>
      </c>
      <c r="K247" t="s">
        <v>1640</v>
      </c>
      <c r="L247">
        <v>2400</v>
      </c>
      <c r="M247" s="1">
        <f t="shared" si="7"/>
        <v>45929</v>
      </c>
      <c r="N247" t="s">
        <v>1641</v>
      </c>
      <c r="O247">
        <v>0</v>
      </c>
    </row>
    <row r="248" spans="1:15">
      <c r="A248" s="6" t="s">
        <v>14</v>
      </c>
      <c r="B248" t="s">
        <v>15</v>
      </c>
      <c r="C248" t="s">
        <v>503</v>
      </c>
      <c r="D248" t="s">
        <v>504</v>
      </c>
      <c r="E248" s="1">
        <v>45929</v>
      </c>
      <c r="F248">
        <v>1</v>
      </c>
      <c r="G248">
        <v>2912.7</v>
      </c>
      <c r="H248">
        <v>82911</v>
      </c>
      <c r="I248">
        <v>0</v>
      </c>
      <c r="J248">
        <f t="shared" si="6"/>
        <v>82911</v>
      </c>
      <c r="K248" t="s">
        <v>1640</v>
      </c>
      <c r="L248">
        <v>2912.7</v>
      </c>
      <c r="M248" s="1">
        <f t="shared" si="7"/>
        <v>45929</v>
      </c>
      <c r="N248" t="s">
        <v>1641</v>
      </c>
      <c r="O248">
        <v>0</v>
      </c>
    </row>
    <row r="249" spans="1:15">
      <c r="A249" s="6" t="s">
        <v>14</v>
      </c>
      <c r="B249" t="s">
        <v>15</v>
      </c>
      <c r="C249" t="s">
        <v>505</v>
      </c>
      <c r="D249" t="s">
        <v>506</v>
      </c>
      <c r="E249" s="1">
        <v>45929</v>
      </c>
      <c r="F249">
        <v>1</v>
      </c>
      <c r="G249">
        <v>494</v>
      </c>
      <c r="H249">
        <v>8910</v>
      </c>
      <c r="I249">
        <v>0</v>
      </c>
      <c r="J249">
        <f t="shared" si="6"/>
        <v>8910</v>
      </c>
      <c r="K249" t="s">
        <v>1640</v>
      </c>
      <c r="L249">
        <v>494</v>
      </c>
      <c r="M249" s="1">
        <f t="shared" si="7"/>
        <v>45929</v>
      </c>
      <c r="N249" t="s">
        <v>1641</v>
      </c>
      <c r="O249">
        <v>0</v>
      </c>
    </row>
    <row r="250" spans="1:15">
      <c r="A250" s="6" t="s">
        <v>14</v>
      </c>
      <c r="B250" t="s">
        <v>15</v>
      </c>
      <c r="C250" t="s">
        <v>507</v>
      </c>
      <c r="D250" t="s">
        <v>508</v>
      </c>
      <c r="E250" s="1">
        <v>45929</v>
      </c>
      <c r="F250">
        <v>1</v>
      </c>
      <c r="G250">
        <v>1600</v>
      </c>
      <c r="H250">
        <v>105075</v>
      </c>
      <c r="I250">
        <v>0</v>
      </c>
      <c r="J250">
        <f t="shared" si="6"/>
        <v>105075</v>
      </c>
      <c r="K250" t="s">
        <v>1640</v>
      </c>
      <c r="L250">
        <v>1600</v>
      </c>
      <c r="M250" s="1">
        <f t="shared" si="7"/>
        <v>45929</v>
      </c>
      <c r="N250" t="s">
        <v>1641</v>
      </c>
      <c r="O250">
        <v>0</v>
      </c>
    </row>
    <row r="251" spans="1:15">
      <c r="A251" s="6" t="s">
        <v>14</v>
      </c>
      <c r="B251" t="s">
        <v>15</v>
      </c>
      <c r="C251" t="s">
        <v>509</v>
      </c>
      <c r="D251" t="s">
        <v>510</v>
      </c>
      <c r="E251" s="1">
        <v>45929</v>
      </c>
      <c r="F251">
        <v>1</v>
      </c>
      <c r="G251">
        <v>2120</v>
      </c>
      <c r="H251">
        <v>119603</v>
      </c>
      <c r="I251">
        <v>0</v>
      </c>
      <c r="J251">
        <f t="shared" si="6"/>
        <v>119603</v>
      </c>
      <c r="K251" t="s">
        <v>1640</v>
      </c>
      <c r="L251">
        <v>2120</v>
      </c>
      <c r="M251" s="1">
        <f t="shared" si="7"/>
        <v>45929</v>
      </c>
      <c r="N251" t="s">
        <v>1641</v>
      </c>
      <c r="O251">
        <v>0</v>
      </c>
    </row>
    <row r="252" spans="1:15">
      <c r="A252" s="6" t="s">
        <v>14</v>
      </c>
      <c r="B252" t="s">
        <v>15</v>
      </c>
      <c r="C252" t="s">
        <v>511</v>
      </c>
      <c r="D252" t="s">
        <v>512</v>
      </c>
      <c r="E252" s="1">
        <v>45929</v>
      </c>
      <c r="F252">
        <v>1</v>
      </c>
      <c r="G252">
        <v>1720</v>
      </c>
      <c r="H252">
        <v>90192</v>
      </c>
      <c r="I252">
        <v>0</v>
      </c>
      <c r="J252">
        <f t="shared" si="6"/>
        <v>90192</v>
      </c>
      <c r="K252" t="s">
        <v>1640</v>
      </c>
      <c r="L252">
        <v>1720</v>
      </c>
      <c r="M252" s="1">
        <f t="shared" si="7"/>
        <v>45929</v>
      </c>
      <c r="N252" t="s">
        <v>1641</v>
      </c>
      <c r="O252">
        <v>0</v>
      </c>
    </row>
    <row r="253" spans="1:15">
      <c r="A253" s="6" t="s">
        <v>14</v>
      </c>
      <c r="B253" t="s">
        <v>15</v>
      </c>
      <c r="C253" t="s">
        <v>513</v>
      </c>
      <c r="D253" t="s">
        <v>514</v>
      </c>
      <c r="E253" s="1">
        <v>45929</v>
      </c>
      <c r="F253">
        <v>1</v>
      </c>
      <c r="G253">
        <v>1800</v>
      </c>
      <c r="H253">
        <v>78200</v>
      </c>
      <c r="I253">
        <v>0</v>
      </c>
      <c r="J253">
        <f t="shared" si="6"/>
        <v>78200</v>
      </c>
      <c r="K253" t="s">
        <v>1640</v>
      </c>
      <c r="L253">
        <v>1800</v>
      </c>
      <c r="M253" s="1">
        <f t="shared" si="7"/>
        <v>45929</v>
      </c>
      <c r="N253" t="s">
        <v>1641</v>
      </c>
      <c r="O253">
        <v>0</v>
      </c>
    </row>
    <row r="254" spans="1:15">
      <c r="A254" s="6" t="s">
        <v>14</v>
      </c>
      <c r="B254" t="s">
        <v>15</v>
      </c>
      <c r="C254" t="s">
        <v>515</v>
      </c>
      <c r="D254" t="s">
        <v>516</v>
      </c>
      <c r="E254" s="1">
        <v>45929</v>
      </c>
      <c r="F254">
        <v>1</v>
      </c>
      <c r="G254">
        <v>2800</v>
      </c>
      <c r="H254">
        <v>50038</v>
      </c>
      <c r="I254">
        <v>0</v>
      </c>
      <c r="J254">
        <f t="shared" si="6"/>
        <v>50038</v>
      </c>
      <c r="K254" t="s">
        <v>1640</v>
      </c>
      <c r="L254">
        <v>2800</v>
      </c>
      <c r="M254" s="1">
        <f t="shared" si="7"/>
        <v>45929</v>
      </c>
      <c r="N254" t="s">
        <v>1641</v>
      </c>
      <c r="O254">
        <v>0</v>
      </c>
    </row>
    <row r="255" spans="1:15">
      <c r="A255" s="6" t="s">
        <v>14</v>
      </c>
      <c r="B255" t="s">
        <v>15</v>
      </c>
      <c r="C255" t="s">
        <v>517</v>
      </c>
      <c r="D255" t="s">
        <v>518</v>
      </c>
      <c r="E255" s="1">
        <v>45929</v>
      </c>
      <c r="F255">
        <v>1</v>
      </c>
      <c r="G255">
        <v>0</v>
      </c>
      <c r="H255">
        <v>44480</v>
      </c>
      <c r="I255">
        <v>0</v>
      </c>
      <c r="J255">
        <f t="shared" si="6"/>
        <v>44480</v>
      </c>
      <c r="K255" t="s">
        <v>1640</v>
      </c>
      <c r="L255">
        <v>0</v>
      </c>
      <c r="M255" s="1">
        <f t="shared" si="7"/>
        <v>45929</v>
      </c>
      <c r="N255" t="s">
        <v>1641</v>
      </c>
      <c r="O255">
        <v>0</v>
      </c>
    </row>
    <row r="256" spans="1:15">
      <c r="A256" s="6" t="s">
        <v>14</v>
      </c>
      <c r="B256" t="s">
        <v>15</v>
      </c>
      <c r="C256" t="s">
        <v>519</v>
      </c>
      <c r="D256" t="s">
        <v>520</v>
      </c>
      <c r="E256" s="1">
        <v>45929</v>
      </c>
      <c r="F256">
        <v>1</v>
      </c>
      <c r="G256">
        <v>2290</v>
      </c>
      <c r="H256">
        <v>110000</v>
      </c>
      <c r="I256">
        <v>0</v>
      </c>
      <c r="J256">
        <f t="shared" si="6"/>
        <v>110000</v>
      </c>
      <c r="K256" t="s">
        <v>1640</v>
      </c>
      <c r="L256">
        <v>2290</v>
      </c>
      <c r="M256" s="1">
        <f t="shared" si="7"/>
        <v>45929</v>
      </c>
      <c r="N256" t="s">
        <v>1641</v>
      </c>
      <c r="O256">
        <v>0</v>
      </c>
    </row>
    <row r="257" spans="1:15">
      <c r="A257" s="6" t="s">
        <v>14</v>
      </c>
      <c r="B257" t="s">
        <v>15</v>
      </c>
      <c r="C257" t="s">
        <v>521</v>
      </c>
      <c r="D257" t="s">
        <v>522</v>
      </c>
      <c r="E257" s="1">
        <v>45929</v>
      </c>
      <c r="F257">
        <v>1</v>
      </c>
      <c r="G257">
        <v>1302</v>
      </c>
      <c r="H257">
        <v>23001</v>
      </c>
      <c r="I257">
        <v>0</v>
      </c>
      <c r="J257">
        <f t="shared" si="6"/>
        <v>23001</v>
      </c>
      <c r="K257" t="s">
        <v>1640</v>
      </c>
      <c r="L257">
        <v>1302</v>
      </c>
      <c r="M257" s="1">
        <f t="shared" si="7"/>
        <v>45929</v>
      </c>
      <c r="N257" t="s">
        <v>1641</v>
      </c>
      <c r="O257">
        <v>0</v>
      </c>
    </row>
    <row r="258" spans="1:15">
      <c r="A258" s="6" t="s">
        <v>14</v>
      </c>
      <c r="B258" t="s">
        <v>15</v>
      </c>
      <c r="C258" t="s">
        <v>523</v>
      </c>
      <c r="D258" t="s">
        <v>524</v>
      </c>
      <c r="E258" s="1">
        <v>45929</v>
      </c>
      <c r="F258">
        <v>1</v>
      </c>
      <c r="G258">
        <v>1755</v>
      </c>
      <c r="H258">
        <v>31400</v>
      </c>
      <c r="I258">
        <v>0</v>
      </c>
      <c r="J258">
        <f t="shared" si="6"/>
        <v>31400</v>
      </c>
      <c r="K258" t="s">
        <v>1640</v>
      </c>
      <c r="L258">
        <v>1755</v>
      </c>
      <c r="M258" s="1">
        <f t="shared" si="7"/>
        <v>45929</v>
      </c>
      <c r="N258" t="s">
        <v>1641</v>
      </c>
      <c r="O258">
        <v>0</v>
      </c>
    </row>
    <row r="259" spans="1:15">
      <c r="A259" s="6" t="s">
        <v>14</v>
      </c>
      <c r="B259" t="s">
        <v>15</v>
      </c>
      <c r="C259" t="s">
        <v>525</v>
      </c>
      <c r="D259" t="s">
        <v>526</v>
      </c>
      <c r="E259" s="1">
        <v>45929</v>
      </c>
      <c r="F259">
        <v>1</v>
      </c>
      <c r="G259">
        <v>1540</v>
      </c>
      <c r="H259">
        <v>27578</v>
      </c>
      <c r="I259">
        <v>0</v>
      </c>
      <c r="J259">
        <f t="shared" ref="J259:J322" si="8">H259-I259</f>
        <v>27578</v>
      </c>
      <c r="K259" t="s">
        <v>1640</v>
      </c>
      <c r="L259">
        <v>1540</v>
      </c>
      <c r="M259" s="1">
        <f t="shared" ref="M259:M322" si="9">E259</f>
        <v>45929</v>
      </c>
      <c r="N259" t="s">
        <v>1641</v>
      </c>
      <c r="O259">
        <v>0</v>
      </c>
    </row>
    <row r="260" spans="1:15">
      <c r="A260" s="6" t="s">
        <v>14</v>
      </c>
      <c r="B260" t="s">
        <v>15</v>
      </c>
      <c r="C260" t="s">
        <v>527</v>
      </c>
      <c r="D260" t="s">
        <v>528</v>
      </c>
      <c r="E260" s="1">
        <v>45929</v>
      </c>
      <c r="F260">
        <v>1</v>
      </c>
      <c r="G260">
        <v>3050</v>
      </c>
      <c r="H260">
        <v>135731</v>
      </c>
      <c r="I260">
        <v>0</v>
      </c>
      <c r="J260">
        <f t="shared" si="8"/>
        <v>135731</v>
      </c>
      <c r="K260" t="s">
        <v>1640</v>
      </c>
      <c r="L260">
        <v>3050</v>
      </c>
      <c r="M260" s="1">
        <f t="shared" si="9"/>
        <v>45929</v>
      </c>
      <c r="N260" t="s">
        <v>1641</v>
      </c>
      <c r="O260">
        <v>0</v>
      </c>
    </row>
    <row r="261" spans="1:15">
      <c r="A261" s="6" t="s">
        <v>14</v>
      </c>
      <c r="B261" t="s">
        <v>15</v>
      </c>
      <c r="C261" t="s">
        <v>529</v>
      </c>
      <c r="D261" t="s">
        <v>530</v>
      </c>
      <c r="E261" s="1">
        <v>45929</v>
      </c>
      <c r="F261">
        <v>1</v>
      </c>
      <c r="G261">
        <v>2970</v>
      </c>
      <c r="H261">
        <v>84000</v>
      </c>
      <c r="I261">
        <v>0</v>
      </c>
      <c r="J261">
        <f t="shared" si="8"/>
        <v>84000</v>
      </c>
      <c r="K261" t="s">
        <v>1640</v>
      </c>
      <c r="L261">
        <v>2970</v>
      </c>
      <c r="M261" s="1">
        <f t="shared" si="9"/>
        <v>45929</v>
      </c>
      <c r="N261" t="s">
        <v>1641</v>
      </c>
      <c r="O261">
        <v>0</v>
      </c>
    </row>
    <row r="262" spans="1:15">
      <c r="A262" s="6" t="s">
        <v>14</v>
      </c>
      <c r="B262" t="s">
        <v>15</v>
      </c>
      <c r="C262" t="s">
        <v>531</v>
      </c>
      <c r="D262" t="s">
        <v>532</v>
      </c>
      <c r="E262" s="1">
        <v>45929</v>
      </c>
      <c r="F262">
        <v>1</v>
      </c>
      <c r="G262">
        <v>3335</v>
      </c>
      <c r="H262">
        <v>114896</v>
      </c>
      <c r="I262">
        <v>0</v>
      </c>
      <c r="J262">
        <f t="shared" si="8"/>
        <v>114896</v>
      </c>
      <c r="K262" t="s">
        <v>1640</v>
      </c>
      <c r="L262">
        <v>3335</v>
      </c>
      <c r="M262" s="1">
        <f t="shared" si="9"/>
        <v>45929</v>
      </c>
      <c r="N262" t="s">
        <v>1641</v>
      </c>
      <c r="O262">
        <v>0</v>
      </c>
    </row>
    <row r="263" spans="1:15">
      <c r="A263" s="6" t="s">
        <v>14</v>
      </c>
      <c r="B263" t="s">
        <v>15</v>
      </c>
      <c r="C263" t="s">
        <v>533</v>
      </c>
      <c r="D263" t="s">
        <v>534</v>
      </c>
      <c r="E263" s="1">
        <v>45929</v>
      </c>
      <c r="F263">
        <v>1</v>
      </c>
      <c r="G263">
        <v>1250</v>
      </c>
      <c r="H263">
        <v>22478</v>
      </c>
      <c r="I263">
        <v>0</v>
      </c>
      <c r="J263">
        <f t="shared" si="8"/>
        <v>22478</v>
      </c>
      <c r="K263" t="s">
        <v>1640</v>
      </c>
      <c r="L263">
        <v>1250</v>
      </c>
      <c r="M263" s="1">
        <f t="shared" si="9"/>
        <v>45929</v>
      </c>
      <c r="N263" t="s">
        <v>1641</v>
      </c>
      <c r="O263">
        <v>0</v>
      </c>
    </row>
    <row r="264" spans="1:15">
      <c r="A264" s="6" t="s">
        <v>14</v>
      </c>
      <c r="B264" t="s">
        <v>15</v>
      </c>
      <c r="C264" t="s">
        <v>535</v>
      </c>
      <c r="D264" t="s">
        <v>536</v>
      </c>
      <c r="E264" s="1">
        <v>45929</v>
      </c>
      <c r="F264">
        <v>1</v>
      </c>
      <c r="G264">
        <v>1480</v>
      </c>
      <c r="H264">
        <v>98799</v>
      </c>
      <c r="I264">
        <v>0</v>
      </c>
      <c r="J264">
        <f t="shared" si="8"/>
        <v>98799</v>
      </c>
      <c r="K264" t="s">
        <v>1640</v>
      </c>
      <c r="L264">
        <v>1480</v>
      </c>
      <c r="M264" s="1">
        <f t="shared" si="9"/>
        <v>45929</v>
      </c>
      <c r="N264" t="s">
        <v>1641</v>
      </c>
      <c r="O264">
        <v>0</v>
      </c>
    </row>
    <row r="265" spans="1:15">
      <c r="A265" s="6" t="s">
        <v>14</v>
      </c>
      <c r="B265" t="s">
        <v>15</v>
      </c>
      <c r="C265" t="s">
        <v>537</v>
      </c>
      <c r="D265" t="s">
        <v>538</v>
      </c>
      <c r="E265" s="1">
        <v>45929</v>
      </c>
      <c r="F265">
        <v>1</v>
      </c>
      <c r="G265">
        <v>2430</v>
      </c>
      <c r="H265">
        <v>106500</v>
      </c>
      <c r="I265">
        <v>0</v>
      </c>
      <c r="J265">
        <f t="shared" si="8"/>
        <v>106500</v>
      </c>
      <c r="K265" t="s">
        <v>1640</v>
      </c>
      <c r="L265">
        <v>2430</v>
      </c>
      <c r="M265" s="1">
        <f t="shared" si="9"/>
        <v>45929</v>
      </c>
      <c r="N265" t="s">
        <v>1641</v>
      </c>
      <c r="O265">
        <v>0</v>
      </c>
    </row>
    <row r="266" spans="1:15">
      <c r="A266" s="6" t="s">
        <v>14</v>
      </c>
      <c r="B266" t="s">
        <v>15</v>
      </c>
      <c r="C266" t="s">
        <v>539</v>
      </c>
      <c r="D266" t="s">
        <v>540</v>
      </c>
      <c r="E266" s="1">
        <v>45929</v>
      </c>
      <c r="F266">
        <v>1</v>
      </c>
      <c r="G266">
        <v>1800</v>
      </c>
      <c r="H266">
        <v>82476</v>
      </c>
      <c r="I266">
        <v>0</v>
      </c>
      <c r="J266">
        <f t="shared" si="8"/>
        <v>82476</v>
      </c>
      <c r="K266" t="s">
        <v>1640</v>
      </c>
      <c r="L266">
        <v>1800</v>
      </c>
      <c r="M266" s="1">
        <f t="shared" si="9"/>
        <v>45929</v>
      </c>
      <c r="N266" t="s">
        <v>1641</v>
      </c>
      <c r="O266">
        <v>0</v>
      </c>
    </row>
    <row r="267" spans="1:15">
      <c r="A267" s="6" t="s">
        <v>14</v>
      </c>
      <c r="B267" t="s">
        <v>15</v>
      </c>
      <c r="C267" t="s">
        <v>541</v>
      </c>
      <c r="D267" t="s">
        <v>542</v>
      </c>
      <c r="E267" s="1">
        <v>45929</v>
      </c>
      <c r="F267">
        <v>1</v>
      </c>
      <c r="G267">
        <v>2200</v>
      </c>
      <c r="H267">
        <v>130000</v>
      </c>
      <c r="I267">
        <v>0</v>
      </c>
      <c r="J267">
        <f t="shared" si="8"/>
        <v>130000</v>
      </c>
      <c r="K267" t="s">
        <v>1640</v>
      </c>
      <c r="L267">
        <v>2200</v>
      </c>
      <c r="M267" s="1">
        <f t="shared" si="9"/>
        <v>45929</v>
      </c>
      <c r="N267" t="s">
        <v>1641</v>
      </c>
      <c r="O267">
        <v>0</v>
      </c>
    </row>
    <row r="268" spans="1:15">
      <c r="A268" s="6" t="s">
        <v>14</v>
      </c>
      <c r="B268" t="s">
        <v>15</v>
      </c>
      <c r="C268" t="s">
        <v>543</v>
      </c>
      <c r="D268" t="s">
        <v>1647</v>
      </c>
      <c r="E268" s="1">
        <v>45929</v>
      </c>
      <c r="F268">
        <v>1</v>
      </c>
      <c r="G268">
        <v>1428</v>
      </c>
      <c r="H268">
        <v>26555</v>
      </c>
      <c r="I268">
        <v>0</v>
      </c>
      <c r="J268">
        <f t="shared" si="8"/>
        <v>26555</v>
      </c>
      <c r="K268" t="s">
        <v>1640</v>
      </c>
      <c r="L268">
        <v>1428</v>
      </c>
      <c r="M268" s="1">
        <f t="shared" si="9"/>
        <v>45929</v>
      </c>
      <c r="N268" t="s">
        <v>1641</v>
      </c>
      <c r="O268">
        <v>0</v>
      </c>
    </row>
    <row r="269" spans="1:15">
      <c r="A269" s="6" t="s">
        <v>14</v>
      </c>
      <c r="B269" t="s">
        <v>15</v>
      </c>
      <c r="C269" t="s">
        <v>544</v>
      </c>
      <c r="D269" t="s">
        <v>545</v>
      </c>
      <c r="E269" s="1">
        <v>45929</v>
      </c>
      <c r="F269">
        <v>1</v>
      </c>
      <c r="G269">
        <v>2120</v>
      </c>
      <c r="H269">
        <v>101368</v>
      </c>
      <c r="I269">
        <v>0</v>
      </c>
      <c r="J269">
        <f t="shared" si="8"/>
        <v>101368</v>
      </c>
      <c r="K269" t="s">
        <v>1640</v>
      </c>
      <c r="L269">
        <v>2120</v>
      </c>
      <c r="M269" s="1">
        <f t="shared" si="9"/>
        <v>45929</v>
      </c>
      <c r="N269" t="s">
        <v>1641</v>
      </c>
      <c r="O269">
        <v>0</v>
      </c>
    </row>
    <row r="270" spans="1:15">
      <c r="A270" s="6" t="s">
        <v>14</v>
      </c>
      <c r="B270" t="s">
        <v>15</v>
      </c>
      <c r="C270" t="s">
        <v>546</v>
      </c>
      <c r="D270" t="s">
        <v>547</v>
      </c>
      <c r="E270" s="1">
        <v>45929</v>
      </c>
      <c r="F270">
        <v>1</v>
      </c>
      <c r="G270">
        <v>1130</v>
      </c>
      <c r="H270">
        <v>27862</v>
      </c>
      <c r="I270">
        <v>0</v>
      </c>
      <c r="J270">
        <f t="shared" si="8"/>
        <v>27862</v>
      </c>
      <c r="K270" t="s">
        <v>1640</v>
      </c>
      <c r="L270">
        <v>1130</v>
      </c>
      <c r="M270" s="1">
        <f t="shared" si="9"/>
        <v>45929</v>
      </c>
      <c r="N270" t="s">
        <v>1641</v>
      </c>
      <c r="O270">
        <v>0</v>
      </c>
    </row>
    <row r="271" spans="1:15">
      <c r="A271" s="6" t="s">
        <v>14</v>
      </c>
      <c r="B271" t="s">
        <v>15</v>
      </c>
      <c r="C271" t="s">
        <v>548</v>
      </c>
      <c r="D271" t="s">
        <v>549</v>
      </c>
      <c r="E271" s="1">
        <v>45929</v>
      </c>
      <c r="F271">
        <v>1</v>
      </c>
      <c r="G271">
        <v>1930</v>
      </c>
      <c r="H271">
        <v>78025</v>
      </c>
      <c r="I271">
        <v>0</v>
      </c>
      <c r="J271">
        <f t="shared" si="8"/>
        <v>78025</v>
      </c>
      <c r="K271" t="s">
        <v>1640</v>
      </c>
      <c r="L271">
        <v>1930</v>
      </c>
      <c r="M271" s="1">
        <f t="shared" si="9"/>
        <v>45929</v>
      </c>
      <c r="N271" t="s">
        <v>1641</v>
      </c>
      <c r="O271">
        <v>0</v>
      </c>
    </row>
    <row r="272" spans="1:15">
      <c r="A272" s="6" t="s">
        <v>14</v>
      </c>
      <c r="B272" t="s">
        <v>15</v>
      </c>
      <c r="C272" t="s">
        <v>550</v>
      </c>
      <c r="D272" t="s">
        <v>551</v>
      </c>
      <c r="E272" s="1">
        <v>45929</v>
      </c>
      <c r="F272">
        <v>1</v>
      </c>
      <c r="G272">
        <v>1178</v>
      </c>
      <c r="H272">
        <v>20715</v>
      </c>
      <c r="I272">
        <v>0</v>
      </c>
      <c r="J272">
        <f t="shared" si="8"/>
        <v>20715</v>
      </c>
      <c r="K272" t="s">
        <v>1640</v>
      </c>
      <c r="L272">
        <v>1178</v>
      </c>
      <c r="M272" s="1">
        <f t="shared" si="9"/>
        <v>45929</v>
      </c>
      <c r="N272" t="s">
        <v>1641</v>
      </c>
      <c r="O272">
        <v>0</v>
      </c>
    </row>
    <row r="273" spans="1:15">
      <c r="A273" s="6" t="s">
        <v>14</v>
      </c>
      <c r="B273" t="s">
        <v>15</v>
      </c>
      <c r="C273" t="s">
        <v>552</v>
      </c>
      <c r="D273" t="s">
        <v>553</v>
      </c>
      <c r="E273" s="1">
        <v>45929</v>
      </c>
      <c r="F273">
        <v>1</v>
      </c>
      <c r="G273">
        <v>1470</v>
      </c>
      <c r="H273">
        <v>25490</v>
      </c>
      <c r="I273">
        <v>0</v>
      </c>
      <c r="J273">
        <f t="shared" si="8"/>
        <v>25490</v>
      </c>
      <c r="K273" t="s">
        <v>1640</v>
      </c>
      <c r="L273">
        <v>1470</v>
      </c>
      <c r="M273" s="1">
        <f t="shared" si="9"/>
        <v>45929</v>
      </c>
      <c r="N273" t="s">
        <v>1641</v>
      </c>
      <c r="O273">
        <v>0</v>
      </c>
    </row>
    <row r="274" spans="1:15">
      <c r="A274" s="6" t="s">
        <v>14</v>
      </c>
      <c r="B274" t="s">
        <v>15</v>
      </c>
      <c r="C274" t="s">
        <v>554</v>
      </c>
      <c r="D274" t="s">
        <v>555</v>
      </c>
      <c r="E274" s="1">
        <v>45929</v>
      </c>
      <c r="F274">
        <v>1</v>
      </c>
      <c r="G274">
        <v>3710</v>
      </c>
      <c r="H274">
        <v>163831</v>
      </c>
      <c r="I274">
        <v>0</v>
      </c>
      <c r="J274">
        <f t="shared" si="8"/>
        <v>163831</v>
      </c>
      <c r="K274" t="s">
        <v>1640</v>
      </c>
      <c r="L274">
        <v>3710</v>
      </c>
      <c r="M274" s="1">
        <f t="shared" si="9"/>
        <v>45929</v>
      </c>
      <c r="N274" t="s">
        <v>1641</v>
      </c>
      <c r="O274">
        <v>0</v>
      </c>
    </row>
    <row r="275" spans="1:15">
      <c r="A275" s="6" t="s">
        <v>14</v>
      </c>
      <c r="B275" t="s">
        <v>15</v>
      </c>
      <c r="C275" t="s">
        <v>556</v>
      </c>
      <c r="D275" t="s">
        <v>557</v>
      </c>
      <c r="E275" s="1">
        <v>45929</v>
      </c>
      <c r="F275">
        <v>1</v>
      </c>
      <c r="G275">
        <v>2000</v>
      </c>
      <c r="H275">
        <v>91016</v>
      </c>
      <c r="I275">
        <v>0</v>
      </c>
      <c r="J275">
        <f t="shared" si="8"/>
        <v>91016</v>
      </c>
      <c r="K275" t="s">
        <v>1640</v>
      </c>
      <c r="L275">
        <v>2000</v>
      </c>
      <c r="M275" s="1">
        <f t="shared" si="9"/>
        <v>45929</v>
      </c>
      <c r="N275" t="s">
        <v>1641</v>
      </c>
      <c r="O275">
        <v>0</v>
      </c>
    </row>
    <row r="276" spans="1:15">
      <c r="A276" s="6" t="s">
        <v>14</v>
      </c>
      <c r="B276" t="s">
        <v>15</v>
      </c>
      <c r="C276" t="s">
        <v>558</v>
      </c>
      <c r="D276" t="s">
        <v>559</v>
      </c>
      <c r="E276" s="1">
        <v>45929</v>
      </c>
      <c r="F276">
        <v>1</v>
      </c>
      <c r="G276">
        <v>1440</v>
      </c>
      <c r="H276">
        <v>25912</v>
      </c>
      <c r="I276">
        <v>0</v>
      </c>
      <c r="J276">
        <f t="shared" si="8"/>
        <v>25912</v>
      </c>
      <c r="K276" t="s">
        <v>1640</v>
      </c>
      <c r="L276">
        <v>1440</v>
      </c>
      <c r="M276" s="1">
        <f t="shared" si="9"/>
        <v>45929</v>
      </c>
      <c r="N276" t="s">
        <v>1641</v>
      </c>
      <c r="O276">
        <v>0</v>
      </c>
    </row>
    <row r="277" spans="1:15">
      <c r="A277" s="6" t="s">
        <v>14</v>
      </c>
      <c r="B277" t="s">
        <v>15</v>
      </c>
      <c r="C277" t="s">
        <v>560</v>
      </c>
      <c r="D277" t="s">
        <v>561</v>
      </c>
      <c r="E277" s="1">
        <v>45929</v>
      </c>
      <c r="F277">
        <v>1</v>
      </c>
      <c r="G277">
        <v>2000</v>
      </c>
      <c r="H277">
        <v>87000</v>
      </c>
      <c r="I277">
        <v>0</v>
      </c>
      <c r="J277">
        <f t="shared" si="8"/>
        <v>87000</v>
      </c>
      <c r="K277" t="s">
        <v>1640</v>
      </c>
      <c r="L277">
        <v>2000</v>
      </c>
      <c r="M277" s="1">
        <f t="shared" si="9"/>
        <v>45929</v>
      </c>
      <c r="N277" t="s">
        <v>1641</v>
      </c>
      <c r="O277">
        <v>0</v>
      </c>
    </row>
    <row r="278" spans="1:15">
      <c r="A278" s="6" t="s">
        <v>14</v>
      </c>
      <c r="B278" t="s">
        <v>15</v>
      </c>
      <c r="C278" t="s">
        <v>562</v>
      </c>
      <c r="D278" t="s">
        <v>563</v>
      </c>
      <c r="E278" s="1">
        <v>45929</v>
      </c>
      <c r="F278">
        <v>1</v>
      </c>
      <c r="G278">
        <v>2520</v>
      </c>
      <c r="H278">
        <v>119770</v>
      </c>
      <c r="I278">
        <v>0</v>
      </c>
      <c r="J278">
        <f t="shared" si="8"/>
        <v>119770</v>
      </c>
      <c r="K278" t="s">
        <v>1640</v>
      </c>
      <c r="L278">
        <v>2520</v>
      </c>
      <c r="M278" s="1">
        <f t="shared" si="9"/>
        <v>45929</v>
      </c>
      <c r="N278" t="s">
        <v>1641</v>
      </c>
      <c r="O278">
        <v>0</v>
      </c>
    </row>
    <row r="279" spans="1:15">
      <c r="A279" s="6" t="s">
        <v>14</v>
      </c>
      <c r="B279" t="s">
        <v>15</v>
      </c>
      <c r="C279" t="s">
        <v>564</v>
      </c>
      <c r="D279" t="s">
        <v>565</v>
      </c>
      <c r="E279" s="1">
        <v>45929</v>
      </c>
      <c r="F279">
        <v>1</v>
      </c>
      <c r="G279">
        <v>1560</v>
      </c>
      <c r="H279">
        <v>27722</v>
      </c>
      <c r="I279">
        <v>0</v>
      </c>
      <c r="J279">
        <f t="shared" si="8"/>
        <v>27722</v>
      </c>
      <c r="K279" t="s">
        <v>1640</v>
      </c>
      <c r="L279">
        <v>1560</v>
      </c>
      <c r="M279" s="1">
        <f t="shared" si="9"/>
        <v>45929</v>
      </c>
      <c r="N279" t="s">
        <v>1641</v>
      </c>
      <c r="O279">
        <v>0</v>
      </c>
    </row>
    <row r="280" spans="1:15">
      <c r="A280" s="6" t="s">
        <v>14</v>
      </c>
      <c r="B280" t="s">
        <v>15</v>
      </c>
      <c r="C280" t="s">
        <v>566</v>
      </c>
      <c r="D280" t="s">
        <v>567</v>
      </c>
      <c r="E280" s="1">
        <v>45929</v>
      </c>
      <c r="F280">
        <v>1</v>
      </c>
      <c r="G280">
        <v>3822</v>
      </c>
      <c r="H280">
        <v>110923</v>
      </c>
      <c r="I280">
        <v>0</v>
      </c>
      <c r="J280">
        <f t="shared" si="8"/>
        <v>110923</v>
      </c>
      <c r="K280" t="s">
        <v>1640</v>
      </c>
      <c r="L280">
        <v>3822</v>
      </c>
      <c r="M280" s="1">
        <f t="shared" si="9"/>
        <v>45929</v>
      </c>
      <c r="N280" t="s">
        <v>1641</v>
      </c>
      <c r="O280">
        <v>0</v>
      </c>
    </row>
    <row r="281" spans="1:15">
      <c r="A281" s="6" t="s">
        <v>14</v>
      </c>
      <c r="B281" t="s">
        <v>15</v>
      </c>
      <c r="C281" t="s">
        <v>568</v>
      </c>
      <c r="D281" t="s">
        <v>1648</v>
      </c>
      <c r="E281" s="1">
        <v>45929</v>
      </c>
      <c r="F281">
        <v>1</v>
      </c>
      <c r="G281">
        <v>1680</v>
      </c>
      <c r="H281">
        <v>94700</v>
      </c>
      <c r="I281">
        <v>0</v>
      </c>
      <c r="J281">
        <f t="shared" si="8"/>
        <v>94700</v>
      </c>
      <c r="K281" t="s">
        <v>1640</v>
      </c>
      <c r="L281">
        <v>1680</v>
      </c>
      <c r="M281" s="1">
        <f t="shared" si="9"/>
        <v>45929</v>
      </c>
      <c r="N281" t="s">
        <v>1641</v>
      </c>
      <c r="O281">
        <v>0</v>
      </c>
    </row>
    <row r="282" spans="1:15">
      <c r="A282" s="6" t="s">
        <v>14</v>
      </c>
      <c r="B282" t="s">
        <v>15</v>
      </c>
      <c r="C282" t="s">
        <v>569</v>
      </c>
      <c r="D282" t="s">
        <v>570</v>
      </c>
      <c r="E282" s="1">
        <v>45929</v>
      </c>
      <c r="F282">
        <v>1</v>
      </c>
      <c r="G282">
        <v>1800</v>
      </c>
      <c r="H282">
        <v>100000</v>
      </c>
      <c r="I282">
        <v>0</v>
      </c>
      <c r="J282">
        <f t="shared" si="8"/>
        <v>100000</v>
      </c>
      <c r="K282" t="s">
        <v>1640</v>
      </c>
      <c r="L282">
        <v>1800</v>
      </c>
      <c r="M282" s="1">
        <f t="shared" si="9"/>
        <v>45929</v>
      </c>
      <c r="N282" t="s">
        <v>1641</v>
      </c>
      <c r="O282">
        <v>0</v>
      </c>
    </row>
    <row r="283" spans="1:15">
      <c r="A283" s="6" t="s">
        <v>14</v>
      </c>
      <c r="B283" t="s">
        <v>15</v>
      </c>
      <c r="C283" t="s">
        <v>571</v>
      </c>
      <c r="D283" t="s">
        <v>572</v>
      </c>
      <c r="E283" s="1">
        <v>45929</v>
      </c>
      <c r="F283">
        <v>1</v>
      </c>
      <c r="G283">
        <v>1560</v>
      </c>
      <c r="H283">
        <v>68100</v>
      </c>
      <c r="I283">
        <v>0</v>
      </c>
      <c r="J283">
        <f t="shared" si="8"/>
        <v>68100</v>
      </c>
      <c r="K283" t="s">
        <v>1640</v>
      </c>
      <c r="L283">
        <v>1560</v>
      </c>
      <c r="M283" s="1">
        <f t="shared" si="9"/>
        <v>45929</v>
      </c>
      <c r="N283" t="s">
        <v>1641</v>
      </c>
      <c r="O283">
        <v>0</v>
      </c>
    </row>
    <row r="284" spans="1:15">
      <c r="A284" s="6" t="s">
        <v>14</v>
      </c>
      <c r="B284" t="s">
        <v>15</v>
      </c>
      <c r="C284" t="s">
        <v>573</v>
      </c>
      <c r="D284" t="s">
        <v>574</v>
      </c>
      <c r="E284" s="1">
        <v>45929</v>
      </c>
      <c r="F284">
        <v>1</v>
      </c>
      <c r="G284">
        <v>1380</v>
      </c>
      <c r="H284">
        <v>25912</v>
      </c>
      <c r="I284">
        <v>0</v>
      </c>
      <c r="J284">
        <f t="shared" si="8"/>
        <v>25912</v>
      </c>
      <c r="K284" t="s">
        <v>1640</v>
      </c>
      <c r="L284">
        <v>1380</v>
      </c>
      <c r="M284" s="1">
        <f t="shared" si="9"/>
        <v>45929</v>
      </c>
      <c r="N284" t="s">
        <v>1641</v>
      </c>
      <c r="O284">
        <v>0</v>
      </c>
    </row>
    <row r="285" spans="1:15">
      <c r="A285" s="6" t="s">
        <v>14</v>
      </c>
      <c r="B285" t="s">
        <v>15</v>
      </c>
      <c r="C285" t="s">
        <v>575</v>
      </c>
      <c r="D285" t="s">
        <v>576</v>
      </c>
      <c r="E285" s="1">
        <v>45929</v>
      </c>
      <c r="F285">
        <v>1</v>
      </c>
      <c r="G285">
        <v>1800</v>
      </c>
      <c r="H285">
        <v>78888</v>
      </c>
      <c r="I285">
        <v>0</v>
      </c>
      <c r="J285">
        <f t="shared" si="8"/>
        <v>78888</v>
      </c>
      <c r="K285" t="s">
        <v>1640</v>
      </c>
      <c r="L285">
        <v>1800</v>
      </c>
      <c r="M285" s="1">
        <f t="shared" si="9"/>
        <v>45929</v>
      </c>
      <c r="N285" t="s">
        <v>1641</v>
      </c>
      <c r="O285">
        <v>0</v>
      </c>
    </row>
    <row r="286" spans="1:15">
      <c r="A286" s="6" t="s">
        <v>14</v>
      </c>
      <c r="B286" t="s">
        <v>15</v>
      </c>
      <c r="C286" t="s">
        <v>577</v>
      </c>
      <c r="D286" t="s">
        <v>578</v>
      </c>
      <c r="E286" s="1">
        <v>45929</v>
      </c>
      <c r="F286">
        <v>1</v>
      </c>
      <c r="G286">
        <v>3070</v>
      </c>
      <c r="H286">
        <v>179000</v>
      </c>
      <c r="I286">
        <v>0</v>
      </c>
      <c r="J286">
        <f t="shared" si="8"/>
        <v>179000</v>
      </c>
      <c r="K286" t="s">
        <v>1640</v>
      </c>
      <c r="L286">
        <v>3070</v>
      </c>
      <c r="M286" s="1">
        <f t="shared" si="9"/>
        <v>45929</v>
      </c>
      <c r="N286" t="s">
        <v>1641</v>
      </c>
      <c r="O286">
        <v>0</v>
      </c>
    </row>
    <row r="287" spans="1:15">
      <c r="A287" s="6" t="s">
        <v>14</v>
      </c>
      <c r="B287" t="s">
        <v>15</v>
      </c>
      <c r="C287" t="s">
        <v>579</v>
      </c>
      <c r="D287" t="s">
        <v>1649</v>
      </c>
      <c r="E287" s="1">
        <v>45929</v>
      </c>
      <c r="F287">
        <v>1</v>
      </c>
      <c r="G287">
        <v>3240</v>
      </c>
      <c r="H287">
        <v>96000</v>
      </c>
      <c r="I287">
        <v>0</v>
      </c>
      <c r="J287">
        <f t="shared" si="8"/>
        <v>96000</v>
      </c>
      <c r="K287" t="s">
        <v>1640</v>
      </c>
      <c r="L287">
        <v>3240</v>
      </c>
      <c r="M287" s="1">
        <f t="shared" si="9"/>
        <v>45929</v>
      </c>
      <c r="N287" t="s">
        <v>1641</v>
      </c>
      <c r="O287">
        <v>0</v>
      </c>
    </row>
    <row r="288" spans="1:15">
      <c r="A288" s="6" t="s">
        <v>14</v>
      </c>
      <c r="B288" t="s">
        <v>15</v>
      </c>
      <c r="C288" t="s">
        <v>580</v>
      </c>
      <c r="D288" t="s">
        <v>581</v>
      </c>
      <c r="E288" s="1">
        <v>45929</v>
      </c>
      <c r="F288">
        <v>1</v>
      </c>
      <c r="G288">
        <v>1254</v>
      </c>
      <c r="H288">
        <v>37493</v>
      </c>
      <c r="I288">
        <v>0</v>
      </c>
      <c r="J288">
        <f t="shared" si="8"/>
        <v>37493</v>
      </c>
      <c r="K288" t="s">
        <v>1640</v>
      </c>
      <c r="L288">
        <v>1254</v>
      </c>
      <c r="M288" s="1">
        <f t="shared" si="9"/>
        <v>45929</v>
      </c>
      <c r="N288" t="s">
        <v>1641</v>
      </c>
      <c r="O288">
        <v>0</v>
      </c>
    </row>
    <row r="289" spans="1:15">
      <c r="A289" s="6" t="s">
        <v>14</v>
      </c>
      <c r="B289" t="s">
        <v>15</v>
      </c>
      <c r="C289" t="s">
        <v>582</v>
      </c>
      <c r="D289" t="s">
        <v>583</v>
      </c>
      <c r="E289" s="1">
        <v>45929</v>
      </c>
      <c r="F289">
        <v>1</v>
      </c>
      <c r="G289">
        <v>1720</v>
      </c>
      <c r="H289">
        <v>67000</v>
      </c>
      <c r="I289">
        <v>0</v>
      </c>
      <c r="J289">
        <f t="shared" si="8"/>
        <v>67000</v>
      </c>
      <c r="K289" t="s">
        <v>1640</v>
      </c>
      <c r="L289">
        <v>1720</v>
      </c>
      <c r="M289" s="1">
        <f t="shared" si="9"/>
        <v>45929</v>
      </c>
      <c r="N289" t="s">
        <v>1641</v>
      </c>
      <c r="O289">
        <v>0</v>
      </c>
    </row>
    <row r="290" spans="1:15">
      <c r="A290" s="6" t="s">
        <v>14</v>
      </c>
      <c r="B290" t="s">
        <v>15</v>
      </c>
      <c r="C290" t="s">
        <v>584</v>
      </c>
      <c r="D290" t="s">
        <v>585</v>
      </c>
      <c r="E290" s="1">
        <v>45929</v>
      </c>
      <c r="F290">
        <v>1</v>
      </c>
      <c r="G290">
        <v>1780</v>
      </c>
      <c r="H290">
        <v>86995</v>
      </c>
      <c r="I290">
        <v>0</v>
      </c>
      <c r="J290">
        <f t="shared" si="8"/>
        <v>86995</v>
      </c>
      <c r="K290" t="s">
        <v>1640</v>
      </c>
      <c r="L290">
        <v>1780</v>
      </c>
      <c r="M290" s="1">
        <f t="shared" si="9"/>
        <v>45929</v>
      </c>
      <c r="N290" t="s">
        <v>1641</v>
      </c>
      <c r="O290">
        <v>0</v>
      </c>
    </row>
    <row r="291" spans="1:15">
      <c r="A291" s="6" t="s">
        <v>14</v>
      </c>
      <c r="B291" t="s">
        <v>15</v>
      </c>
      <c r="C291" t="s">
        <v>586</v>
      </c>
      <c r="D291" t="s">
        <v>587</v>
      </c>
      <c r="E291" s="1">
        <v>45929</v>
      </c>
      <c r="F291">
        <v>1</v>
      </c>
      <c r="G291">
        <v>3840</v>
      </c>
      <c r="H291">
        <v>160380</v>
      </c>
      <c r="I291">
        <v>0</v>
      </c>
      <c r="J291">
        <f t="shared" si="8"/>
        <v>160380</v>
      </c>
      <c r="K291" t="s">
        <v>1640</v>
      </c>
      <c r="L291">
        <v>3840</v>
      </c>
      <c r="M291" s="1">
        <f t="shared" si="9"/>
        <v>45929</v>
      </c>
      <c r="N291" t="s">
        <v>1641</v>
      </c>
      <c r="O291">
        <v>0</v>
      </c>
    </row>
    <row r="292" spans="1:15">
      <c r="A292" s="6" t="s">
        <v>14</v>
      </c>
      <c r="B292" t="s">
        <v>15</v>
      </c>
      <c r="C292" t="s">
        <v>588</v>
      </c>
      <c r="D292" t="s">
        <v>589</v>
      </c>
      <c r="E292" s="1">
        <v>45929</v>
      </c>
      <c r="F292">
        <v>1</v>
      </c>
      <c r="G292">
        <v>6624</v>
      </c>
      <c r="H292">
        <v>192989</v>
      </c>
      <c r="I292">
        <v>0</v>
      </c>
      <c r="J292">
        <f t="shared" si="8"/>
        <v>192989</v>
      </c>
      <c r="K292" t="s">
        <v>1640</v>
      </c>
      <c r="L292">
        <v>6624</v>
      </c>
      <c r="M292" s="1">
        <f t="shared" si="9"/>
        <v>45929</v>
      </c>
      <c r="N292" t="s">
        <v>1641</v>
      </c>
      <c r="O292">
        <v>0</v>
      </c>
    </row>
    <row r="293" spans="1:15">
      <c r="A293" s="6" t="s">
        <v>14</v>
      </c>
      <c r="B293" t="s">
        <v>15</v>
      </c>
      <c r="C293" t="s">
        <v>590</v>
      </c>
      <c r="D293" t="s">
        <v>591</v>
      </c>
      <c r="E293" s="1">
        <v>45929</v>
      </c>
      <c r="F293">
        <v>1</v>
      </c>
      <c r="G293">
        <v>1491</v>
      </c>
      <c r="H293">
        <v>27758</v>
      </c>
      <c r="I293">
        <v>0</v>
      </c>
      <c r="J293">
        <f t="shared" si="8"/>
        <v>27758</v>
      </c>
      <c r="K293" t="s">
        <v>1640</v>
      </c>
      <c r="L293">
        <v>1491</v>
      </c>
      <c r="M293" s="1">
        <f t="shared" si="9"/>
        <v>45929</v>
      </c>
      <c r="N293" t="s">
        <v>1641</v>
      </c>
      <c r="O293">
        <v>0</v>
      </c>
    </row>
    <row r="294" spans="1:15">
      <c r="A294" s="6" t="s">
        <v>14</v>
      </c>
      <c r="B294" t="s">
        <v>15</v>
      </c>
      <c r="C294" t="s">
        <v>592</v>
      </c>
      <c r="D294" t="s">
        <v>593</v>
      </c>
      <c r="E294" s="1">
        <v>45929</v>
      </c>
      <c r="F294">
        <v>1</v>
      </c>
      <c r="G294">
        <v>2070</v>
      </c>
      <c r="H294">
        <v>135000</v>
      </c>
      <c r="I294">
        <v>0</v>
      </c>
      <c r="J294">
        <f t="shared" si="8"/>
        <v>135000</v>
      </c>
      <c r="K294" t="s">
        <v>1640</v>
      </c>
      <c r="L294">
        <v>2070</v>
      </c>
      <c r="M294" s="1">
        <f t="shared" si="9"/>
        <v>45929</v>
      </c>
      <c r="N294" t="s">
        <v>1641</v>
      </c>
      <c r="O294">
        <v>0</v>
      </c>
    </row>
    <row r="295" spans="1:15">
      <c r="A295" s="6" t="s">
        <v>14</v>
      </c>
      <c r="B295" t="s">
        <v>15</v>
      </c>
      <c r="C295" t="s">
        <v>594</v>
      </c>
      <c r="D295" t="s">
        <v>595</v>
      </c>
      <c r="E295" s="1">
        <v>45929</v>
      </c>
      <c r="F295">
        <v>1</v>
      </c>
      <c r="G295">
        <v>1680</v>
      </c>
      <c r="H295">
        <v>84510</v>
      </c>
      <c r="I295">
        <v>0</v>
      </c>
      <c r="J295">
        <f t="shared" si="8"/>
        <v>84510</v>
      </c>
      <c r="K295" t="s">
        <v>1640</v>
      </c>
      <c r="L295">
        <v>1680</v>
      </c>
      <c r="M295" s="1">
        <f t="shared" si="9"/>
        <v>45929</v>
      </c>
      <c r="N295" t="s">
        <v>1641</v>
      </c>
      <c r="O295">
        <v>0</v>
      </c>
    </row>
    <row r="296" spans="1:15">
      <c r="A296" s="6" t="s">
        <v>14</v>
      </c>
      <c r="B296" t="s">
        <v>15</v>
      </c>
      <c r="C296" t="s">
        <v>596</v>
      </c>
      <c r="D296" t="s">
        <v>597</v>
      </c>
      <c r="E296" s="1">
        <v>45929</v>
      </c>
      <c r="F296">
        <v>1</v>
      </c>
      <c r="G296">
        <v>1690</v>
      </c>
      <c r="H296">
        <v>107595</v>
      </c>
      <c r="I296">
        <v>0</v>
      </c>
      <c r="J296">
        <f t="shared" si="8"/>
        <v>107595</v>
      </c>
      <c r="K296" t="s">
        <v>1640</v>
      </c>
      <c r="L296">
        <v>1690</v>
      </c>
      <c r="M296" s="1">
        <f t="shared" si="9"/>
        <v>45929</v>
      </c>
      <c r="N296" t="s">
        <v>1641</v>
      </c>
      <c r="O296">
        <v>0</v>
      </c>
    </row>
    <row r="297" spans="1:15">
      <c r="A297" s="6" t="s">
        <v>14</v>
      </c>
      <c r="B297" t="s">
        <v>15</v>
      </c>
      <c r="C297" t="s">
        <v>598</v>
      </c>
      <c r="D297" t="s">
        <v>599</v>
      </c>
      <c r="E297" s="1">
        <v>45929</v>
      </c>
      <c r="F297">
        <v>1</v>
      </c>
      <c r="G297">
        <v>2580</v>
      </c>
      <c r="H297">
        <v>138500</v>
      </c>
      <c r="I297">
        <v>0</v>
      </c>
      <c r="J297">
        <f t="shared" si="8"/>
        <v>138500</v>
      </c>
      <c r="K297" t="s">
        <v>1640</v>
      </c>
      <c r="L297">
        <v>2580</v>
      </c>
      <c r="M297" s="1">
        <f t="shared" si="9"/>
        <v>45929</v>
      </c>
      <c r="N297" t="s">
        <v>1641</v>
      </c>
      <c r="O297">
        <v>0</v>
      </c>
    </row>
    <row r="298" spans="1:15">
      <c r="A298" s="6" t="s">
        <v>14</v>
      </c>
      <c r="B298" t="s">
        <v>15</v>
      </c>
      <c r="C298" t="s">
        <v>600</v>
      </c>
      <c r="D298" t="s">
        <v>601</v>
      </c>
      <c r="E298" s="1">
        <v>45929</v>
      </c>
      <c r="F298">
        <v>1</v>
      </c>
      <c r="G298">
        <v>2080</v>
      </c>
      <c r="H298">
        <v>136666</v>
      </c>
      <c r="I298">
        <v>0</v>
      </c>
      <c r="J298">
        <f t="shared" si="8"/>
        <v>136666</v>
      </c>
      <c r="K298" t="s">
        <v>1640</v>
      </c>
      <c r="L298">
        <v>2080</v>
      </c>
      <c r="M298" s="1">
        <f t="shared" si="9"/>
        <v>45929</v>
      </c>
      <c r="N298" t="s">
        <v>1641</v>
      </c>
      <c r="O298">
        <v>0</v>
      </c>
    </row>
    <row r="299" spans="1:15">
      <c r="A299" s="6" t="s">
        <v>14</v>
      </c>
      <c r="B299" t="s">
        <v>15</v>
      </c>
      <c r="C299" t="s">
        <v>602</v>
      </c>
      <c r="D299" t="s">
        <v>603</v>
      </c>
      <c r="E299" s="1">
        <v>45929</v>
      </c>
      <c r="F299">
        <v>1</v>
      </c>
      <c r="G299">
        <v>2814</v>
      </c>
      <c r="H299">
        <v>95414</v>
      </c>
      <c r="I299">
        <v>0</v>
      </c>
      <c r="J299">
        <f t="shared" si="8"/>
        <v>95414</v>
      </c>
      <c r="K299" t="s">
        <v>1640</v>
      </c>
      <c r="L299">
        <v>2814</v>
      </c>
      <c r="M299" s="1">
        <f t="shared" si="9"/>
        <v>45929</v>
      </c>
      <c r="N299" t="s">
        <v>1641</v>
      </c>
      <c r="O299">
        <v>0</v>
      </c>
    </row>
    <row r="300" spans="1:15">
      <c r="A300" s="6" t="s">
        <v>14</v>
      </c>
      <c r="B300" t="s">
        <v>15</v>
      </c>
      <c r="C300" t="s">
        <v>604</v>
      </c>
      <c r="D300" t="s">
        <v>605</v>
      </c>
      <c r="E300" s="1">
        <v>45929</v>
      </c>
      <c r="F300">
        <v>1</v>
      </c>
      <c r="G300">
        <v>1380</v>
      </c>
      <c r="H300">
        <v>26555</v>
      </c>
      <c r="I300">
        <v>0</v>
      </c>
      <c r="J300">
        <f t="shared" si="8"/>
        <v>26555</v>
      </c>
      <c r="K300" t="s">
        <v>1640</v>
      </c>
      <c r="L300">
        <v>1380</v>
      </c>
      <c r="M300" s="1">
        <f t="shared" si="9"/>
        <v>45929</v>
      </c>
      <c r="N300" t="s">
        <v>1641</v>
      </c>
      <c r="O300">
        <v>0</v>
      </c>
    </row>
    <row r="301" spans="1:15">
      <c r="A301" s="6" t="s">
        <v>14</v>
      </c>
      <c r="B301" t="s">
        <v>15</v>
      </c>
      <c r="C301" t="s">
        <v>606</v>
      </c>
      <c r="D301" t="s">
        <v>1650</v>
      </c>
      <c r="E301" s="1">
        <v>45929</v>
      </c>
      <c r="F301">
        <v>1</v>
      </c>
      <c r="G301">
        <v>1080</v>
      </c>
      <c r="H301">
        <v>19087</v>
      </c>
      <c r="I301">
        <v>0</v>
      </c>
      <c r="J301">
        <f t="shared" si="8"/>
        <v>19087</v>
      </c>
      <c r="K301" t="s">
        <v>1640</v>
      </c>
      <c r="L301">
        <v>1080</v>
      </c>
      <c r="M301" s="1">
        <f t="shared" si="9"/>
        <v>45929</v>
      </c>
      <c r="N301" t="s">
        <v>1641</v>
      </c>
      <c r="O301">
        <v>0</v>
      </c>
    </row>
    <row r="302" spans="1:15">
      <c r="A302" s="6" t="s">
        <v>14</v>
      </c>
      <c r="B302" t="s">
        <v>15</v>
      </c>
      <c r="C302" t="s">
        <v>607</v>
      </c>
      <c r="D302" t="s">
        <v>608</v>
      </c>
      <c r="E302" s="1">
        <v>45929</v>
      </c>
      <c r="F302">
        <v>1</v>
      </c>
      <c r="G302">
        <v>2450</v>
      </c>
      <c r="H302">
        <v>97745</v>
      </c>
      <c r="I302">
        <v>0</v>
      </c>
      <c r="J302">
        <f t="shared" si="8"/>
        <v>97745</v>
      </c>
      <c r="K302" t="s">
        <v>1640</v>
      </c>
      <c r="L302">
        <v>2450</v>
      </c>
      <c r="M302" s="1">
        <f t="shared" si="9"/>
        <v>45929</v>
      </c>
      <c r="N302" t="s">
        <v>1641</v>
      </c>
      <c r="O302">
        <v>0</v>
      </c>
    </row>
    <row r="303" spans="1:15">
      <c r="A303" s="6" t="s">
        <v>14</v>
      </c>
      <c r="B303" t="s">
        <v>15</v>
      </c>
      <c r="C303" t="s">
        <v>609</v>
      </c>
      <c r="D303" t="s">
        <v>610</v>
      </c>
      <c r="E303" s="1">
        <v>45929</v>
      </c>
      <c r="F303">
        <v>1</v>
      </c>
      <c r="G303">
        <v>1320</v>
      </c>
      <c r="H303">
        <v>77000</v>
      </c>
      <c r="I303">
        <v>0</v>
      </c>
      <c r="J303">
        <f t="shared" si="8"/>
        <v>77000</v>
      </c>
      <c r="K303" t="s">
        <v>1640</v>
      </c>
      <c r="L303">
        <v>1320</v>
      </c>
      <c r="M303" s="1">
        <f t="shared" si="9"/>
        <v>45929</v>
      </c>
      <c r="N303" t="s">
        <v>1641</v>
      </c>
      <c r="O303">
        <v>0</v>
      </c>
    </row>
    <row r="304" spans="1:15">
      <c r="A304" s="6" t="s">
        <v>14</v>
      </c>
      <c r="B304" t="s">
        <v>15</v>
      </c>
      <c r="C304" t="s">
        <v>611</v>
      </c>
      <c r="D304" t="s">
        <v>612</v>
      </c>
      <c r="E304" s="1">
        <v>45929</v>
      </c>
      <c r="F304">
        <v>1</v>
      </c>
      <c r="G304">
        <v>1640</v>
      </c>
      <c r="H304">
        <v>91593</v>
      </c>
      <c r="I304">
        <v>0</v>
      </c>
      <c r="J304">
        <f t="shared" si="8"/>
        <v>91593</v>
      </c>
      <c r="K304" t="s">
        <v>1640</v>
      </c>
      <c r="L304">
        <v>1640</v>
      </c>
      <c r="M304" s="1">
        <f t="shared" si="9"/>
        <v>45929</v>
      </c>
      <c r="N304" t="s">
        <v>1641</v>
      </c>
      <c r="O304">
        <v>0</v>
      </c>
    </row>
    <row r="305" spans="1:15">
      <c r="A305" s="6" t="s">
        <v>14</v>
      </c>
      <c r="B305" t="s">
        <v>15</v>
      </c>
      <c r="C305" t="s">
        <v>613</v>
      </c>
      <c r="D305" t="s">
        <v>614</v>
      </c>
      <c r="E305" s="1">
        <v>45929</v>
      </c>
      <c r="F305">
        <v>1</v>
      </c>
      <c r="G305">
        <v>1710</v>
      </c>
      <c r="H305">
        <v>96397</v>
      </c>
      <c r="I305">
        <v>0</v>
      </c>
      <c r="J305">
        <f t="shared" si="8"/>
        <v>96397</v>
      </c>
      <c r="K305" t="s">
        <v>1640</v>
      </c>
      <c r="L305">
        <v>1710</v>
      </c>
      <c r="M305" s="1">
        <f t="shared" si="9"/>
        <v>45929</v>
      </c>
      <c r="N305" t="s">
        <v>1641</v>
      </c>
      <c r="O305">
        <v>0</v>
      </c>
    </row>
    <row r="306" spans="1:15">
      <c r="A306" s="6" t="s">
        <v>14</v>
      </c>
      <c r="B306" t="s">
        <v>15</v>
      </c>
      <c r="C306" t="s">
        <v>615</v>
      </c>
      <c r="D306" t="s">
        <v>616</v>
      </c>
      <c r="E306" s="1">
        <v>45929</v>
      </c>
      <c r="F306">
        <v>1</v>
      </c>
      <c r="G306">
        <v>1800</v>
      </c>
      <c r="H306">
        <v>68787</v>
      </c>
      <c r="I306">
        <v>0</v>
      </c>
      <c r="J306">
        <f t="shared" si="8"/>
        <v>68787</v>
      </c>
      <c r="K306" t="s">
        <v>1640</v>
      </c>
      <c r="L306">
        <v>1800</v>
      </c>
      <c r="M306" s="1">
        <f t="shared" si="9"/>
        <v>45929</v>
      </c>
      <c r="N306" t="s">
        <v>1641</v>
      </c>
      <c r="O306">
        <v>0</v>
      </c>
    </row>
    <row r="307" spans="1:15">
      <c r="A307" s="6" t="s">
        <v>14</v>
      </c>
      <c r="B307" t="s">
        <v>15</v>
      </c>
      <c r="C307" t="s">
        <v>617</v>
      </c>
      <c r="D307" t="s">
        <v>618</v>
      </c>
      <c r="E307" s="1">
        <v>45929</v>
      </c>
      <c r="F307">
        <v>1</v>
      </c>
      <c r="G307">
        <v>2470</v>
      </c>
      <c r="H307">
        <v>73000</v>
      </c>
      <c r="I307">
        <v>0</v>
      </c>
      <c r="J307">
        <f t="shared" si="8"/>
        <v>73000</v>
      </c>
      <c r="K307" t="s">
        <v>1640</v>
      </c>
      <c r="L307">
        <v>2470</v>
      </c>
      <c r="M307" s="1">
        <f t="shared" si="9"/>
        <v>45929</v>
      </c>
      <c r="N307" t="s">
        <v>1641</v>
      </c>
      <c r="O307">
        <v>0</v>
      </c>
    </row>
    <row r="308" spans="1:15">
      <c r="A308" s="6" t="s">
        <v>14</v>
      </c>
      <c r="B308" t="s">
        <v>15</v>
      </c>
      <c r="C308" t="s">
        <v>619</v>
      </c>
      <c r="D308" t="s">
        <v>1651</v>
      </c>
      <c r="E308" s="1">
        <v>45929</v>
      </c>
      <c r="F308">
        <v>1</v>
      </c>
      <c r="G308">
        <v>1920</v>
      </c>
      <c r="H308">
        <v>129626</v>
      </c>
      <c r="I308">
        <v>0</v>
      </c>
      <c r="J308">
        <f t="shared" si="8"/>
        <v>129626</v>
      </c>
      <c r="K308" t="s">
        <v>1640</v>
      </c>
      <c r="L308">
        <v>1920</v>
      </c>
      <c r="M308" s="1">
        <f t="shared" si="9"/>
        <v>45929</v>
      </c>
      <c r="N308" t="s">
        <v>1641</v>
      </c>
      <c r="O308">
        <v>0</v>
      </c>
    </row>
    <row r="309" spans="1:15">
      <c r="A309" s="6" t="s">
        <v>14</v>
      </c>
      <c r="B309" t="s">
        <v>15</v>
      </c>
      <c r="C309" t="s">
        <v>620</v>
      </c>
      <c r="D309" t="s">
        <v>621</v>
      </c>
      <c r="E309" s="1">
        <v>45929</v>
      </c>
      <c r="F309">
        <v>1</v>
      </c>
      <c r="G309">
        <v>1350</v>
      </c>
      <c r="H309">
        <v>24498</v>
      </c>
      <c r="I309">
        <v>0</v>
      </c>
      <c r="J309">
        <f t="shared" si="8"/>
        <v>24498</v>
      </c>
      <c r="K309" t="s">
        <v>1640</v>
      </c>
      <c r="L309">
        <v>1350</v>
      </c>
      <c r="M309" s="1">
        <f t="shared" si="9"/>
        <v>45929</v>
      </c>
      <c r="N309" t="s">
        <v>1641</v>
      </c>
      <c r="O309">
        <v>0</v>
      </c>
    </row>
    <row r="310" spans="1:15">
      <c r="A310" s="6" t="s">
        <v>14</v>
      </c>
      <c r="B310" t="s">
        <v>15</v>
      </c>
      <c r="C310" t="s">
        <v>622</v>
      </c>
      <c r="D310" t="s">
        <v>623</v>
      </c>
      <c r="E310" s="1">
        <v>45929</v>
      </c>
      <c r="F310">
        <v>1</v>
      </c>
      <c r="G310">
        <v>2480</v>
      </c>
      <c r="H310">
        <v>89000</v>
      </c>
      <c r="I310">
        <v>0</v>
      </c>
      <c r="J310">
        <f t="shared" si="8"/>
        <v>89000</v>
      </c>
      <c r="K310" t="s">
        <v>1640</v>
      </c>
      <c r="L310">
        <v>2480</v>
      </c>
      <c r="M310" s="1">
        <f t="shared" si="9"/>
        <v>45929</v>
      </c>
      <c r="N310" t="s">
        <v>1641</v>
      </c>
      <c r="O310">
        <v>0</v>
      </c>
    </row>
    <row r="311" spans="1:15">
      <c r="A311" s="6" t="s">
        <v>14</v>
      </c>
      <c r="B311" t="s">
        <v>15</v>
      </c>
      <c r="C311" t="s">
        <v>624</v>
      </c>
      <c r="D311" t="s">
        <v>625</v>
      </c>
      <c r="E311" s="1">
        <v>45929</v>
      </c>
      <c r="F311">
        <v>1</v>
      </c>
      <c r="G311">
        <v>2554</v>
      </c>
      <c r="H311">
        <v>109800</v>
      </c>
      <c r="I311">
        <v>0</v>
      </c>
      <c r="J311">
        <f t="shared" si="8"/>
        <v>109800</v>
      </c>
      <c r="K311" t="s">
        <v>1640</v>
      </c>
      <c r="L311">
        <v>2554</v>
      </c>
      <c r="M311" s="1">
        <f t="shared" si="9"/>
        <v>45929</v>
      </c>
      <c r="N311" t="s">
        <v>1641</v>
      </c>
      <c r="O311">
        <v>0</v>
      </c>
    </row>
    <row r="312" spans="1:15">
      <c r="A312" s="6" t="s">
        <v>14</v>
      </c>
      <c r="B312" t="s">
        <v>15</v>
      </c>
      <c r="C312" t="s">
        <v>626</v>
      </c>
      <c r="D312" t="s">
        <v>627</v>
      </c>
      <c r="E312" s="1">
        <v>45929</v>
      </c>
      <c r="F312">
        <v>1</v>
      </c>
      <c r="G312">
        <v>1615</v>
      </c>
      <c r="H312">
        <v>105000</v>
      </c>
      <c r="I312">
        <v>0</v>
      </c>
      <c r="J312">
        <f t="shared" si="8"/>
        <v>105000</v>
      </c>
      <c r="K312" t="s">
        <v>1640</v>
      </c>
      <c r="L312">
        <v>1615</v>
      </c>
      <c r="M312" s="1">
        <f t="shared" si="9"/>
        <v>45929</v>
      </c>
      <c r="N312" t="s">
        <v>1641</v>
      </c>
      <c r="O312">
        <v>0</v>
      </c>
    </row>
    <row r="313" spans="1:15">
      <c r="A313" s="6" t="s">
        <v>14</v>
      </c>
      <c r="B313" t="s">
        <v>15</v>
      </c>
      <c r="C313" t="s">
        <v>628</v>
      </c>
      <c r="D313" t="s">
        <v>629</v>
      </c>
      <c r="E313" s="1">
        <v>45929</v>
      </c>
      <c r="F313">
        <v>1</v>
      </c>
      <c r="G313">
        <v>2080</v>
      </c>
      <c r="H313">
        <v>107767</v>
      </c>
      <c r="I313">
        <v>0</v>
      </c>
      <c r="J313">
        <f t="shared" si="8"/>
        <v>107767</v>
      </c>
      <c r="K313" t="s">
        <v>1640</v>
      </c>
      <c r="L313">
        <v>2080</v>
      </c>
      <c r="M313" s="1">
        <f t="shared" si="9"/>
        <v>45929</v>
      </c>
      <c r="N313" t="s">
        <v>1641</v>
      </c>
      <c r="O313">
        <v>0</v>
      </c>
    </row>
    <row r="314" spans="1:15">
      <c r="A314" s="6" t="s">
        <v>14</v>
      </c>
      <c r="B314" t="s">
        <v>15</v>
      </c>
      <c r="C314" t="s">
        <v>630</v>
      </c>
      <c r="D314" t="s">
        <v>631</v>
      </c>
      <c r="E314" s="1">
        <v>45929</v>
      </c>
      <c r="F314">
        <v>1</v>
      </c>
      <c r="G314">
        <v>1990</v>
      </c>
      <c r="H314">
        <v>107350</v>
      </c>
      <c r="I314">
        <v>0</v>
      </c>
      <c r="J314">
        <f t="shared" si="8"/>
        <v>107350</v>
      </c>
      <c r="K314" t="s">
        <v>1640</v>
      </c>
      <c r="L314">
        <v>1990</v>
      </c>
      <c r="M314" s="1">
        <f t="shared" si="9"/>
        <v>45929</v>
      </c>
      <c r="N314" t="s">
        <v>1641</v>
      </c>
      <c r="O314">
        <v>0</v>
      </c>
    </row>
    <row r="315" spans="1:15">
      <c r="A315" s="6" t="s">
        <v>14</v>
      </c>
      <c r="B315" t="s">
        <v>15</v>
      </c>
      <c r="C315" t="s">
        <v>632</v>
      </c>
      <c r="D315" t="s">
        <v>633</v>
      </c>
      <c r="E315" s="1">
        <v>45929</v>
      </c>
      <c r="F315">
        <v>1</v>
      </c>
      <c r="G315">
        <v>2020</v>
      </c>
      <c r="H315">
        <v>85000</v>
      </c>
      <c r="I315">
        <v>0</v>
      </c>
      <c r="J315">
        <f t="shared" si="8"/>
        <v>85000</v>
      </c>
      <c r="K315" t="s">
        <v>1640</v>
      </c>
      <c r="L315">
        <v>2020</v>
      </c>
      <c r="M315" s="1">
        <f t="shared" si="9"/>
        <v>45929</v>
      </c>
      <c r="N315" t="s">
        <v>1641</v>
      </c>
      <c r="O315">
        <v>0</v>
      </c>
    </row>
    <row r="316" spans="1:15">
      <c r="A316" s="6" t="s">
        <v>14</v>
      </c>
      <c r="B316" t="s">
        <v>15</v>
      </c>
      <c r="C316" t="s">
        <v>634</v>
      </c>
      <c r="D316" t="s">
        <v>635</v>
      </c>
      <c r="E316" s="1">
        <v>45929</v>
      </c>
      <c r="F316">
        <v>1</v>
      </c>
      <c r="G316">
        <v>1399.92</v>
      </c>
      <c r="H316">
        <v>24606</v>
      </c>
      <c r="I316">
        <v>0</v>
      </c>
      <c r="J316">
        <f t="shared" si="8"/>
        <v>24606</v>
      </c>
      <c r="K316" t="s">
        <v>1640</v>
      </c>
      <c r="L316">
        <v>1399.92</v>
      </c>
      <c r="M316" s="1">
        <f t="shared" si="9"/>
        <v>45929</v>
      </c>
      <c r="N316" t="s">
        <v>1641</v>
      </c>
      <c r="O316">
        <v>0</v>
      </c>
    </row>
    <row r="317" spans="1:15">
      <c r="A317" s="6" t="s">
        <v>14</v>
      </c>
      <c r="B317" t="s">
        <v>15</v>
      </c>
      <c r="C317" t="s">
        <v>636</v>
      </c>
      <c r="D317" t="s">
        <v>637</v>
      </c>
      <c r="E317" s="1">
        <v>45929</v>
      </c>
      <c r="F317">
        <v>1</v>
      </c>
      <c r="G317">
        <v>1300</v>
      </c>
      <c r="H317">
        <v>23000</v>
      </c>
      <c r="I317">
        <v>0</v>
      </c>
      <c r="J317">
        <f t="shared" si="8"/>
        <v>23000</v>
      </c>
      <c r="K317" t="s">
        <v>1640</v>
      </c>
      <c r="L317">
        <v>1300</v>
      </c>
      <c r="M317" s="1">
        <f t="shared" si="9"/>
        <v>45929</v>
      </c>
      <c r="N317" t="s">
        <v>1641</v>
      </c>
      <c r="O317">
        <v>0</v>
      </c>
    </row>
    <row r="318" spans="1:15">
      <c r="A318" s="6" t="s">
        <v>14</v>
      </c>
      <c r="B318" t="s">
        <v>15</v>
      </c>
      <c r="C318" t="s">
        <v>638</v>
      </c>
      <c r="D318" t="s">
        <v>639</v>
      </c>
      <c r="E318" s="1">
        <v>45929</v>
      </c>
      <c r="F318">
        <v>1</v>
      </c>
      <c r="G318">
        <v>1273</v>
      </c>
      <c r="H318">
        <v>22732</v>
      </c>
      <c r="I318">
        <v>0</v>
      </c>
      <c r="J318">
        <f t="shared" si="8"/>
        <v>22732</v>
      </c>
      <c r="K318" t="s">
        <v>1640</v>
      </c>
      <c r="L318">
        <v>1273</v>
      </c>
      <c r="M318" s="1">
        <f t="shared" si="9"/>
        <v>45929</v>
      </c>
      <c r="N318" t="s">
        <v>1641</v>
      </c>
      <c r="O318">
        <v>0</v>
      </c>
    </row>
    <row r="319" spans="1:15">
      <c r="A319" s="6" t="s">
        <v>14</v>
      </c>
      <c r="B319" t="s">
        <v>15</v>
      </c>
      <c r="C319" t="s">
        <v>640</v>
      </c>
      <c r="D319" t="s">
        <v>641</v>
      </c>
      <c r="E319" s="1">
        <v>45929</v>
      </c>
      <c r="F319">
        <v>1</v>
      </c>
      <c r="G319">
        <v>1800</v>
      </c>
      <c r="H319">
        <v>76300</v>
      </c>
      <c r="I319">
        <v>0</v>
      </c>
      <c r="J319">
        <f t="shared" si="8"/>
        <v>76300</v>
      </c>
      <c r="K319" t="s">
        <v>1640</v>
      </c>
      <c r="L319">
        <v>1800</v>
      </c>
      <c r="M319" s="1">
        <f t="shared" si="9"/>
        <v>45929</v>
      </c>
      <c r="N319" t="s">
        <v>1641</v>
      </c>
      <c r="O319">
        <v>0</v>
      </c>
    </row>
    <row r="320" spans="1:15">
      <c r="A320" s="6" t="s">
        <v>14</v>
      </c>
      <c r="B320" t="s">
        <v>15</v>
      </c>
      <c r="C320" t="s">
        <v>642</v>
      </c>
      <c r="D320" t="s">
        <v>643</v>
      </c>
      <c r="E320" s="1">
        <v>45929</v>
      </c>
      <c r="F320">
        <v>1</v>
      </c>
      <c r="G320">
        <v>837</v>
      </c>
      <c r="H320">
        <v>15000</v>
      </c>
      <c r="I320">
        <v>0</v>
      </c>
      <c r="J320">
        <f t="shared" si="8"/>
        <v>15000</v>
      </c>
      <c r="K320" t="s">
        <v>1640</v>
      </c>
      <c r="L320">
        <v>837</v>
      </c>
      <c r="M320" s="1">
        <f t="shared" si="9"/>
        <v>45929</v>
      </c>
      <c r="N320" t="s">
        <v>1641</v>
      </c>
      <c r="O320">
        <v>0</v>
      </c>
    </row>
    <row r="321" spans="1:15">
      <c r="A321" s="6" t="s">
        <v>14</v>
      </c>
      <c r="B321" t="s">
        <v>15</v>
      </c>
      <c r="C321" t="s">
        <v>644</v>
      </c>
      <c r="D321" t="s">
        <v>645</v>
      </c>
      <c r="E321" s="1">
        <v>45929</v>
      </c>
      <c r="F321">
        <v>1</v>
      </c>
      <c r="G321">
        <v>864</v>
      </c>
      <c r="H321">
        <v>15000</v>
      </c>
      <c r="I321">
        <v>0</v>
      </c>
      <c r="J321">
        <f t="shared" si="8"/>
        <v>15000</v>
      </c>
      <c r="K321" t="s">
        <v>1640</v>
      </c>
      <c r="L321">
        <v>864</v>
      </c>
      <c r="M321" s="1">
        <f t="shared" si="9"/>
        <v>45929</v>
      </c>
      <c r="N321" t="s">
        <v>1641</v>
      </c>
      <c r="O321">
        <v>0</v>
      </c>
    </row>
    <row r="322" spans="1:15">
      <c r="A322" s="6" t="s">
        <v>14</v>
      </c>
      <c r="B322" t="s">
        <v>15</v>
      </c>
      <c r="C322" t="s">
        <v>646</v>
      </c>
      <c r="D322" t="s">
        <v>1652</v>
      </c>
      <c r="E322" s="1">
        <v>45929</v>
      </c>
      <c r="F322">
        <v>1</v>
      </c>
      <c r="G322">
        <v>1690</v>
      </c>
      <c r="H322">
        <v>83705</v>
      </c>
      <c r="I322">
        <v>0</v>
      </c>
      <c r="J322">
        <f t="shared" si="8"/>
        <v>83705</v>
      </c>
      <c r="K322" t="s">
        <v>1640</v>
      </c>
      <c r="L322">
        <v>1690</v>
      </c>
      <c r="M322" s="1">
        <f t="shared" si="9"/>
        <v>45929</v>
      </c>
      <c r="N322" t="s">
        <v>1641</v>
      </c>
      <c r="O322">
        <v>0</v>
      </c>
    </row>
    <row r="323" spans="1:15">
      <c r="A323" s="6" t="s">
        <v>14</v>
      </c>
      <c r="B323" t="s">
        <v>15</v>
      </c>
      <c r="C323" t="s">
        <v>647</v>
      </c>
      <c r="D323" t="s">
        <v>648</v>
      </c>
      <c r="E323" s="1">
        <v>45929</v>
      </c>
      <c r="F323">
        <v>1</v>
      </c>
      <c r="G323">
        <v>920</v>
      </c>
      <c r="H323">
        <v>17689</v>
      </c>
      <c r="I323">
        <v>0</v>
      </c>
      <c r="J323">
        <f t="shared" ref="J323:J386" si="10">H323-I323</f>
        <v>17689</v>
      </c>
      <c r="K323" t="s">
        <v>1640</v>
      </c>
      <c r="L323">
        <v>920</v>
      </c>
      <c r="M323" s="1">
        <f t="shared" ref="M323:M386" si="11">E323</f>
        <v>45929</v>
      </c>
      <c r="N323" t="s">
        <v>1641</v>
      </c>
      <c r="O323">
        <v>0</v>
      </c>
    </row>
    <row r="324" spans="1:15">
      <c r="A324" s="6" t="s">
        <v>14</v>
      </c>
      <c r="B324" t="s">
        <v>15</v>
      </c>
      <c r="C324" t="s">
        <v>649</v>
      </c>
      <c r="D324" t="s">
        <v>650</v>
      </c>
      <c r="E324" s="1">
        <v>45929</v>
      </c>
      <c r="F324">
        <v>1</v>
      </c>
      <c r="G324">
        <v>2260</v>
      </c>
      <c r="H324">
        <v>106000</v>
      </c>
      <c r="I324">
        <v>0</v>
      </c>
      <c r="J324">
        <f t="shared" si="10"/>
        <v>106000</v>
      </c>
      <c r="K324" t="s">
        <v>1640</v>
      </c>
      <c r="L324">
        <v>2260</v>
      </c>
      <c r="M324" s="1">
        <f t="shared" si="11"/>
        <v>45929</v>
      </c>
      <c r="N324" t="s">
        <v>1641</v>
      </c>
      <c r="O324">
        <v>0</v>
      </c>
    </row>
    <row r="325" spans="1:15">
      <c r="A325" s="6" t="s">
        <v>14</v>
      </c>
      <c r="B325" t="s">
        <v>15</v>
      </c>
      <c r="C325" t="s">
        <v>651</v>
      </c>
      <c r="D325" t="s">
        <v>652</v>
      </c>
      <c r="E325" s="1">
        <v>45929</v>
      </c>
      <c r="F325">
        <v>1</v>
      </c>
      <c r="G325">
        <v>2600</v>
      </c>
      <c r="H325">
        <v>148000</v>
      </c>
      <c r="I325">
        <v>0</v>
      </c>
      <c r="J325">
        <f t="shared" si="10"/>
        <v>148000</v>
      </c>
      <c r="K325" t="s">
        <v>1640</v>
      </c>
      <c r="L325">
        <v>2600</v>
      </c>
      <c r="M325" s="1">
        <f t="shared" si="11"/>
        <v>45929</v>
      </c>
      <c r="N325" t="s">
        <v>1641</v>
      </c>
      <c r="O325">
        <v>0</v>
      </c>
    </row>
    <row r="326" spans="1:15">
      <c r="A326" s="6" t="s">
        <v>14</v>
      </c>
      <c r="B326" t="s">
        <v>15</v>
      </c>
      <c r="C326" t="s">
        <v>653</v>
      </c>
      <c r="D326" t="s">
        <v>654</v>
      </c>
      <c r="E326" s="1">
        <v>45929</v>
      </c>
      <c r="F326">
        <v>1</v>
      </c>
      <c r="G326">
        <v>2080</v>
      </c>
      <c r="H326">
        <v>82697</v>
      </c>
      <c r="I326">
        <v>0</v>
      </c>
      <c r="J326">
        <f t="shared" si="10"/>
        <v>82697</v>
      </c>
      <c r="K326" t="s">
        <v>1640</v>
      </c>
      <c r="L326">
        <v>2080</v>
      </c>
      <c r="M326" s="1">
        <f t="shared" si="11"/>
        <v>45929</v>
      </c>
      <c r="N326" t="s">
        <v>1641</v>
      </c>
      <c r="O326">
        <v>0</v>
      </c>
    </row>
    <row r="327" spans="1:15">
      <c r="A327" s="6" t="s">
        <v>14</v>
      </c>
      <c r="B327" t="s">
        <v>15</v>
      </c>
      <c r="C327" t="s">
        <v>655</v>
      </c>
      <c r="D327" t="s">
        <v>656</v>
      </c>
      <c r="E327" s="1">
        <v>45929</v>
      </c>
      <c r="F327">
        <v>1</v>
      </c>
      <c r="G327">
        <v>2000</v>
      </c>
      <c r="H327">
        <v>97000</v>
      </c>
      <c r="I327">
        <v>0</v>
      </c>
      <c r="J327">
        <f t="shared" si="10"/>
        <v>97000</v>
      </c>
      <c r="K327" t="s">
        <v>1640</v>
      </c>
      <c r="L327">
        <v>2000</v>
      </c>
      <c r="M327" s="1">
        <f t="shared" si="11"/>
        <v>45929</v>
      </c>
      <c r="N327" t="s">
        <v>1641</v>
      </c>
      <c r="O327">
        <v>0</v>
      </c>
    </row>
    <row r="328" spans="1:15">
      <c r="A328" s="6" t="s">
        <v>14</v>
      </c>
      <c r="B328" t="s">
        <v>15</v>
      </c>
      <c r="C328" t="s">
        <v>657</v>
      </c>
      <c r="D328" t="s">
        <v>658</v>
      </c>
      <c r="E328" s="1">
        <v>45929</v>
      </c>
      <c r="F328">
        <v>1</v>
      </c>
      <c r="G328">
        <v>2160</v>
      </c>
      <c r="H328">
        <v>119100</v>
      </c>
      <c r="I328">
        <v>0</v>
      </c>
      <c r="J328">
        <f t="shared" si="10"/>
        <v>119100</v>
      </c>
      <c r="K328" t="s">
        <v>1640</v>
      </c>
      <c r="L328">
        <v>2160</v>
      </c>
      <c r="M328" s="1">
        <f t="shared" si="11"/>
        <v>45929</v>
      </c>
      <c r="N328" t="s">
        <v>1641</v>
      </c>
      <c r="O328">
        <v>0</v>
      </c>
    </row>
    <row r="329" spans="1:15">
      <c r="A329" s="6" t="s">
        <v>14</v>
      </c>
      <c r="B329" t="s">
        <v>15</v>
      </c>
      <c r="C329" t="s">
        <v>659</v>
      </c>
      <c r="D329" t="s">
        <v>660</v>
      </c>
      <c r="E329" s="1">
        <v>45929</v>
      </c>
      <c r="F329">
        <v>1</v>
      </c>
      <c r="G329">
        <v>1360</v>
      </c>
      <c r="H329">
        <v>24696</v>
      </c>
      <c r="I329">
        <v>0</v>
      </c>
      <c r="J329">
        <f t="shared" si="10"/>
        <v>24696</v>
      </c>
      <c r="K329" t="s">
        <v>1640</v>
      </c>
      <c r="L329">
        <v>1360</v>
      </c>
      <c r="M329" s="1">
        <f t="shared" si="11"/>
        <v>45929</v>
      </c>
      <c r="N329" t="s">
        <v>1641</v>
      </c>
      <c r="O329">
        <v>0</v>
      </c>
    </row>
    <row r="330" spans="1:15">
      <c r="A330" s="6" t="s">
        <v>14</v>
      </c>
      <c r="B330" t="s">
        <v>15</v>
      </c>
      <c r="C330" t="s">
        <v>661</v>
      </c>
      <c r="D330" t="s">
        <v>662</v>
      </c>
      <c r="E330" s="1">
        <v>45929</v>
      </c>
      <c r="F330">
        <v>1</v>
      </c>
      <c r="G330">
        <v>1800</v>
      </c>
      <c r="H330">
        <v>121500</v>
      </c>
      <c r="I330">
        <v>0</v>
      </c>
      <c r="J330">
        <f t="shared" si="10"/>
        <v>121500</v>
      </c>
      <c r="K330" t="s">
        <v>1640</v>
      </c>
      <c r="L330">
        <v>1800</v>
      </c>
      <c r="M330" s="1">
        <f t="shared" si="11"/>
        <v>45929</v>
      </c>
      <c r="N330" t="s">
        <v>1641</v>
      </c>
      <c r="O330">
        <v>0</v>
      </c>
    </row>
    <row r="331" spans="1:15">
      <c r="A331" s="6" t="s">
        <v>14</v>
      </c>
      <c r="B331" t="s">
        <v>15</v>
      </c>
      <c r="C331" t="s">
        <v>663</v>
      </c>
      <c r="D331" t="s">
        <v>664</v>
      </c>
      <c r="E331" s="1">
        <v>45929</v>
      </c>
      <c r="F331">
        <v>1</v>
      </c>
      <c r="G331">
        <v>1260</v>
      </c>
      <c r="H331">
        <v>23283</v>
      </c>
      <c r="I331">
        <v>0</v>
      </c>
      <c r="J331">
        <f t="shared" si="10"/>
        <v>23283</v>
      </c>
      <c r="K331" t="s">
        <v>1640</v>
      </c>
      <c r="L331">
        <v>1260</v>
      </c>
      <c r="M331" s="1">
        <f t="shared" si="11"/>
        <v>45929</v>
      </c>
      <c r="N331" t="s">
        <v>1641</v>
      </c>
      <c r="O331">
        <v>0</v>
      </c>
    </row>
    <row r="332" spans="1:15">
      <c r="A332" s="6" t="s">
        <v>14</v>
      </c>
      <c r="B332" t="s">
        <v>15</v>
      </c>
      <c r="C332" t="s">
        <v>665</v>
      </c>
      <c r="D332" t="s">
        <v>666</v>
      </c>
      <c r="E332" s="1">
        <v>45929</v>
      </c>
      <c r="F332">
        <v>1</v>
      </c>
      <c r="G332">
        <v>1815</v>
      </c>
      <c r="H332">
        <v>30538</v>
      </c>
      <c r="I332">
        <v>0</v>
      </c>
      <c r="J332">
        <f t="shared" si="10"/>
        <v>30538</v>
      </c>
      <c r="K332" t="s">
        <v>1640</v>
      </c>
      <c r="L332">
        <v>1815</v>
      </c>
      <c r="M332" s="1">
        <f t="shared" si="11"/>
        <v>45929</v>
      </c>
      <c r="N332" t="s">
        <v>1641</v>
      </c>
      <c r="O332">
        <v>0</v>
      </c>
    </row>
    <row r="333" spans="1:15">
      <c r="A333" s="6" t="s">
        <v>14</v>
      </c>
      <c r="B333" t="s">
        <v>15</v>
      </c>
      <c r="C333" t="s">
        <v>667</v>
      </c>
      <c r="D333" t="s">
        <v>668</v>
      </c>
      <c r="E333" s="1">
        <v>45929</v>
      </c>
      <c r="F333">
        <v>1</v>
      </c>
      <c r="G333">
        <v>2923</v>
      </c>
      <c r="H333">
        <v>84279</v>
      </c>
      <c r="I333">
        <v>0</v>
      </c>
      <c r="J333">
        <f t="shared" si="10"/>
        <v>84279</v>
      </c>
      <c r="K333" t="s">
        <v>1640</v>
      </c>
      <c r="L333">
        <v>2923</v>
      </c>
      <c r="M333" s="1">
        <f t="shared" si="11"/>
        <v>45929</v>
      </c>
      <c r="N333" t="s">
        <v>1641</v>
      </c>
      <c r="O333">
        <v>0</v>
      </c>
    </row>
    <row r="334" spans="1:15">
      <c r="A334" s="6" t="s">
        <v>14</v>
      </c>
      <c r="B334" t="s">
        <v>15</v>
      </c>
      <c r="C334" t="s">
        <v>669</v>
      </c>
      <c r="D334" t="s">
        <v>670</v>
      </c>
      <c r="E334" s="1">
        <v>45929</v>
      </c>
      <c r="F334">
        <v>1</v>
      </c>
      <c r="G334">
        <v>2260</v>
      </c>
      <c r="H334">
        <v>111671</v>
      </c>
      <c r="I334">
        <v>0</v>
      </c>
      <c r="J334">
        <f t="shared" si="10"/>
        <v>111671</v>
      </c>
      <c r="K334" t="s">
        <v>1640</v>
      </c>
      <c r="L334">
        <v>2260</v>
      </c>
      <c r="M334" s="1">
        <f t="shared" si="11"/>
        <v>45929</v>
      </c>
      <c r="N334" t="s">
        <v>1641</v>
      </c>
      <c r="O334">
        <v>0</v>
      </c>
    </row>
    <row r="335" spans="1:15">
      <c r="A335" s="6" t="s">
        <v>14</v>
      </c>
      <c r="B335" t="s">
        <v>15</v>
      </c>
      <c r="C335" t="s">
        <v>671</v>
      </c>
      <c r="D335" t="s">
        <v>672</v>
      </c>
      <c r="E335" s="1">
        <v>45929</v>
      </c>
      <c r="F335">
        <v>1</v>
      </c>
      <c r="G335">
        <v>3360</v>
      </c>
      <c r="H335">
        <v>100000</v>
      </c>
      <c r="I335">
        <v>0</v>
      </c>
      <c r="J335">
        <f t="shared" si="10"/>
        <v>100000</v>
      </c>
      <c r="K335" t="s">
        <v>1640</v>
      </c>
      <c r="L335">
        <v>3360</v>
      </c>
      <c r="M335" s="1">
        <f t="shared" si="11"/>
        <v>45929</v>
      </c>
      <c r="N335" t="s">
        <v>1641</v>
      </c>
      <c r="O335">
        <v>0</v>
      </c>
    </row>
    <row r="336" spans="1:15">
      <c r="A336" s="6" t="s">
        <v>14</v>
      </c>
      <c r="B336" t="s">
        <v>15</v>
      </c>
      <c r="C336" t="s">
        <v>673</v>
      </c>
      <c r="D336" t="s">
        <v>674</v>
      </c>
      <c r="E336" s="1">
        <v>45929</v>
      </c>
      <c r="F336">
        <v>1</v>
      </c>
      <c r="G336">
        <v>3820</v>
      </c>
      <c r="H336">
        <v>161888</v>
      </c>
      <c r="I336">
        <v>0</v>
      </c>
      <c r="J336">
        <f t="shared" si="10"/>
        <v>161888</v>
      </c>
      <c r="K336" t="s">
        <v>1640</v>
      </c>
      <c r="L336">
        <v>3820</v>
      </c>
      <c r="M336" s="1">
        <f t="shared" si="11"/>
        <v>45929</v>
      </c>
      <c r="N336" t="s">
        <v>1641</v>
      </c>
      <c r="O336">
        <v>0</v>
      </c>
    </row>
    <row r="337" spans="1:15">
      <c r="A337" s="6" t="s">
        <v>14</v>
      </c>
      <c r="B337" t="s">
        <v>15</v>
      </c>
      <c r="C337" t="s">
        <v>675</v>
      </c>
      <c r="D337" t="s">
        <v>676</v>
      </c>
      <c r="E337" s="1">
        <v>45929</v>
      </c>
      <c r="F337">
        <v>1</v>
      </c>
      <c r="G337">
        <v>2041.2</v>
      </c>
      <c r="H337">
        <v>36749</v>
      </c>
      <c r="I337">
        <v>0</v>
      </c>
      <c r="J337">
        <f t="shared" si="10"/>
        <v>36749</v>
      </c>
      <c r="K337" t="s">
        <v>1640</v>
      </c>
      <c r="L337">
        <v>2041.2</v>
      </c>
      <c r="M337" s="1">
        <f t="shared" si="11"/>
        <v>45929</v>
      </c>
      <c r="N337" t="s">
        <v>1641</v>
      </c>
      <c r="O337">
        <v>0</v>
      </c>
    </row>
    <row r="338" spans="1:15">
      <c r="A338" s="6" t="s">
        <v>14</v>
      </c>
      <c r="B338" t="s">
        <v>15</v>
      </c>
      <c r="C338" t="s">
        <v>677</v>
      </c>
      <c r="D338" t="s">
        <v>678</v>
      </c>
      <c r="E338" s="1">
        <v>45929</v>
      </c>
      <c r="F338">
        <v>1</v>
      </c>
      <c r="G338">
        <v>1890</v>
      </c>
      <c r="H338">
        <v>75768</v>
      </c>
      <c r="I338">
        <v>0</v>
      </c>
      <c r="J338">
        <f t="shared" si="10"/>
        <v>75768</v>
      </c>
      <c r="K338" t="s">
        <v>1640</v>
      </c>
      <c r="L338">
        <v>1890</v>
      </c>
      <c r="M338" s="1">
        <f t="shared" si="11"/>
        <v>45929</v>
      </c>
      <c r="N338" t="s">
        <v>1641</v>
      </c>
      <c r="O338">
        <v>0</v>
      </c>
    </row>
    <row r="339" spans="1:15">
      <c r="A339" s="6" t="s">
        <v>14</v>
      </c>
      <c r="B339" t="s">
        <v>15</v>
      </c>
      <c r="C339" t="s">
        <v>679</v>
      </c>
      <c r="D339" t="s">
        <v>680</v>
      </c>
      <c r="E339" s="1">
        <v>45929</v>
      </c>
      <c r="F339">
        <v>1</v>
      </c>
      <c r="G339">
        <v>1200</v>
      </c>
      <c r="H339">
        <v>80999</v>
      </c>
      <c r="I339">
        <v>0</v>
      </c>
      <c r="J339">
        <f t="shared" si="10"/>
        <v>80999</v>
      </c>
      <c r="K339" t="s">
        <v>1640</v>
      </c>
      <c r="L339">
        <v>1200</v>
      </c>
      <c r="M339" s="1">
        <f t="shared" si="11"/>
        <v>45929</v>
      </c>
      <c r="N339" t="s">
        <v>1641</v>
      </c>
      <c r="O339">
        <v>0</v>
      </c>
    </row>
    <row r="340" spans="1:15">
      <c r="A340" s="6" t="s">
        <v>14</v>
      </c>
      <c r="B340" t="s">
        <v>15</v>
      </c>
      <c r="C340" t="s">
        <v>681</v>
      </c>
      <c r="D340" t="s">
        <v>1653</v>
      </c>
      <c r="E340" s="1">
        <v>45929</v>
      </c>
      <c r="F340">
        <v>1</v>
      </c>
      <c r="G340">
        <v>1920</v>
      </c>
      <c r="H340">
        <v>75452</v>
      </c>
      <c r="I340">
        <v>0</v>
      </c>
      <c r="J340">
        <f t="shared" si="10"/>
        <v>75452</v>
      </c>
      <c r="K340" t="s">
        <v>1640</v>
      </c>
      <c r="L340">
        <v>1920</v>
      </c>
      <c r="M340" s="1">
        <f t="shared" si="11"/>
        <v>45929</v>
      </c>
      <c r="N340" t="s">
        <v>1641</v>
      </c>
      <c r="O340">
        <v>0</v>
      </c>
    </row>
    <row r="341" spans="1:15">
      <c r="A341" s="6" t="s">
        <v>14</v>
      </c>
      <c r="B341" t="s">
        <v>15</v>
      </c>
      <c r="C341" t="s">
        <v>682</v>
      </c>
      <c r="D341" t="s">
        <v>683</v>
      </c>
      <c r="E341" s="1">
        <v>45929</v>
      </c>
      <c r="F341">
        <v>1</v>
      </c>
      <c r="G341">
        <v>1339</v>
      </c>
      <c r="H341">
        <v>22342</v>
      </c>
      <c r="I341">
        <v>0</v>
      </c>
      <c r="J341">
        <f t="shared" si="10"/>
        <v>22342</v>
      </c>
      <c r="K341" t="s">
        <v>1640</v>
      </c>
      <c r="L341">
        <v>1339</v>
      </c>
      <c r="M341" s="1">
        <f t="shared" si="11"/>
        <v>45929</v>
      </c>
      <c r="N341" t="s">
        <v>1641</v>
      </c>
      <c r="O341">
        <v>0</v>
      </c>
    </row>
    <row r="342" spans="1:15">
      <c r="A342" s="6" t="s">
        <v>14</v>
      </c>
      <c r="B342" t="s">
        <v>15</v>
      </c>
      <c r="C342" t="s">
        <v>684</v>
      </c>
      <c r="D342" t="s">
        <v>685</v>
      </c>
      <c r="E342" s="1">
        <v>45929</v>
      </c>
      <c r="F342">
        <v>1</v>
      </c>
      <c r="G342">
        <v>1000</v>
      </c>
      <c r="H342">
        <v>67500</v>
      </c>
      <c r="I342">
        <v>0</v>
      </c>
      <c r="J342">
        <f t="shared" si="10"/>
        <v>67500</v>
      </c>
      <c r="K342" t="s">
        <v>1640</v>
      </c>
      <c r="L342">
        <v>1000</v>
      </c>
      <c r="M342" s="1">
        <f t="shared" si="11"/>
        <v>45929</v>
      </c>
      <c r="N342" t="s">
        <v>1641</v>
      </c>
      <c r="O342">
        <v>0</v>
      </c>
    </row>
    <row r="343" spans="1:15">
      <c r="A343" s="6" t="s">
        <v>14</v>
      </c>
      <c r="B343" t="s">
        <v>15</v>
      </c>
      <c r="C343" t="s">
        <v>686</v>
      </c>
      <c r="D343" t="s">
        <v>687</v>
      </c>
      <c r="E343" s="1">
        <v>45929</v>
      </c>
      <c r="F343">
        <v>1</v>
      </c>
      <c r="G343">
        <v>1488</v>
      </c>
      <c r="H343">
        <v>26555</v>
      </c>
      <c r="I343">
        <v>0</v>
      </c>
      <c r="J343">
        <f t="shared" si="10"/>
        <v>26555</v>
      </c>
      <c r="K343" t="s">
        <v>1640</v>
      </c>
      <c r="L343">
        <v>1488</v>
      </c>
      <c r="M343" s="1">
        <f t="shared" si="11"/>
        <v>45929</v>
      </c>
      <c r="N343" t="s">
        <v>1641</v>
      </c>
      <c r="O343">
        <v>0</v>
      </c>
    </row>
    <row r="344" spans="1:15">
      <c r="A344" s="6" t="s">
        <v>14</v>
      </c>
      <c r="B344" t="s">
        <v>15</v>
      </c>
      <c r="C344" t="s">
        <v>688</v>
      </c>
      <c r="D344" t="s">
        <v>689</v>
      </c>
      <c r="E344" s="1">
        <v>45929</v>
      </c>
      <c r="F344">
        <v>1</v>
      </c>
      <c r="G344">
        <v>1320</v>
      </c>
      <c r="H344">
        <v>88800</v>
      </c>
      <c r="I344">
        <v>0</v>
      </c>
      <c r="J344">
        <f t="shared" si="10"/>
        <v>88800</v>
      </c>
      <c r="K344" t="s">
        <v>1640</v>
      </c>
      <c r="L344">
        <v>1320</v>
      </c>
      <c r="M344" s="1">
        <f t="shared" si="11"/>
        <v>45929</v>
      </c>
      <c r="N344" t="s">
        <v>1641</v>
      </c>
      <c r="O344">
        <v>0</v>
      </c>
    </row>
    <row r="345" spans="1:15">
      <c r="A345" s="6" t="s">
        <v>14</v>
      </c>
      <c r="B345" t="s">
        <v>15</v>
      </c>
      <c r="C345" t="s">
        <v>690</v>
      </c>
      <c r="D345" t="s">
        <v>691</v>
      </c>
      <c r="E345" s="1">
        <v>45929</v>
      </c>
      <c r="F345">
        <v>1</v>
      </c>
      <c r="G345">
        <v>2640</v>
      </c>
      <c r="H345">
        <v>92468</v>
      </c>
      <c r="I345">
        <v>0</v>
      </c>
      <c r="J345">
        <f t="shared" si="10"/>
        <v>92468</v>
      </c>
      <c r="K345" t="s">
        <v>1640</v>
      </c>
      <c r="L345">
        <v>2640</v>
      </c>
      <c r="M345" s="1">
        <f t="shared" si="11"/>
        <v>45929</v>
      </c>
      <c r="N345" t="s">
        <v>1641</v>
      </c>
      <c r="O345">
        <v>0</v>
      </c>
    </row>
    <row r="346" spans="1:15">
      <c r="A346" s="6" t="s">
        <v>14</v>
      </c>
      <c r="B346" t="s">
        <v>15</v>
      </c>
      <c r="C346" t="s">
        <v>692</v>
      </c>
      <c r="D346" t="s">
        <v>693</v>
      </c>
      <c r="E346" s="1">
        <v>45929</v>
      </c>
      <c r="F346">
        <v>1</v>
      </c>
      <c r="G346">
        <v>675</v>
      </c>
      <c r="H346">
        <v>16502</v>
      </c>
      <c r="I346">
        <v>0</v>
      </c>
      <c r="J346">
        <f t="shared" si="10"/>
        <v>16502</v>
      </c>
      <c r="K346" t="s">
        <v>1640</v>
      </c>
      <c r="L346">
        <v>675</v>
      </c>
      <c r="M346" s="1">
        <f t="shared" si="11"/>
        <v>45929</v>
      </c>
      <c r="N346" t="s">
        <v>1641</v>
      </c>
      <c r="O346">
        <v>0</v>
      </c>
    </row>
    <row r="347" spans="1:15">
      <c r="A347" s="6" t="s">
        <v>14</v>
      </c>
      <c r="B347" t="s">
        <v>15</v>
      </c>
      <c r="C347" t="s">
        <v>694</v>
      </c>
      <c r="D347" t="s">
        <v>695</v>
      </c>
      <c r="E347" s="1">
        <v>45929</v>
      </c>
      <c r="F347">
        <v>1</v>
      </c>
      <c r="G347">
        <v>1320</v>
      </c>
      <c r="H347">
        <v>26600</v>
      </c>
      <c r="I347">
        <v>0</v>
      </c>
      <c r="J347">
        <f t="shared" si="10"/>
        <v>26600</v>
      </c>
      <c r="K347" t="s">
        <v>1640</v>
      </c>
      <c r="L347">
        <v>1320</v>
      </c>
      <c r="M347" s="1">
        <f t="shared" si="11"/>
        <v>45929</v>
      </c>
      <c r="N347" t="s">
        <v>1641</v>
      </c>
      <c r="O347">
        <v>0</v>
      </c>
    </row>
    <row r="348" spans="1:15">
      <c r="A348" s="6" t="s">
        <v>14</v>
      </c>
      <c r="B348" t="s">
        <v>15</v>
      </c>
      <c r="C348" t="s">
        <v>696</v>
      </c>
      <c r="D348" t="s">
        <v>697</v>
      </c>
      <c r="E348" s="1">
        <v>45929</v>
      </c>
      <c r="F348">
        <v>1</v>
      </c>
      <c r="G348">
        <v>1640</v>
      </c>
      <c r="H348">
        <v>94000</v>
      </c>
      <c r="I348">
        <v>0</v>
      </c>
      <c r="J348">
        <f t="shared" si="10"/>
        <v>94000</v>
      </c>
      <c r="K348" t="s">
        <v>1640</v>
      </c>
      <c r="L348">
        <v>1640</v>
      </c>
      <c r="M348" s="1">
        <f t="shared" si="11"/>
        <v>45929</v>
      </c>
      <c r="N348" t="s">
        <v>1641</v>
      </c>
      <c r="O348">
        <v>0</v>
      </c>
    </row>
    <row r="349" spans="1:15">
      <c r="A349" s="6" t="s">
        <v>14</v>
      </c>
      <c r="B349" t="s">
        <v>15</v>
      </c>
      <c r="C349" t="s">
        <v>698</v>
      </c>
      <c r="D349" t="s">
        <v>699</v>
      </c>
      <c r="E349" s="1">
        <v>45929</v>
      </c>
      <c r="F349">
        <v>1</v>
      </c>
      <c r="G349">
        <v>2400</v>
      </c>
      <c r="H349">
        <v>129825</v>
      </c>
      <c r="I349">
        <v>0</v>
      </c>
      <c r="J349">
        <f t="shared" si="10"/>
        <v>129825</v>
      </c>
      <c r="K349" t="s">
        <v>1640</v>
      </c>
      <c r="L349">
        <v>2400</v>
      </c>
      <c r="M349" s="1">
        <f t="shared" si="11"/>
        <v>45929</v>
      </c>
      <c r="N349" t="s">
        <v>1641</v>
      </c>
      <c r="O349">
        <v>0</v>
      </c>
    </row>
    <row r="350" spans="1:15">
      <c r="A350" s="6" t="s">
        <v>14</v>
      </c>
      <c r="B350" t="s">
        <v>15</v>
      </c>
      <c r="C350" t="s">
        <v>700</v>
      </c>
      <c r="D350" t="s">
        <v>701</v>
      </c>
      <c r="E350" s="1">
        <v>45929</v>
      </c>
      <c r="F350">
        <v>1</v>
      </c>
      <c r="G350">
        <v>1800</v>
      </c>
      <c r="H350">
        <v>115000</v>
      </c>
      <c r="I350">
        <v>0</v>
      </c>
      <c r="J350">
        <f t="shared" si="10"/>
        <v>115000</v>
      </c>
      <c r="K350" t="s">
        <v>1640</v>
      </c>
      <c r="L350">
        <v>1800</v>
      </c>
      <c r="M350" s="1">
        <f t="shared" si="11"/>
        <v>45929</v>
      </c>
      <c r="N350" t="s">
        <v>1641</v>
      </c>
      <c r="O350">
        <v>0</v>
      </c>
    </row>
    <row r="351" spans="1:15">
      <c r="A351" s="6" t="s">
        <v>14</v>
      </c>
      <c r="B351" t="s">
        <v>15</v>
      </c>
      <c r="C351" t="s">
        <v>702</v>
      </c>
      <c r="D351" t="s">
        <v>703</v>
      </c>
      <c r="E351" s="1">
        <v>45929</v>
      </c>
      <c r="F351">
        <v>1</v>
      </c>
      <c r="G351">
        <v>1780</v>
      </c>
      <c r="H351">
        <v>98800</v>
      </c>
      <c r="I351">
        <v>0</v>
      </c>
      <c r="J351">
        <f t="shared" si="10"/>
        <v>98800</v>
      </c>
      <c r="K351" t="s">
        <v>1640</v>
      </c>
      <c r="L351">
        <v>1780</v>
      </c>
      <c r="M351" s="1">
        <f t="shared" si="11"/>
        <v>45929</v>
      </c>
      <c r="N351" t="s">
        <v>1641</v>
      </c>
      <c r="O351">
        <v>0</v>
      </c>
    </row>
    <row r="352" spans="1:15">
      <c r="A352" s="6" t="s">
        <v>14</v>
      </c>
      <c r="B352" t="s">
        <v>15</v>
      </c>
      <c r="C352" t="s">
        <v>704</v>
      </c>
      <c r="D352" t="s">
        <v>705</v>
      </c>
      <c r="E352" s="1">
        <v>45929</v>
      </c>
      <c r="F352">
        <v>1</v>
      </c>
      <c r="G352">
        <v>1800</v>
      </c>
      <c r="H352">
        <v>76656</v>
      </c>
      <c r="I352">
        <v>0</v>
      </c>
      <c r="J352">
        <f t="shared" si="10"/>
        <v>76656</v>
      </c>
      <c r="K352" t="s">
        <v>1640</v>
      </c>
      <c r="L352">
        <v>1800</v>
      </c>
      <c r="M352" s="1">
        <f t="shared" si="11"/>
        <v>45929</v>
      </c>
      <c r="N352" t="s">
        <v>1641</v>
      </c>
      <c r="O352">
        <v>0</v>
      </c>
    </row>
    <row r="353" spans="1:15">
      <c r="A353" s="6" t="s">
        <v>14</v>
      </c>
      <c r="B353" t="s">
        <v>15</v>
      </c>
      <c r="C353" t="s">
        <v>706</v>
      </c>
      <c r="D353" t="s">
        <v>1654</v>
      </c>
      <c r="E353" s="1">
        <v>45929</v>
      </c>
      <c r="F353">
        <v>1</v>
      </c>
      <c r="G353">
        <v>1920</v>
      </c>
      <c r="H353">
        <v>82721</v>
      </c>
      <c r="I353">
        <v>0</v>
      </c>
      <c r="J353">
        <f t="shared" si="10"/>
        <v>82721</v>
      </c>
      <c r="K353" t="s">
        <v>1640</v>
      </c>
      <c r="L353">
        <v>1920</v>
      </c>
      <c r="M353" s="1">
        <f t="shared" si="11"/>
        <v>45929</v>
      </c>
      <c r="N353" t="s">
        <v>1641</v>
      </c>
      <c r="O353">
        <v>0</v>
      </c>
    </row>
    <row r="354" spans="1:15">
      <c r="A354" s="6" t="s">
        <v>14</v>
      </c>
      <c r="B354" t="s">
        <v>15</v>
      </c>
      <c r="C354" t="s">
        <v>707</v>
      </c>
      <c r="D354" t="s">
        <v>708</v>
      </c>
      <c r="E354" s="1">
        <v>45929</v>
      </c>
      <c r="F354">
        <v>1</v>
      </c>
      <c r="G354">
        <v>1720</v>
      </c>
      <c r="H354">
        <v>103822</v>
      </c>
      <c r="I354">
        <v>0</v>
      </c>
      <c r="J354">
        <f t="shared" si="10"/>
        <v>103822</v>
      </c>
      <c r="K354" t="s">
        <v>1640</v>
      </c>
      <c r="L354">
        <v>1720</v>
      </c>
      <c r="M354" s="1">
        <f t="shared" si="11"/>
        <v>45929</v>
      </c>
      <c r="N354" t="s">
        <v>1641</v>
      </c>
      <c r="O354">
        <v>0</v>
      </c>
    </row>
    <row r="355" spans="1:15">
      <c r="A355" s="6" t="s">
        <v>14</v>
      </c>
      <c r="B355" t="s">
        <v>15</v>
      </c>
      <c r="C355" t="s">
        <v>709</v>
      </c>
      <c r="D355" t="s">
        <v>710</v>
      </c>
      <c r="E355" s="1">
        <v>45929</v>
      </c>
      <c r="F355">
        <v>1</v>
      </c>
      <c r="G355">
        <v>2000</v>
      </c>
      <c r="H355">
        <v>134461</v>
      </c>
      <c r="I355">
        <v>0</v>
      </c>
      <c r="J355">
        <f t="shared" si="10"/>
        <v>134461</v>
      </c>
      <c r="K355" t="s">
        <v>1640</v>
      </c>
      <c r="L355">
        <v>2000</v>
      </c>
      <c r="M355" s="1">
        <f t="shared" si="11"/>
        <v>45929</v>
      </c>
      <c r="N355" t="s">
        <v>1641</v>
      </c>
      <c r="O355">
        <v>0</v>
      </c>
    </row>
    <row r="356" spans="1:15">
      <c r="A356" s="6" t="s">
        <v>14</v>
      </c>
      <c r="B356" t="s">
        <v>15</v>
      </c>
      <c r="C356" t="s">
        <v>711</v>
      </c>
      <c r="D356" t="s">
        <v>712</v>
      </c>
      <c r="E356" s="1">
        <v>45929</v>
      </c>
      <c r="F356">
        <v>1</v>
      </c>
      <c r="G356">
        <v>1860</v>
      </c>
      <c r="H356">
        <v>99877</v>
      </c>
      <c r="I356">
        <v>0</v>
      </c>
      <c r="J356">
        <f t="shared" si="10"/>
        <v>99877</v>
      </c>
      <c r="K356" t="s">
        <v>1640</v>
      </c>
      <c r="L356">
        <v>1860</v>
      </c>
      <c r="M356" s="1">
        <f t="shared" si="11"/>
        <v>45929</v>
      </c>
      <c r="N356" t="s">
        <v>1641</v>
      </c>
      <c r="O356">
        <v>0</v>
      </c>
    </row>
    <row r="357" spans="1:15">
      <c r="A357" s="6" t="s">
        <v>14</v>
      </c>
      <c r="B357" t="s">
        <v>15</v>
      </c>
      <c r="C357" t="s">
        <v>713</v>
      </c>
      <c r="D357" t="s">
        <v>714</v>
      </c>
      <c r="E357" s="1">
        <v>45929</v>
      </c>
      <c r="F357">
        <v>1</v>
      </c>
      <c r="G357">
        <v>2690</v>
      </c>
      <c r="H357">
        <v>105000</v>
      </c>
      <c r="I357">
        <v>0</v>
      </c>
      <c r="J357">
        <f t="shared" si="10"/>
        <v>105000</v>
      </c>
      <c r="K357" t="s">
        <v>1640</v>
      </c>
      <c r="L357">
        <v>2690</v>
      </c>
      <c r="M357" s="1">
        <f t="shared" si="11"/>
        <v>45929</v>
      </c>
      <c r="N357" t="s">
        <v>1641</v>
      </c>
      <c r="O357">
        <v>0</v>
      </c>
    </row>
    <row r="358" spans="1:15">
      <c r="A358" s="6" t="s">
        <v>14</v>
      </c>
      <c r="B358" t="s">
        <v>15</v>
      </c>
      <c r="C358" t="s">
        <v>715</v>
      </c>
      <c r="D358" t="s">
        <v>716</v>
      </c>
      <c r="E358" s="1">
        <v>45929</v>
      </c>
      <c r="F358">
        <v>1</v>
      </c>
      <c r="G358">
        <v>1850</v>
      </c>
      <c r="H358">
        <v>85000</v>
      </c>
      <c r="I358">
        <v>0</v>
      </c>
      <c r="J358">
        <f t="shared" si="10"/>
        <v>85000</v>
      </c>
      <c r="K358" t="s">
        <v>1640</v>
      </c>
      <c r="L358">
        <v>1850</v>
      </c>
      <c r="M358" s="1">
        <f t="shared" si="11"/>
        <v>45929</v>
      </c>
      <c r="N358" t="s">
        <v>1641</v>
      </c>
      <c r="O358">
        <v>0</v>
      </c>
    </row>
    <row r="359" spans="1:15">
      <c r="A359" s="6" t="s">
        <v>14</v>
      </c>
      <c r="B359" t="s">
        <v>15</v>
      </c>
      <c r="C359" t="s">
        <v>717</v>
      </c>
      <c r="D359" t="s">
        <v>718</v>
      </c>
      <c r="E359" s="1">
        <v>45929</v>
      </c>
      <c r="F359">
        <v>1</v>
      </c>
      <c r="G359">
        <v>2200</v>
      </c>
      <c r="H359">
        <v>142410</v>
      </c>
      <c r="I359">
        <v>0</v>
      </c>
      <c r="J359">
        <f t="shared" si="10"/>
        <v>142410</v>
      </c>
      <c r="K359" t="s">
        <v>1640</v>
      </c>
      <c r="L359">
        <v>2200</v>
      </c>
      <c r="M359" s="1">
        <f t="shared" si="11"/>
        <v>45929</v>
      </c>
      <c r="N359" t="s">
        <v>1641</v>
      </c>
      <c r="O359">
        <v>0</v>
      </c>
    </row>
    <row r="360" spans="1:15">
      <c r="A360" s="6" t="s">
        <v>14</v>
      </c>
      <c r="B360" t="s">
        <v>15</v>
      </c>
      <c r="C360" t="s">
        <v>719</v>
      </c>
      <c r="D360" t="s">
        <v>720</v>
      </c>
      <c r="E360" s="1">
        <v>45929</v>
      </c>
      <c r="F360">
        <v>1</v>
      </c>
      <c r="G360">
        <v>2050</v>
      </c>
      <c r="H360">
        <v>112151</v>
      </c>
      <c r="I360">
        <v>0</v>
      </c>
      <c r="J360">
        <f t="shared" si="10"/>
        <v>112151</v>
      </c>
      <c r="K360" t="s">
        <v>1640</v>
      </c>
      <c r="L360">
        <v>2050</v>
      </c>
      <c r="M360" s="1">
        <f t="shared" si="11"/>
        <v>45929</v>
      </c>
      <c r="N360" t="s">
        <v>1641</v>
      </c>
      <c r="O360">
        <v>0</v>
      </c>
    </row>
    <row r="361" spans="1:15">
      <c r="A361" s="6" t="s">
        <v>14</v>
      </c>
      <c r="B361" t="s">
        <v>15</v>
      </c>
      <c r="C361" t="s">
        <v>721</v>
      </c>
      <c r="D361" t="s">
        <v>722</v>
      </c>
      <c r="E361" s="1">
        <v>45929</v>
      </c>
      <c r="F361">
        <v>1</v>
      </c>
      <c r="G361">
        <v>3115</v>
      </c>
      <c r="H361">
        <v>122888</v>
      </c>
      <c r="I361">
        <v>0</v>
      </c>
      <c r="J361">
        <f t="shared" si="10"/>
        <v>122888</v>
      </c>
      <c r="K361" t="s">
        <v>1640</v>
      </c>
      <c r="L361">
        <v>3115</v>
      </c>
      <c r="M361" s="1">
        <f t="shared" si="11"/>
        <v>45929</v>
      </c>
      <c r="N361" t="s">
        <v>1641</v>
      </c>
      <c r="O361">
        <v>0</v>
      </c>
    </row>
    <row r="362" spans="1:15">
      <c r="A362" s="6" t="s">
        <v>14</v>
      </c>
      <c r="B362" t="s">
        <v>15</v>
      </c>
      <c r="C362" t="s">
        <v>723</v>
      </c>
      <c r="D362" t="s">
        <v>724</v>
      </c>
      <c r="E362" s="1">
        <v>45929</v>
      </c>
      <c r="F362">
        <v>1</v>
      </c>
      <c r="G362">
        <v>2265</v>
      </c>
      <c r="H362">
        <v>100000</v>
      </c>
      <c r="I362">
        <v>0</v>
      </c>
      <c r="J362">
        <f t="shared" si="10"/>
        <v>100000</v>
      </c>
      <c r="K362" t="s">
        <v>1640</v>
      </c>
      <c r="L362">
        <v>2265</v>
      </c>
      <c r="M362" s="1">
        <f t="shared" si="11"/>
        <v>45929</v>
      </c>
      <c r="N362" t="s">
        <v>1641</v>
      </c>
      <c r="O362">
        <v>0</v>
      </c>
    </row>
    <row r="363" spans="1:15">
      <c r="A363" s="6" t="s">
        <v>14</v>
      </c>
      <c r="B363" t="s">
        <v>15</v>
      </c>
      <c r="C363" t="s">
        <v>725</v>
      </c>
      <c r="D363" t="s">
        <v>726</v>
      </c>
      <c r="E363" s="1">
        <v>45929</v>
      </c>
      <c r="F363">
        <v>1</v>
      </c>
      <c r="G363">
        <v>2265</v>
      </c>
      <c r="H363">
        <v>100000</v>
      </c>
      <c r="I363">
        <v>0</v>
      </c>
      <c r="J363">
        <f t="shared" si="10"/>
        <v>100000</v>
      </c>
      <c r="K363" t="s">
        <v>1640</v>
      </c>
      <c r="L363">
        <v>2265</v>
      </c>
      <c r="M363" s="1">
        <f t="shared" si="11"/>
        <v>45929</v>
      </c>
      <c r="N363" t="s">
        <v>1641</v>
      </c>
      <c r="O363">
        <v>0</v>
      </c>
    </row>
    <row r="364" spans="1:15">
      <c r="A364" s="6" t="s">
        <v>14</v>
      </c>
      <c r="B364" t="s">
        <v>15</v>
      </c>
      <c r="C364" t="s">
        <v>727</v>
      </c>
      <c r="D364" t="s">
        <v>728</v>
      </c>
      <c r="E364" s="1">
        <v>45929</v>
      </c>
      <c r="F364">
        <v>1</v>
      </c>
      <c r="G364">
        <v>2080</v>
      </c>
      <c r="H364">
        <v>128253</v>
      </c>
      <c r="I364">
        <v>0</v>
      </c>
      <c r="J364">
        <f t="shared" si="10"/>
        <v>128253</v>
      </c>
      <c r="K364" t="s">
        <v>1640</v>
      </c>
      <c r="L364">
        <v>2080</v>
      </c>
      <c r="M364" s="1">
        <f t="shared" si="11"/>
        <v>45929</v>
      </c>
      <c r="N364" t="s">
        <v>1641</v>
      </c>
      <c r="O364">
        <v>0</v>
      </c>
    </row>
    <row r="365" spans="1:15">
      <c r="A365" s="6" t="s">
        <v>14</v>
      </c>
      <c r="B365" t="s">
        <v>15</v>
      </c>
      <c r="C365" t="s">
        <v>729</v>
      </c>
      <c r="D365" t="s">
        <v>730</v>
      </c>
      <c r="E365" s="1">
        <v>45929</v>
      </c>
      <c r="F365">
        <v>1</v>
      </c>
      <c r="G365">
        <v>2020</v>
      </c>
      <c r="H365">
        <v>90580</v>
      </c>
      <c r="I365">
        <v>0</v>
      </c>
      <c r="J365">
        <f t="shared" si="10"/>
        <v>90580</v>
      </c>
      <c r="K365" t="s">
        <v>1640</v>
      </c>
      <c r="L365">
        <v>2020</v>
      </c>
      <c r="M365" s="1">
        <f t="shared" si="11"/>
        <v>45929</v>
      </c>
      <c r="N365" t="s">
        <v>1641</v>
      </c>
      <c r="O365">
        <v>0</v>
      </c>
    </row>
    <row r="366" spans="1:15">
      <c r="A366" s="6" t="s">
        <v>14</v>
      </c>
      <c r="B366" t="s">
        <v>15</v>
      </c>
      <c r="C366" t="s">
        <v>731</v>
      </c>
      <c r="D366" t="s">
        <v>732</v>
      </c>
      <c r="E366" s="1">
        <v>45929</v>
      </c>
      <c r="F366">
        <v>1</v>
      </c>
      <c r="G366">
        <v>1750</v>
      </c>
      <c r="H366">
        <v>35714</v>
      </c>
      <c r="I366">
        <v>0</v>
      </c>
      <c r="J366">
        <f t="shared" si="10"/>
        <v>35714</v>
      </c>
      <c r="K366" t="s">
        <v>1640</v>
      </c>
      <c r="L366">
        <v>1750</v>
      </c>
      <c r="M366" s="1">
        <f t="shared" si="11"/>
        <v>45929</v>
      </c>
      <c r="N366" t="s">
        <v>1641</v>
      </c>
      <c r="O366">
        <v>0</v>
      </c>
    </row>
    <row r="367" spans="1:15">
      <c r="A367" s="6" t="s">
        <v>14</v>
      </c>
      <c r="B367" t="s">
        <v>15</v>
      </c>
      <c r="C367" t="s">
        <v>733</v>
      </c>
      <c r="D367" t="s">
        <v>734</v>
      </c>
      <c r="E367" s="1">
        <v>45929</v>
      </c>
      <c r="F367">
        <v>1</v>
      </c>
      <c r="G367">
        <v>2225</v>
      </c>
      <c r="H367">
        <v>100000</v>
      </c>
      <c r="I367">
        <v>0</v>
      </c>
      <c r="J367">
        <f t="shared" si="10"/>
        <v>100000</v>
      </c>
      <c r="K367" t="s">
        <v>1640</v>
      </c>
      <c r="L367">
        <v>2225</v>
      </c>
      <c r="M367" s="1">
        <f t="shared" si="11"/>
        <v>45929</v>
      </c>
      <c r="N367" t="s">
        <v>1641</v>
      </c>
      <c r="O367">
        <v>0</v>
      </c>
    </row>
    <row r="368" spans="1:15">
      <c r="A368" s="6" t="s">
        <v>14</v>
      </c>
      <c r="B368" t="s">
        <v>15</v>
      </c>
      <c r="C368" t="s">
        <v>735</v>
      </c>
      <c r="D368" t="s">
        <v>736</v>
      </c>
      <c r="E368" s="1">
        <v>45929</v>
      </c>
      <c r="F368">
        <v>1</v>
      </c>
      <c r="G368">
        <v>2225</v>
      </c>
      <c r="H368">
        <v>100000</v>
      </c>
      <c r="I368">
        <v>0</v>
      </c>
      <c r="J368">
        <f t="shared" si="10"/>
        <v>100000</v>
      </c>
      <c r="K368" t="s">
        <v>1640</v>
      </c>
      <c r="L368">
        <v>2225</v>
      </c>
      <c r="M368" s="1">
        <f t="shared" si="11"/>
        <v>45929</v>
      </c>
      <c r="N368" t="s">
        <v>1641</v>
      </c>
      <c r="O368">
        <v>0</v>
      </c>
    </row>
    <row r="369" spans="1:15">
      <c r="A369" s="6" t="s">
        <v>14</v>
      </c>
      <c r="B369" t="s">
        <v>15</v>
      </c>
      <c r="C369" t="s">
        <v>737</v>
      </c>
      <c r="D369" t="s">
        <v>738</v>
      </c>
      <c r="E369" s="1">
        <v>45929</v>
      </c>
      <c r="F369">
        <v>1</v>
      </c>
      <c r="G369">
        <v>1900</v>
      </c>
      <c r="H369">
        <v>78544</v>
      </c>
      <c r="I369">
        <v>0</v>
      </c>
      <c r="J369">
        <f t="shared" si="10"/>
        <v>78544</v>
      </c>
      <c r="K369" t="s">
        <v>1640</v>
      </c>
      <c r="L369">
        <v>1900</v>
      </c>
      <c r="M369" s="1">
        <f t="shared" si="11"/>
        <v>45929</v>
      </c>
      <c r="N369" t="s">
        <v>1641</v>
      </c>
      <c r="O369">
        <v>0</v>
      </c>
    </row>
    <row r="370" spans="1:15">
      <c r="A370" s="6" t="s">
        <v>14</v>
      </c>
      <c r="B370" t="s">
        <v>15</v>
      </c>
      <c r="C370" t="s">
        <v>739</v>
      </c>
      <c r="D370" t="s">
        <v>740</v>
      </c>
      <c r="E370" s="1">
        <v>45929</v>
      </c>
      <c r="F370">
        <v>1</v>
      </c>
      <c r="G370">
        <v>2845</v>
      </c>
      <c r="H370">
        <v>149690</v>
      </c>
      <c r="I370">
        <v>0</v>
      </c>
      <c r="J370">
        <f t="shared" si="10"/>
        <v>149690</v>
      </c>
      <c r="K370" t="s">
        <v>1640</v>
      </c>
      <c r="L370">
        <v>2845</v>
      </c>
      <c r="M370" s="1">
        <f t="shared" si="11"/>
        <v>45929</v>
      </c>
      <c r="N370" t="s">
        <v>1641</v>
      </c>
      <c r="O370">
        <v>0</v>
      </c>
    </row>
    <row r="371" spans="1:15">
      <c r="A371" s="6" t="s">
        <v>14</v>
      </c>
      <c r="B371" t="s">
        <v>15</v>
      </c>
      <c r="C371" t="s">
        <v>741</v>
      </c>
      <c r="D371" t="s">
        <v>742</v>
      </c>
      <c r="E371" s="1">
        <v>45929</v>
      </c>
      <c r="F371">
        <v>1</v>
      </c>
      <c r="G371">
        <v>1780</v>
      </c>
      <c r="H371">
        <v>86000</v>
      </c>
      <c r="I371">
        <v>0</v>
      </c>
      <c r="J371">
        <f t="shared" si="10"/>
        <v>86000</v>
      </c>
      <c r="K371" t="s">
        <v>1640</v>
      </c>
      <c r="L371">
        <v>1780</v>
      </c>
      <c r="M371" s="1">
        <f t="shared" si="11"/>
        <v>45929</v>
      </c>
      <c r="N371" t="s">
        <v>1641</v>
      </c>
      <c r="O371">
        <v>0</v>
      </c>
    </row>
    <row r="372" spans="1:15">
      <c r="A372" s="6" t="s">
        <v>14</v>
      </c>
      <c r="B372" t="s">
        <v>15</v>
      </c>
      <c r="C372" t="s">
        <v>743</v>
      </c>
      <c r="D372" t="s">
        <v>744</v>
      </c>
      <c r="E372" s="1">
        <v>45929</v>
      </c>
      <c r="F372">
        <v>1</v>
      </c>
      <c r="G372">
        <v>1335</v>
      </c>
      <c r="H372">
        <v>45000</v>
      </c>
      <c r="I372">
        <v>0</v>
      </c>
      <c r="J372">
        <f t="shared" si="10"/>
        <v>45000</v>
      </c>
      <c r="K372" t="s">
        <v>1640</v>
      </c>
      <c r="L372">
        <v>1335</v>
      </c>
      <c r="M372" s="1">
        <f t="shared" si="11"/>
        <v>45929</v>
      </c>
      <c r="N372" t="s">
        <v>1641</v>
      </c>
      <c r="O372">
        <v>0</v>
      </c>
    </row>
    <row r="373" spans="1:15">
      <c r="A373" s="6" t="s">
        <v>14</v>
      </c>
      <c r="B373" t="s">
        <v>15</v>
      </c>
      <c r="C373" t="s">
        <v>745</v>
      </c>
      <c r="D373" t="s">
        <v>746</v>
      </c>
      <c r="E373" s="1">
        <v>45929</v>
      </c>
      <c r="F373">
        <v>1</v>
      </c>
      <c r="G373">
        <v>1600</v>
      </c>
      <c r="H373">
        <v>83500</v>
      </c>
      <c r="I373">
        <v>0</v>
      </c>
      <c r="J373">
        <f t="shared" si="10"/>
        <v>83500</v>
      </c>
      <c r="K373" t="s">
        <v>1640</v>
      </c>
      <c r="L373">
        <v>1600</v>
      </c>
      <c r="M373" s="1">
        <f t="shared" si="11"/>
        <v>45929</v>
      </c>
      <c r="N373" t="s">
        <v>1641</v>
      </c>
      <c r="O373">
        <v>0</v>
      </c>
    </row>
    <row r="374" spans="1:15">
      <c r="A374" s="6" t="s">
        <v>14</v>
      </c>
      <c r="B374" t="s">
        <v>15</v>
      </c>
      <c r="C374" t="s">
        <v>747</v>
      </c>
      <c r="D374" t="s">
        <v>748</v>
      </c>
      <c r="E374" s="1">
        <v>45929</v>
      </c>
      <c r="F374">
        <v>1</v>
      </c>
      <c r="G374">
        <v>1875</v>
      </c>
      <c r="H374">
        <v>75000</v>
      </c>
      <c r="I374">
        <v>0</v>
      </c>
      <c r="J374">
        <f t="shared" si="10"/>
        <v>75000</v>
      </c>
      <c r="K374" t="s">
        <v>1640</v>
      </c>
      <c r="L374">
        <v>1875</v>
      </c>
      <c r="M374" s="1">
        <f t="shared" si="11"/>
        <v>45929</v>
      </c>
      <c r="N374" t="s">
        <v>1641</v>
      </c>
      <c r="O374">
        <v>0</v>
      </c>
    </row>
    <row r="375" spans="1:15">
      <c r="A375" s="6" t="s">
        <v>14</v>
      </c>
      <c r="B375" t="s">
        <v>15</v>
      </c>
      <c r="C375" t="s">
        <v>749</v>
      </c>
      <c r="D375" t="s">
        <v>750</v>
      </c>
      <c r="E375" s="1">
        <v>45929</v>
      </c>
      <c r="F375">
        <v>1</v>
      </c>
      <c r="G375">
        <v>1890</v>
      </c>
      <c r="H375">
        <v>81657</v>
      </c>
      <c r="I375">
        <v>0</v>
      </c>
      <c r="J375">
        <f t="shared" si="10"/>
        <v>81657</v>
      </c>
      <c r="K375" t="s">
        <v>1640</v>
      </c>
      <c r="L375">
        <v>1890</v>
      </c>
      <c r="M375" s="1">
        <f t="shared" si="11"/>
        <v>45929</v>
      </c>
      <c r="N375" t="s">
        <v>1641</v>
      </c>
      <c r="O375">
        <v>0</v>
      </c>
    </row>
    <row r="376" spans="1:15">
      <c r="A376" s="6" t="s">
        <v>14</v>
      </c>
      <c r="B376" t="s">
        <v>15</v>
      </c>
      <c r="C376" t="s">
        <v>751</v>
      </c>
      <c r="D376" t="s">
        <v>752</v>
      </c>
      <c r="E376" s="1">
        <v>45929</v>
      </c>
      <c r="F376">
        <v>1</v>
      </c>
      <c r="G376">
        <v>1900</v>
      </c>
      <c r="H376">
        <v>95000</v>
      </c>
      <c r="I376">
        <v>0</v>
      </c>
      <c r="J376">
        <f t="shared" si="10"/>
        <v>95000</v>
      </c>
      <c r="K376" t="s">
        <v>1640</v>
      </c>
      <c r="L376">
        <v>1900</v>
      </c>
      <c r="M376" s="1">
        <f t="shared" si="11"/>
        <v>45929</v>
      </c>
      <c r="N376" t="s">
        <v>1641</v>
      </c>
      <c r="O376">
        <v>0</v>
      </c>
    </row>
    <row r="377" spans="1:15">
      <c r="A377" s="6" t="s">
        <v>14</v>
      </c>
      <c r="B377" t="s">
        <v>15</v>
      </c>
      <c r="C377" t="s">
        <v>753</v>
      </c>
      <c r="D377" t="s">
        <v>754</v>
      </c>
      <c r="E377" s="1">
        <v>45929</v>
      </c>
      <c r="F377">
        <v>1</v>
      </c>
      <c r="G377">
        <v>4400</v>
      </c>
      <c r="H377">
        <v>212390</v>
      </c>
      <c r="I377">
        <v>0</v>
      </c>
      <c r="J377">
        <f t="shared" si="10"/>
        <v>212390</v>
      </c>
      <c r="K377" t="s">
        <v>1640</v>
      </c>
      <c r="L377">
        <v>4400</v>
      </c>
      <c r="M377" s="1">
        <f t="shared" si="11"/>
        <v>45929</v>
      </c>
      <c r="N377" t="s">
        <v>1641</v>
      </c>
      <c r="O377">
        <v>0</v>
      </c>
    </row>
    <row r="378" spans="1:15">
      <c r="A378" s="6" t="s">
        <v>14</v>
      </c>
      <c r="B378" t="s">
        <v>15</v>
      </c>
      <c r="C378" t="s">
        <v>755</v>
      </c>
      <c r="D378" t="s">
        <v>756</v>
      </c>
      <c r="E378" s="1">
        <v>45929</v>
      </c>
      <c r="F378">
        <v>1</v>
      </c>
      <c r="G378">
        <v>2170</v>
      </c>
      <c r="H378">
        <v>129820</v>
      </c>
      <c r="I378">
        <v>0</v>
      </c>
      <c r="J378">
        <f t="shared" si="10"/>
        <v>129820</v>
      </c>
      <c r="K378" t="s">
        <v>1640</v>
      </c>
      <c r="L378">
        <v>2170</v>
      </c>
      <c r="M378" s="1">
        <f t="shared" si="11"/>
        <v>45929</v>
      </c>
      <c r="N378" t="s">
        <v>1641</v>
      </c>
      <c r="O378">
        <v>0</v>
      </c>
    </row>
    <row r="379" spans="1:15">
      <c r="A379" s="6" t="s">
        <v>14</v>
      </c>
      <c r="B379" t="s">
        <v>15</v>
      </c>
      <c r="C379" t="s">
        <v>757</v>
      </c>
      <c r="D379" t="s">
        <v>758</v>
      </c>
      <c r="E379" s="1">
        <v>45929</v>
      </c>
      <c r="F379">
        <v>1</v>
      </c>
      <c r="G379">
        <v>2500</v>
      </c>
      <c r="H379">
        <v>143403</v>
      </c>
      <c r="I379">
        <v>0</v>
      </c>
      <c r="J379">
        <f t="shared" si="10"/>
        <v>143403</v>
      </c>
      <c r="K379" t="s">
        <v>1640</v>
      </c>
      <c r="L379">
        <v>2500</v>
      </c>
      <c r="M379" s="1">
        <f t="shared" si="11"/>
        <v>45929</v>
      </c>
      <c r="N379" t="s">
        <v>1641</v>
      </c>
      <c r="O379">
        <v>0</v>
      </c>
    </row>
    <row r="380" spans="1:15">
      <c r="A380" s="6" t="s">
        <v>14</v>
      </c>
      <c r="B380" t="s">
        <v>15</v>
      </c>
      <c r="C380" t="s">
        <v>759</v>
      </c>
      <c r="D380" t="s">
        <v>760</v>
      </c>
      <c r="E380" s="1">
        <v>45929</v>
      </c>
      <c r="F380">
        <v>1</v>
      </c>
      <c r="G380">
        <v>3075</v>
      </c>
      <c r="H380">
        <v>89698</v>
      </c>
      <c r="I380">
        <v>0</v>
      </c>
      <c r="J380">
        <f t="shared" si="10"/>
        <v>89698</v>
      </c>
      <c r="K380" t="s">
        <v>1640</v>
      </c>
      <c r="L380">
        <v>3075</v>
      </c>
      <c r="M380" s="1">
        <f t="shared" si="11"/>
        <v>45929</v>
      </c>
      <c r="N380" t="s">
        <v>1641</v>
      </c>
      <c r="O380">
        <v>0</v>
      </c>
    </row>
    <row r="381" spans="1:15">
      <c r="A381" s="6" t="s">
        <v>14</v>
      </c>
      <c r="B381" t="s">
        <v>15</v>
      </c>
      <c r="C381" t="s">
        <v>761</v>
      </c>
      <c r="D381" t="s">
        <v>762</v>
      </c>
      <c r="E381" s="1">
        <v>45929</v>
      </c>
      <c r="F381">
        <v>1</v>
      </c>
      <c r="G381">
        <v>2000</v>
      </c>
      <c r="H381">
        <v>105700</v>
      </c>
      <c r="I381">
        <v>0</v>
      </c>
      <c r="J381">
        <f t="shared" si="10"/>
        <v>105700</v>
      </c>
      <c r="K381" t="s">
        <v>1640</v>
      </c>
      <c r="L381">
        <v>2000</v>
      </c>
      <c r="M381" s="1">
        <f t="shared" si="11"/>
        <v>45929</v>
      </c>
      <c r="N381" t="s">
        <v>1641</v>
      </c>
      <c r="O381">
        <v>0</v>
      </c>
    </row>
    <row r="382" spans="1:15">
      <c r="A382" s="6" t="s">
        <v>14</v>
      </c>
      <c r="B382" t="s">
        <v>15</v>
      </c>
      <c r="C382" t="s">
        <v>763</v>
      </c>
      <c r="D382" t="s">
        <v>764</v>
      </c>
      <c r="E382" s="1">
        <v>45929</v>
      </c>
      <c r="F382">
        <v>1</v>
      </c>
      <c r="G382">
        <v>2160</v>
      </c>
      <c r="H382">
        <v>103000</v>
      </c>
      <c r="I382">
        <v>0</v>
      </c>
      <c r="J382">
        <f t="shared" si="10"/>
        <v>103000</v>
      </c>
      <c r="K382" t="s">
        <v>1640</v>
      </c>
      <c r="L382">
        <v>2160</v>
      </c>
      <c r="M382" s="1">
        <f t="shared" si="11"/>
        <v>45929</v>
      </c>
      <c r="N382" t="s">
        <v>1641</v>
      </c>
      <c r="O382">
        <v>0</v>
      </c>
    </row>
    <row r="383" spans="1:15">
      <c r="A383" s="6" t="s">
        <v>14</v>
      </c>
      <c r="B383" t="s">
        <v>15</v>
      </c>
      <c r="C383" t="s">
        <v>765</v>
      </c>
      <c r="D383" t="s">
        <v>766</v>
      </c>
      <c r="E383" s="1">
        <v>45929</v>
      </c>
      <c r="F383">
        <v>1</v>
      </c>
      <c r="G383">
        <v>2640</v>
      </c>
      <c r="H383">
        <v>118145</v>
      </c>
      <c r="I383">
        <v>0</v>
      </c>
      <c r="J383">
        <f t="shared" si="10"/>
        <v>118145</v>
      </c>
      <c r="K383" t="s">
        <v>1640</v>
      </c>
      <c r="L383">
        <v>2640</v>
      </c>
      <c r="M383" s="1">
        <f t="shared" si="11"/>
        <v>45929</v>
      </c>
      <c r="N383" t="s">
        <v>1641</v>
      </c>
      <c r="O383">
        <v>0</v>
      </c>
    </row>
    <row r="384" spans="1:15">
      <c r="A384" s="6" t="s">
        <v>14</v>
      </c>
      <c r="B384" t="s">
        <v>15</v>
      </c>
      <c r="C384" t="s">
        <v>767</v>
      </c>
      <c r="D384" t="s">
        <v>768</v>
      </c>
      <c r="E384" s="1">
        <v>45929</v>
      </c>
      <c r="F384">
        <v>1</v>
      </c>
      <c r="G384">
        <v>2080</v>
      </c>
      <c r="H384">
        <v>138000</v>
      </c>
      <c r="I384">
        <v>0</v>
      </c>
      <c r="J384">
        <f t="shared" si="10"/>
        <v>138000</v>
      </c>
      <c r="K384" t="s">
        <v>1640</v>
      </c>
      <c r="L384">
        <v>2080</v>
      </c>
      <c r="M384" s="1">
        <f t="shared" si="11"/>
        <v>45929</v>
      </c>
      <c r="N384" t="s">
        <v>1641</v>
      </c>
      <c r="O384">
        <v>0</v>
      </c>
    </row>
    <row r="385" spans="1:15">
      <c r="A385" s="6" t="s">
        <v>14</v>
      </c>
      <c r="B385" t="s">
        <v>15</v>
      </c>
      <c r="C385" t="s">
        <v>769</v>
      </c>
      <c r="D385" t="s">
        <v>770</v>
      </c>
      <c r="E385" s="1">
        <v>45929</v>
      </c>
      <c r="F385">
        <v>1</v>
      </c>
      <c r="G385">
        <v>1570</v>
      </c>
      <c r="H385">
        <v>100900</v>
      </c>
      <c r="I385">
        <v>0</v>
      </c>
      <c r="J385">
        <f t="shared" si="10"/>
        <v>100900</v>
      </c>
      <c r="K385" t="s">
        <v>1640</v>
      </c>
      <c r="L385">
        <v>1570</v>
      </c>
      <c r="M385" s="1">
        <f t="shared" si="11"/>
        <v>45929</v>
      </c>
      <c r="N385" t="s">
        <v>1641</v>
      </c>
      <c r="O385">
        <v>0</v>
      </c>
    </row>
    <row r="386" spans="1:15">
      <c r="A386" s="6" t="s">
        <v>14</v>
      </c>
      <c r="B386" t="s">
        <v>15</v>
      </c>
      <c r="C386" t="s">
        <v>771</v>
      </c>
      <c r="D386" t="s">
        <v>772</v>
      </c>
      <c r="E386" s="1">
        <v>45929</v>
      </c>
      <c r="F386">
        <v>1</v>
      </c>
      <c r="G386">
        <v>3000</v>
      </c>
      <c r="H386">
        <v>158407</v>
      </c>
      <c r="I386">
        <v>0</v>
      </c>
      <c r="J386">
        <f t="shared" si="10"/>
        <v>158407</v>
      </c>
      <c r="K386" t="s">
        <v>1640</v>
      </c>
      <c r="L386">
        <v>3000</v>
      </c>
      <c r="M386" s="1">
        <f t="shared" si="11"/>
        <v>45929</v>
      </c>
      <c r="N386" t="s">
        <v>1641</v>
      </c>
      <c r="O386">
        <v>0</v>
      </c>
    </row>
    <row r="387" spans="1:15">
      <c r="A387" s="6" t="s">
        <v>14</v>
      </c>
      <c r="B387" t="s">
        <v>15</v>
      </c>
      <c r="C387" t="s">
        <v>773</v>
      </c>
      <c r="D387" t="s">
        <v>1655</v>
      </c>
      <c r="E387" s="1">
        <v>45929</v>
      </c>
      <c r="F387">
        <v>1</v>
      </c>
      <c r="G387">
        <v>1290</v>
      </c>
      <c r="H387">
        <v>22711</v>
      </c>
      <c r="I387">
        <v>0</v>
      </c>
      <c r="J387">
        <f t="shared" ref="J387:J450" si="12">H387-I387</f>
        <v>22711</v>
      </c>
      <c r="K387" t="s">
        <v>1640</v>
      </c>
      <c r="L387">
        <v>1290</v>
      </c>
      <c r="M387" s="1">
        <f t="shared" ref="M387:M450" si="13">E387</f>
        <v>45929</v>
      </c>
      <c r="N387" t="s">
        <v>1641</v>
      </c>
      <c r="O387">
        <v>0</v>
      </c>
    </row>
    <row r="388" spans="1:15">
      <c r="A388" s="6" t="s">
        <v>14</v>
      </c>
      <c r="B388" t="s">
        <v>15</v>
      </c>
      <c r="C388" t="s">
        <v>774</v>
      </c>
      <c r="D388" t="s">
        <v>775</v>
      </c>
      <c r="E388" s="1">
        <v>45929</v>
      </c>
      <c r="F388">
        <v>1</v>
      </c>
      <c r="G388">
        <v>1530</v>
      </c>
      <c r="H388">
        <v>77000</v>
      </c>
      <c r="I388">
        <v>0</v>
      </c>
      <c r="J388">
        <f t="shared" si="12"/>
        <v>77000</v>
      </c>
      <c r="K388" t="s">
        <v>1640</v>
      </c>
      <c r="L388">
        <v>1530</v>
      </c>
      <c r="M388" s="1">
        <f t="shared" si="13"/>
        <v>45929</v>
      </c>
      <c r="N388" t="s">
        <v>1641</v>
      </c>
      <c r="O388">
        <v>0</v>
      </c>
    </row>
    <row r="389" spans="1:15">
      <c r="A389" s="6" t="s">
        <v>14</v>
      </c>
      <c r="B389" t="s">
        <v>15</v>
      </c>
      <c r="C389" t="s">
        <v>776</v>
      </c>
      <c r="D389" t="s">
        <v>777</v>
      </c>
      <c r="E389" s="1">
        <v>45929</v>
      </c>
      <c r="F389">
        <v>1</v>
      </c>
      <c r="G389">
        <v>2314</v>
      </c>
      <c r="H389">
        <v>125989</v>
      </c>
      <c r="I389">
        <v>0</v>
      </c>
      <c r="J389">
        <f t="shared" si="12"/>
        <v>125989</v>
      </c>
      <c r="K389" t="s">
        <v>1640</v>
      </c>
      <c r="L389">
        <v>2314</v>
      </c>
      <c r="M389" s="1">
        <f t="shared" si="13"/>
        <v>45929</v>
      </c>
      <c r="N389" t="s">
        <v>1641</v>
      </c>
      <c r="O389">
        <v>0</v>
      </c>
    </row>
    <row r="390" spans="1:15">
      <c r="A390" s="6" t="s">
        <v>14</v>
      </c>
      <c r="B390" t="s">
        <v>15</v>
      </c>
      <c r="C390" t="s">
        <v>778</v>
      </c>
      <c r="D390" t="s">
        <v>779</v>
      </c>
      <c r="E390" s="1">
        <v>45929</v>
      </c>
      <c r="F390">
        <v>1</v>
      </c>
      <c r="G390">
        <v>1014</v>
      </c>
      <c r="H390">
        <v>17949</v>
      </c>
      <c r="I390">
        <v>0</v>
      </c>
      <c r="J390">
        <f t="shared" si="12"/>
        <v>17949</v>
      </c>
      <c r="K390" t="s">
        <v>1640</v>
      </c>
      <c r="L390">
        <v>1014</v>
      </c>
      <c r="M390" s="1">
        <f t="shared" si="13"/>
        <v>45929</v>
      </c>
      <c r="N390" t="s">
        <v>1641</v>
      </c>
      <c r="O390">
        <v>0</v>
      </c>
    </row>
    <row r="391" spans="1:15">
      <c r="A391" s="6" t="s">
        <v>14</v>
      </c>
      <c r="B391" t="s">
        <v>15</v>
      </c>
      <c r="C391" t="s">
        <v>780</v>
      </c>
      <c r="D391" t="s">
        <v>781</v>
      </c>
      <c r="E391" s="1">
        <v>45929</v>
      </c>
      <c r="F391">
        <v>1</v>
      </c>
      <c r="G391">
        <v>2100</v>
      </c>
      <c r="H391">
        <v>106935</v>
      </c>
      <c r="I391">
        <v>0</v>
      </c>
      <c r="J391">
        <f t="shared" si="12"/>
        <v>106935</v>
      </c>
      <c r="K391" t="s">
        <v>1640</v>
      </c>
      <c r="L391">
        <v>2100</v>
      </c>
      <c r="M391" s="1">
        <f t="shared" si="13"/>
        <v>45929</v>
      </c>
      <c r="N391" t="s">
        <v>1641</v>
      </c>
      <c r="O391">
        <v>0</v>
      </c>
    </row>
    <row r="392" spans="1:15">
      <c r="A392" s="6" t="s">
        <v>14</v>
      </c>
      <c r="B392" t="s">
        <v>15</v>
      </c>
      <c r="C392" t="s">
        <v>782</v>
      </c>
      <c r="D392" t="s">
        <v>783</v>
      </c>
      <c r="E392" s="1">
        <v>45929</v>
      </c>
      <c r="F392">
        <v>1</v>
      </c>
      <c r="G392">
        <v>2000</v>
      </c>
      <c r="H392">
        <v>81000</v>
      </c>
      <c r="I392">
        <v>0</v>
      </c>
      <c r="J392">
        <f t="shared" si="12"/>
        <v>81000</v>
      </c>
      <c r="K392" t="s">
        <v>1640</v>
      </c>
      <c r="L392">
        <v>2000</v>
      </c>
      <c r="M392" s="1">
        <f t="shared" si="13"/>
        <v>45929</v>
      </c>
      <c r="N392" t="s">
        <v>1641</v>
      </c>
      <c r="O392">
        <v>0</v>
      </c>
    </row>
    <row r="393" spans="1:15">
      <c r="A393" s="6" t="s">
        <v>14</v>
      </c>
      <c r="B393" t="s">
        <v>15</v>
      </c>
      <c r="C393" t="s">
        <v>784</v>
      </c>
      <c r="D393" t="s">
        <v>785</v>
      </c>
      <c r="E393" s="1">
        <v>45929</v>
      </c>
      <c r="F393">
        <v>1</v>
      </c>
      <c r="G393">
        <v>2680</v>
      </c>
      <c r="H393">
        <v>123000</v>
      </c>
      <c r="I393">
        <v>0</v>
      </c>
      <c r="J393">
        <f t="shared" si="12"/>
        <v>123000</v>
      </c>
      <c r="K393" t="s">
        <v>1640</v>
      </c>
      <c r="L393">
        <v>2680</v>
      </c>
      <c r="M393" s="1">
        <f t="shared" si="13"/>
        <v>45929</v>
      </c>
      <c r="N393" t="s">
        <v>1641</v>
      </c>
      <c r="O393">
        <v>0</v>
      </c>
    </row>
    <row r="394" spans="1:15">
      <c r="A394" s="6" t="s">
        <v>14</v>
      </c>
      <c r="B394" t="s">
        <v>15</v>
      </c>
      <c r="C394" t="s">
        <v>786</v>
      </c>
      <c r="D394" t="s">
        <v>787</v>
      </c>
      <c r="E394" s="1">
        <v>45929</v>
      </c>
      <c r="F394">
        <v>1</v>
      </c>
      <c r="G394">
        <v>1800</v>
      </c>
      <c r="H394">
        <v>85000</v>
      </c>
      <c r="I394">
        <v>0</v>
      </c>
      <c r="J394">
        <f t="shared" si="12"/>
        <v>85000</v>
      </c>
      <c r="K394" t="s">
        <v>1640</v>
      </c>
      <c r="L394">
        <v>1800</v>
      </c>
      <c r="M394" s="1">
        <f t="shared" si="13"/>
        <v>45929</v>
      </c>
      <c r="N394" t="s">
        <v>1641</v>
      </c>
      <c r="O394">
        <v>0</v>
      </c>
    </row>
    <row r="395" spans="1:15">
      <c r="A395" s="6" t="s">
        <v>14</v>
      </c>
      <c r="B395" t="s">
        <v>15</v>
      </c>
      <c r="C395" t="s">
        <v>788</v>
      </c>
      <c r="D395" t="s">
        <v>789</v>
      </c>
      <c r="E395" s="1">
        <v>45929</v>
      </c>
      <c r="F395">
        <v>1</v>
      </c>
      <c r="G395">
        <v>1770</v>
      </c>
      <c r="H395">
        <v>87928</v>
      </c>
      <c r="I395">
        <v>0</v>
      </c>
      <c r="J395">
        <f t="shared" si="12"/>
        <v>87928</v>
      </c>
      <c r="K395" t="s">
        <v>1640</v>
      </c>
      <c r="L395">
        <v>1770</v>
      </c>
      <c r="M395" s="1">
        <f t="shared" si="13"/>
        <v>45929</v>
      </c>
      <c r="N395" t="s">
        <v>1641</v>
      </c>
      <c r="O395">
        <v>0</v>
      </c>
    </row>
    <row r="396" spans="1:15">
      <c r="A396" s="6" t="s">
        <v>14</v>
      </c>
      <c r="B396" t="s">
        <v>15</v>
      </c>
      <c r="C396" t="s">
        <v>790</v>
      </c>
      <c r="D396" t="s">
        <v>791</v>
      </c>
      <c r="E396" s="1">
        <v>45929</v>
      </c>
      <c r="F396">
        <v>1</v>
      </c>
      <c r="G396">
        <v>2400</v>
      </c>
      <c r="H396">
        <v>115818</v>
      </c>
      <c r="I396">
        <v>0</v>
      </c>
      <c r="J396">
        <f t="shared" si="12"/>
        <v>115818</v>
      </c>
      <c r="K396" t="s">
        <v>1640</v>
      </c>
      <c r="L396">
        <v>2400</v>
      </c>
      <c r="M396" s="1">
        <f t="shared" si="13"/>
        <v>45929</v>
      </c>
      <c r="N396" t="s">
        <v>1641</v>
      </c>
      <c r="O396">
        <v>0</v>
      </c>
    </row>
    <row r="397" spans="1:15">
      <c r="A397" s="6" t="s">
        <v>14</v>
      </c>
      <c r="B397" t="s">
        <v>15</v>
      </c>
      <c r="C397" t="s">
        <v>792</v>
      </c>
      <c r="D397" t="s">
        <v>793</v>
      </c>
      <c r="E397" s="1">
        <v>45929</v>
      </c>
      <c r="F397">
        <v>1</v>
      </c>
      <c r="G397">
        <v>2800</v>
      </c>
      <c r="H397">
        <v>137000</v>
      </c>
      <c r="I397">
        <v>0</v>
      </c>
      <c r="J397">
        <f t="shared" si="12"/>
        <v>137000</v>
      </c>
      <c r="K397" t="s">
        <v>1640</v>
      </c>
      <c r="L397">
        <v>2800</v>
      </c>
      <c r="M397" s="1">
        <f t="shared" si="13"/>
        <v>45929</v>
      </c>
      <c r="N397" t="s">
        <v>1641</v>
      </c>
      <c r="O397">
        <v>0</v>
      </c>
    </row>
    <row r="398" spans="1:15">
      <c r="A398" s="6" t="s">
        <v>14</v>
      </c>
      <c r="B398" t="s">
        <v>15</v>
      </c>
      <c r="C398" t="s">
        <v>794</v>
      </c>
      <c r="D398" t="s">
        <v>795</v>
      </c>
      <c r="E398" s="1">
        <v>45929</v>
      </c>
      <c r="F398">
        <v>1</v>
      </c>
      <c r="G398">
        <v>1780</v>
      </c>
      <c r="H398">
        <v>86288</v>
      </c>
      <c r="I398">
        <v>0</v>
      </c>
      <c r="J398">
        <f t="shared" si="12"/>
        <v>86288</v>
      </c>
      <c r="K398" t="s">
        <v>1640</v>
      </c>
      <c r="L398">
        <v>1780</v>
      </c>
      <c r="M398" s="1">
        <f t="shared" si="13"/>
        <v>45929</v>
      </c>
      <c r="N398" t="s">
        <v>1641</v>
      </c>
      <c r="O398">
        <v>0</v>
      </c>
    </row>
    <row r="399" spans="1:15">
      <c r="A399" s="6" t="s">
        <v>14</v>
      </c>
      <c r="B399" t="s">
        <v>15</v>
      </c>
      <c r="C399" t="s">
        <v>796</v>
      </c>
      <c r="D399" t="s">
        <v>797</v>
      </c>
      <c r="E399" s="1">
        <v>45929</v>
      </c>
      <c r="F399">
        <v>1</v>
      </c>
      <c r="G399">
        <v>2180</v>
      </c>
      <c r="H399">
        <v>80000</v>
      </c>
      <c r="I399">
        <v>0</v>
      </c>
      <c r="J399">
        <f t="shared" si="12"/>
        <v>80000</v>
      </c>
      <c r="K399" t="s">
        <v>1640</v>
      </c>
      <c r="L399">
        <v>2180</v>
      </c>
      <c r="M399" s="1">
        <f t="shared" si="13"/>
        <v>45929</v>
      </c>
      <c r="N399" t="s">
        <v>1641</v>
      </c>
      <c r="O399">
        <v>0</v>
      </c>
    </row>
    <row r="400" spans="1:15">
      <c r="A400" s="6" t="s">
        <v>14</v>
      </c>
      <c r="B400" t="s">
        <v>15</v>
      </c>
      <c r="C400" t="s">
        <v>798</v>
      </c>
      <c r="D400" t="s">
        <v>799</v>
      </c>
      <c r="E400" s="1">
        <v>45929</v>
      </c>
      <c r="F400">
        <v>1</v>
      </c>
      <c r="G400">
        <v>2205</v>
      </c>
      <c r="H400">
        <v>36744</v>
      </c>
      <c r="I400">
        <v>0</v>
      </c>
      <c r="J400">
        <f t="shared" si="12"/>
        <v>36744</v>
      </c>
      <c r="K400" t="s">
        <v>1640</v>
      </c>
      <c r="L400">
        <v>2205</v>
      </c>
      <c r="M400" s="1">
        <f t="shared" si="13"/>
        <v>45929</v>
      </c>
      <c r="N400" t="s">
        <v>1641</v>
      </c>
      <c r="O400">
        <v>0</v>
      </c>
    </row>
    <row r="401" spans="1:15">
      <c r="A401" s="6" t="s">
        <v>14</v>
      </c>
      <c r="B401" t="s">
        <v>15</v>
      </c>
      <c r="C401" t="s">
        <v>800</v>
      </c>
      <c r="D401" t="s">
        <v>801</v>
      </c>
      <c r="E401" s="1">
        <v>45929</v>
      </c>
      <c r="F401">
        <v>1</v>
      </c>
      <c r="G401">
        <v>2500</v>
      </c>
      <c r="H401">
        <v>115000</v>
      </c>
      <c r="I401">
        <v>0</v>
      </c>
      <c r="J401">
        <f t="shared" si="12"/>
        <v>115000</v>
      </c>
      <c r="K401" t="s">
        <v>1640</v>
      </c>
      <c r="L401">
        <v>2500</v>
      </c>
      <c r="M401" s="1">
        <f t="shared" si="13"/>
        <v>45929</v>
      </c>
      <c r="N401" t="s">
        <v>1641</v>
      </c>
      <c r="O401">
        <v>0</v>
      </c>
    </row>
    <row r="402" spans="1:15">
      <c r="A402" s="6" t="s">
        <v>14</v>
      </c>
      <c r="B402" t="s">
        <v>15</v>
      </c>
      <c r="C402" t="s">
        <v>802</v>
      </c>
      <c r="D402" t="s">
        <v>803</v>
      </c>
      <c r="E402" s="1">
        <v>45929</v>
      </c>
      <c r="F402">
        <v>1</v>
      </c>
      <c r="G402">
        <v>2570</v>
      </c>
      <c r="H402">
        <v>100146</v>
      </c>
      <c r="I402">
        <v>0</v>
      </c>
      <c r="J402">
        <f t="shared" si="12"/>
        <v>100146</v>
      </c>
      <c r="K402" t="s">
        <v>1640</v>
      </c>
      <c r="L402">
        <v>2570</v>
      </c>
      <c r="M402" s="1">
        <f t="shared" si="13"/>
        <v>45929</v>
      </c>
      <c r="N402" t="s">
        <v>1641</v>
      </c>
      <c r="O402">
        <v>0</v>
      </c>
    </row>
    <row r="403" spans="1:15">
      <c r="A403" s="6" t="s">
        <v>14</v>
      </c>
      <c r="B403" t="s">
        <v>15</v>
      </c>
      <c r="C403" t="s">
        <v>804</v>
      </c>
      <c r="D403" t="s">
        <v>805</v>
      </c>
      <c r="E403" s="1">
        <v>45929</v>
      </c>
      <c r="F403">
        <v>1</v>
      </c>
      <c r="G403">
        <v>1840</v>
      </c>
      <c r="H403">
        <v>88000</v>
      </c>
      <c r="I403">
        <v>0</v>
      </c>
      <c r="J403">
        <f t="shared" si="12"/>
        <v>88000</v>
      </c>
      <c r="K403" t="s">
        <v>1640</v>
      </c>
      <c r="L403">
        <v>1840</v>
      </c>
      <c r="M403" s="1">
        <f t="shared" si="13"/>
        <v>45929</v>
      </c>
      <c r="N403" t="s">
        <v>1641</v>
      </c>
      <c r="O403">
        <v>0</v>
      </c>
    </row>
    <row r="404" spans="1:15">
      <c r="A404" s="6" t="s">
        <v>14</v>
      </c>
      <c r="B404" t="s">
        <v>15</v>
      </c>
      <c r="C404" t="s">
        <v>806</v>
      </c>
      <c r="D404" t="s">
        <v>807</v>
      </c>
      <c r="E404" s="1">
        <v>45929</v>
      </c>
      <c r="F404">
        <v>1</v>
      </c>
      <c r="G404">
        <v>2000</v>
      </c>
      <c r="H404">
        <v>70000</v>
      </c>
      <c r="I404">
        <v>0</v>
      </c>
      <c r="J404">
        <f t="shared" si="12"/>
        <v>70000</v>
      </c>
      <c r="K404" t="s">
        <v>1640</v>
      </c>
      <c r="L404">
        <v>2000</v>
      </c>
      <c r="M404" s="1">
        <f t="shared" si="13"/>
        <v>45929</v>
      </c>
      <c r="N404" t="s">
        <v>1641</v>
      </c>
      <c r="O404">
        <v>0</v>
      </c>
    </row>
    <row r="405" spans="1:15">
      <c r="A405" s="6" t="s">
        <v>14</v>
      </c>
      <c r="B405" t="s">
        <v>15</v>
      </c>
      <c r="C405" t="s">
        <v>808</v>
      </c>
      <c r="D405" t="s">
        <v>809</v>
      </c>
      <c r="E405" s="1">
        <v>45929</v>
      </c>
      <c r="F405">
        <v>1</v>
      </c>
      <c r="G405">
        <v>1680</v>
      </c>
      <c r="H405">
        <v>84000</v>
      </c>
      <c r="I405">
        <v>0</v>
      </c>
      <c r="J405">
        <f t="shared" si="12"/>
        <v>84000</v>
      </c>
      <c r="K405" t="s">
        <v>1640</v>
      </c>
      <c r="L405">
        <v>1680</v>
      </c>
      <c r="M405" s="1">
        <f t="shared" si="13"/>
        <v>45929</v>
      </c>
      <c r="N405" t="s">
        <v>1641</v>
      </c>
      <c r="O405">
        <v>0</v>
      </c>
    </row>
    <row r="406" spans="1:15">
      <c r="A406" s="6" t="s">
        <v>14</v>
      </c>
      <c r="B406" t="s">
        <v>15</v>
      </c>
      <c r="C406" t="s">
        <v>810</v>
      </c>
      <c r="D406" t="s">
        <v>811</v>
      </c>
      <c r="E406" s="1">
        <v>45929</v>
      </c>
      <c r="F406">
        <v>1</v>
      </c>
      <c r="G406">
        <v>2380</v>
      </c>
      <c r="H406">
        <v>128888</v>
      </c>
      <c r="I406">
        <v>0</v>
      </c>
      <c r="J406">
        <f t="shared" si="12"/>
        <v>128888</v>
      </c>
      <c r="K406" t="s">
        <v>1640</v>
      </c>
      <c r="L406">
        <v>2380</v>
      </c>
      <c r="M406" s="1">
        <f t="shared" si="13"/>
        <v>45929</v>
      </c>
      <c r="N406" t="s">
        <v>1641</v>
      </c>
      <c r="O406">
        <v>0</v>
      </c>
    </row>
    <row r="407" spans="1:15">
      <c r="A407" s="6" t="s">
        <v>14</v>
      </c>
      <c r="B407" t="s">
        <v>15</v>
      </c>
      <c r="C407" t="s">
        <v>812</v>
      </c>
      <c r="D407" t="s">
        <v>813</v>
      </c>
      <c r="E407" s="1">
        <v>45929</v>
      </c>
      <c r="F407">
        <v>1</v>
      </c>
      <c r="G407">
        <v>1760</v>
      </c>
      <c r="H407">
        <v>98000</v>
      </c>
      <c r="I407">
        <v>0</v>
      </c>
      <c r="J407">
        <f t="shared" si="12"/>
        <v>98000</v>
      </c>
      <c r="K407" t="s">
        <v>1640</v>
      </c>
      <c r="L407">
        <v>1760</v>
      </c>
      <c r="M407" s="1">
        <f t="shared" si="13"/>
        <v>45929</v>
      </c>
      <c r="N407" t="s">
        <v>1641</v>
      </c>
      <c r="O407">
        <v>0</v>
      </c>
    </row>
    <row r="408" spans="1:15">
      <c r="A408" s="6" t="s">
        <v>14</v>
      </c>
      <c r="B408" t="s">
        <v>15</v>
      </c>
      <c r="C408" t="s">
        <v>814</v>
      </c>
      <c r="D408" t="s">
        <v>815</v>
      </c>
      <c r="E408" s="1">
        <v>45929</v>
      </c>
      <c r="F408">
        <v>1</v>
      </c>
      <c r="G408">
        <v>1520</v>
      </c>
      <c r="H408">
        <v>27939</v>
      </c>
      <c r="I408">
        <v>0</v>
      </c>
      <c r="J408">
        <f t="shared" si="12"/>
        <v>27939</v>
      </c>
      <c r="K408" t="s">
        <v>1640</v>
      </c>
      <c r="L408">
        <v>1520</v>
      </c>
      <c r="M408" s="1">
        <f t="shared" si="13"/>
        <v>45929</v>
      </c>
      <c r="N408" t="s">
        <v>1641</v>
      </c>
      <c r="O408">
        <v>0</v>
      </c>
    </row>
    <row r="409" spans="1:15">
      <c r="A409" s="6" t="s">
        <v>14</v>
      </c>
      <c r="B409" t="s">
        <v>15</v>
      </c>
      <c r="C409" t="s">
        <v>816</v>
      </c>
      <c r="D409" t="s">
        <v>817</v>
      </c>
      <c r="E409" s="1">
        <v>45929</v>
      </c>
      <c r="F409">
        <v>1</v>
      </c>
      <c r="G409">
        <v>1890</v>
      </c>
      <c r="H409">
        <v>39074</v>
      </c>
      <c r="I409">
        <v>0</v>
      </c>
      <c r="J409">
        <f t="shared" si="12"/>
        <v>39074</v>
      </c>
      <c r="K409" t="s">
        <v>1640</v>
      </c>
      <c r="L409">
        <v>1890</v>
      </c>
      <c r="M409" s="1">
        <f t="shared" si="13"/>
        <v>45929</v>
      </c>
      <c r="N409" t="s">
        <v>1641</v>
      </c>
      <c r="O409">
        <v>0</v>
      </c>
    </row>
    <row r="410" spans="1:15">
      <c r="A410" s="6" t="s">
        <v>14</v>
      </c>
      <c r="B410" t="s">
        <v>15</v>
      </c>
      <c r="C410" t="s">
        <v>818</v>
      </c>
      <c r="D410" t="s">
        <v>819</v>
      </c>
      <c r="E410" s="1">
        <v>45929</v>
      </c>
      <c r="F410">
        <v>1</v>
      </c>
      <c r="G410">
        <v>1189</v>
      </c>
      <c r="H410">
        <v>21735</v>
      </c>
      <c r="I410">
        <v>0</v>
      </c>
      <c r="J410">
        <f t="shared" si="12"/>
        <v>21735</v>
      </c>
      <c r="K410" t="s">
        <v>1640</v>
      </c>
      <c r="L410">
        <v>1189</v>
      </c>
      <c r="M410" s="1">
        <f t="shared" si="13"/>
        <v>45929</v>
      </c>
      <c r="N410" t="s">
        <v>1641</v>
      </c>
      <c r="O410">
        <v>0</v>
      </c>
    </row>
    <row r="411" spans="1:15">
      <c r="A411" s="6" t="s">
        <v>14</v>
      </c>
      <c r="B411" t="s">
        <v>15</v>
      </c>
      <c r="C411" t="s">
        <v>820</v>
      </c>
      <c r="D411" t="s">
        <v>821</v>
      </c>
      <c r="E411" s="1">
        <v>45929</v>
      </c>
      <c r="F411">
        <v>1</v>
      </c>
      <c r="G411">
        <v>1920</v>
      </c>
      <c r="H411">
        <v>34750</v>
      </c>
      <c r="I411">
        <v>0</v>
      </c>
      <c r="J411">
        <f t="shared" si="12"/>
        <v>34750</v>
      </c>
      <c r="K411" t="s">
        <v>1640</v>
      </c>
      <c r="L411">
        <v>1920</v>
      </c>
      <c r="M411" s="1">
        <f t="shared" si="13"/>
        <v>45929</v>
      </c>
      <c r="N411" t="s">
        <v>1641</v>
      </c>
      <c r="O411">
        <v>0</v>
      </c>
    </row>
    <row r="412" spans="1:15">
      <c r="A412" s="6" t="s">
        <v>14</v>
      </c>
      <c r="B412" t="s">
        <v>15</v>
      </c>
      <c r="C412" t="s">
        <v>822</v>
      </c>
      <c r="D412" t="s">
        <v>823</v>
      </c>
      <c r="E412" s="1">
        <v>45929</v>
      </c>
      <c r="F412">
        <v>1</v>
      </c>
      <c r="G412">
        <v>1520</v>
      </c>
      <c r="H412">
        <v>77000</v>
      </c>
      <c r="I412">
        <v>0</v>
      </c>
      <c r="J412">
        <f t="shared" si="12"/>
        <v>77000</v>
      </c>
      <c r="K412" t="s">
        <v>1640</v>
      </c>
      <c r="L412">
        <v>1520</v>
      </c>
      <c r="M412" s="1">
        <f t="shared" si="13"/>
        <v>45929</v>
      </c>
      <c r="N412" t="s">
        <v>1641</v>
      </c>
      <c r="O412">
        <v>0</v>
      </c>
    </row>
    <row r="413" spans="1:15">
      <c r="A413" s="6" t="s">
        <v>14</v>
      </c>
      <c r="B413" t="s">
        <v>15</v>
      </c>
      <c r="C413" t="s">
        <v>824</v>
      </c>
      <c r="D413" t="s">
        <v>825</v>
      </c>
      <c r="E413" s="1">
        <v>45929</v>
      </c>
      <c r="F413">
        <v>1</v>
      </c>
      <c r="G413">
        <v>1810</v>
      </c>
      <c r="H413">
        <v>75265</v>
      </c>
      <c r="I413">
        <v>0</v>
      </c>
      <c r="J413">
        <f t="shared" si="12"/>
        <v>75265</v>
      </c>
      <c r="K413" t="s">
        <v>1640</v>
      </c>
      <c r="L413">
        <v>1810</v>
      </c>
      <c r="M413" s="1">
        <f t="shared" si="13"/>
        <v>45929</v>
      </c>
      <c r="N413" t="s">
        <v>1641</v>
      </c>
      <c r="O413">
        <v>0</v>
      </c>
    </row>
    <row r="414" spans="1:15">
      <c r="A414" s="6" t="s">
        <v>14</v>
      </c>
      <c r="B414" t="s">
        <v>15</v>
      </c>
      <c r="C414" t="s">
        <v>16</v>
      </c>
      <c r="D414" t="s">
        <v>17</v>
      </c>
      <c r="E414" s="1">
        <v>45929</v>
      </c>
      <c r="F414">
        <v>2</v>
      </c>
      <c r="G414">
        <v>0</v>
      </c>
      <c r="H414">
        <v>97419</v>
      </c>
      <c r="I414">
        <v>0</v>
      </c>
      <c r="J414">
        <f t="shared" si="12"/>
        <v>97419</v>
      </c>
      <c r="K414" t="s">
        <v>1640</v>
      </c>
      <c r="L414">
        <v>0</v>
      </c>
      <c r="M414" s="1">
        <f t="shared" si="13"/>
        <v>45929</v>
      </c>
      <c r="N414" t="s">
        <v>1641</v>
      </c>
      <c r="O414">
        <v>0</v>
      </c>
    </row>
    <row r="415" spans="1:15">
      <c r="A415" s="6" t="s">
        <v>14</v>
      </c>
      <c r="B415" t="s">
        <v>15</v>
      </c>
      <c r="C415" t="s">
        <v>18</v>
      </c>
      <c r="D415" t="s">
        <v>19</v>
      </c>
      <c r="E415" s="1">
        <v>45929</v>
      </c>
      <c r="F415">
        <v>2</v>
      </c>
      <c r="G415">
        <v>1211.33</v>
      </c>
      <c r="H415">
        <v>49162</v>
      </c>
      <c r="I415">
        <v>0</v>
      </c>
      <c r="J415">
        <f t="shared" si="12"/>
        <v>49162</v>
      </c>
      <c r="K415" t="s">
        <v>1640</v>
      </c>
      <c r="L415">
        <v>1211.33</v>
      </c>
      <c r="M415" s="1">
        <f t="shared" si="13"/>
        <v>45929</v>
      </c>
      <c r="N415" t="s">
        <v>1641</v>
      </c>
      <c r="O415">
        <v>0</v>
      </c>
    </row>
    <row r="416" spans="1:15">
      <c r="A416" s="6" t="s">
        <v>14</v>
      </c>
      <c r="B416" t="s">
        <v>15</v>
      </c>
      <c r="C416" t="s">
        <v>20</v>
      </c>
      <c r="D416" t="s">
        <v>21</v>
      </c>
      <c r="E416" s="1">
        <v>45929</v>
      </c>
      <c r="F416">
        <v>2</v>
      </c>
      <c r="G416">
        <v>0</v>
      </c>
      <c r="H416">
        <v>94060</v>
      </c>
      <c r="I416">
        <v>0</v>
      </c>
      <c r="J416">
        <f t="shared" si="12"/>
        <v>94060</v>
      </c>
      <c r="K416" t="s">
        <v>1640</v>
      </c>
      <c r="L416">
        <v>0</v>
      </c>
      <c r="M416" s="1">
        <f t="shared" si="13"/>
        <v>45929</v>
      </c>
      <c r="N416" t="s">
        <v>1641</v>
      </c>
      <c r="O416">
        <v>0</v>
      </c>
    </row>
    <row r="417" spans="1:15">
      <c r="A417" s="6" t="s">
        <v>14</v>
      </c>
      <c r="B417" t="s">
        <v>15</v>
      </c>
      <c r="C417" t="s">
        <v>22</v>
      </c>
      <c r="D417" t="s">
        <v>23</v>
      </c>
      <c r="E417" s="1">
        <v>45929</v>
      </c>
      <c r="F417">
        <v>2</v>
      </c>
      <c r="G417">
        <v>2420</v>
      </c>
      <c r="H417">
        <v>50000</v>
      </c>
      <c r="I417">
        <v>0</v>
      </c>
      <c r="J417">
        <f t="shared" si="12"/>
        <v>50000</v>
      </c>
      <c r="K417" t="s">
        <v>1640</v>
      </c>
      <c r="L417">
        <v>2420</v>
      </c>
      <c r="M417" s="1">
        <f t="shared" si="13"/>
        <v>45929</v>
      </c>
      <c r="N417" t="s">
        <v>1641</v>
      </c>
      <c r="O417">
        <v>0</v>
      </c>
    </row>
    <row r="418" spans="1:15">
      <c r="A418" s="6" t="s">
        <v>14</v>
      </c>
      <c r="B418" t="s">
        <v>15</v>
      </c>
      <c r="C418" t="s">
        <v>24</v>
      </c>
      <c r="D418" t="s">
        <v>25</v>
      </c>
      <c r="E418" s="1">
        <v>45929</v>
      </c>
      <c r="F418">
        <v>2</v>
      </c>
      <c r="G418">
        <v>0</v>
      </c>
      <c r="H418">
        <v>92990</v>
      </c>
      <c r="I418">
        <v>0</v>
      </c>
      <c r="J418">
        <f t="shared" si="12"/>
        <v>92990</v>
      </c>
      <c r="K418" t="s">
        <v>1640</v>
      </c>
      <c r="L418">
        <v>0</v>
      </c>
      <c r="M418" s="1">
        <f t="shared" si="13"/>
        <v>45929</v>
      </c>
      <c r="N418" t="s">
        <v>1641</v>
      </c>
      <c r="O418">
        <v>0</v>
      </c>
    </row>
    <row r="419" spans="1:15">
      <c r="A419" s="6" t="s">
        <v>14</v>
      </c>
      <c r="B419" t="s">
        <v>15</v>
      </c>
      <c r="C419" t="s">
        <v>26</v>
      </c>
      <c r="D419" t="s">
        <v>27</v>
      </c>
      <c r="E419" s="1">
        <v>45929</v>
      </c>
      <c r="F419">
        <v>2</v>
      </c>
      <c r="G419">
        <v>0</v>
      </c>
      <c r="H419">
        <v>61372</v>
      </c>
      <c r="I419">
        <v>0</v>
      </c>
      <c r="J419">
        <f t="shared" si="12"/>
        <v>61372</v>
      </c>
      <c r="K419" t="s">
        <v>1640</v>
      </c>
      <c r="L419">
        <v>0</v>
      </c>
      <c r="M419" s="1">
        <f t="shared" si="13"/>
        <v>45929</v>
      </c>
      <c r="N419" t="s">
        <v>1641</v>
      </c>
      <c r="O419">
        <v>0</v>
      </c>
    </row>
    <row r="420" spans="1:15">
      <c r="A420" s="6" t="s">
        <v>14</v>
      </c>
      <c r="B420" t="s">
        <v>15</v>
      </c>
      <c r="C420" t="s">
        <v>30</v>
      </c>
      <c r="D420" t="s">
        <v>31</v>
      </c>
      <c r="E420" s="1">
        <v>45929</v>
      </c>
      <c r="F420">
        <v>2</v>
      </c>
      <c r="G420">
        <v>2835</v>
      </c>
      <c r="H420">
        <v>84000</v>
      </c>
      <c r="I420">
        <v>0</v>
      </c>
      <c r="J420">
        <f t="shared" si="12"/>
        <v>84000</v>
      </c>
      <c r="K420" t="s">
        <v>1640</v>
      </c>
      <c r="L420">
        <v>2835</v>
      </c>
      <c r="M420" s="1">
        <f t="shared" si="13"/>
        <v>45929</v>
      </c>
      <c r="N420" t="s">
        <v>1641</v>
      </c>
      <c r="O420">
        <v>0</v>
      </c>
    </row>
    <row r="421" spans="1:15">
      <c r="A421" s="6" t="s">
        <v>14</v>
      </c>
      <c r="B421" t="s">
        <v>15</v>
      </c>
      <c r="C421" t="s">
        <v>34</v>
      </c>
      <c r="D421" t="s">
        <v>35</v>
      </c>
      <c r="E421" s="1">
        <v>45929</v>
      </c>
      <c r="F421">
        <v>2</v>
      </c>
      <c r="G421">
        <v>3709.8</v>
      </c>
      <c r="H421">
        <v>109806</v>
      </c>
      <c r="I421">
        <v>0</v>
      </c>
      <c r="J421">
        <f t="shared" si="12"/>
        <v>109806</v>
      </c>
      <c r="K421" t="s">
        <v>1640</v>
      </c>
      <c r="L421">
        <v>3709.8</v>
      </c>
      <c r="M421" s="1">
        <f t="shared" si="13"/>
        <v>45929</v>
      </c>
      <c r="N421" t="s">
        <v>1641</v>
      </c>
      <c r="O421">
        <v>0</v>
      </c>
    </row>
    <row r="422" spans="1:15">
      <c r="A422" s="6" t="s">
        <v>14</v>
      </c>
      <c r="B422" t="s">
        <v>15</v>
      </c>
      <c r="C422" t="s">
        <v>38</v>
      </c>
      <c r="D422" t="s">
        <v>39</v>
      </c>
      <c r="E422" s="1">
        <v>45929</v>
      </c>
      <c r="F422">
        <v>2</v>
      </c>
      <c r="G422">
        <v>1840</v>
      </c>
      <c r="H422">
        <v>55000</v>
      </c>
      <c r="I422">
        <v>0</v>
      </c>
      <c r="J422">
        <f t="shared" si="12"/>
        <v>55000</v>
      </c>
      <c r="K422" t="s">
        <v>1640</v>
      </c>
      <c r="L422">
        <v>1840</v>
      </c>
      <c r="M422" s="1">
        <f t="shared" si="13"/>
        <v>45929</v>
      </c>
      <c r="N422" t="s">
        <v>1641</v>
      </c>
      <c r="O422">
        <v>0</v>
      </c>
    </row>
    <row r="423" spans="1:15">
      <c r="A423" s="6" t="s">
        <v>14</v>
      </c>
      <c r="B423" t="s">
        <v>15</v>
      </c>
      <c r="C423" t="s">
        <v>40</v>
      </c>
      <c r="D423" t="s">
        <v>41</v>
      </c>
      <c r="E423" s="1">
        <v>45929</v>
      </c>
      <c r="F423">
        <v>2</v>
      </c>
      <c r="G423">
        <v>1840</v>
      </c>
      <c r="H423">
        <v>55000</v>
      </c>
      <c r="I423">
        <v>0</v>
      </c>
      <c r="J423">
        <f t="shared" si="12"/>
        <v>55000</v>
      </c>
      <c r="K423" t="s">
        <v>1640</v>
      </c>
      <c r="L423">
        <v>1840</v>
      </c>
      <c r="M423" s="1">
        <f t="shared" si="13"/>
        <v>45929</v>
      </c>
      <c r="N423" t="s">
        <v>1641</v>
      </c>
      <c r="O423">
        <v>0</v>
      </c>
    </row>
    <row r="424" spans="1:15">
      <c r="A424" s="6" t="s">
        <v>14</v>
      </c>
      <c r="B424" t="s">
        <v>15</v>
      </c>
      <c r="C424" t="s">
        <v>42</v>
      </c>
      <c r="D424" t="s">
        <v>43</v>
      </c>
      <c r="E424" s="1">
        <v>45929</v>
      </c>
      <c r="F424">
        <v>2</v>
      </c>
      <c r="G424">
        <v>2000</v>
      </c>
      <c r="H424">
        <v>55000</v>
      </c>
      <c r="I424">
        <v>0</v>
      </c>
      <c r="J424">
        <f t="shared" si="12"/>
        <v>55000</v>
      </c>
      <c r="K424" t="s">
        <v>1640</v>
      </c>
      <c r="L424">
        <v>2000</v>
      </c>
      <c r="M424" s="1">
        <f t="shared" si="13"/>
        <v>45929</v>
      </c>
      <c r="N424" t="s">
        <v>1641</v>
      </c>
      <c r="O424">
        <v>0</v>
      </c>
    </row>
    <row r="425" spans="1:15">
      <c r="A425" s="6" t="s">
        <v>14</v>
      </c>
      <c r="B425" t="s">
        <v>15</v>
      </c>
      <c r="C425" t="s">
        <v>44</v>
      </c>
      <c r="D425" t="s">
        <v>45</v>
      </c>
      <c r="E425" s="1">
        <v>45929</v>
      </c>
      <c r="F425">
        <v>2</v>
      </c>
      <c r="G425">
        <v>1456</v>
      </c>
      <c r="H425">
        <v>43600</v>
      </c>
      <c r="I425">
        <v>0</v>
      </c>
      <c r="J425">
        <f t="shared" si="12"/>
        <v>43600</v>
      </c>
      <c r="K425" t="s">
        <v>1640</v>
      </c>
      <c r="L425">
        <v>1456</v>
      </c>
      <c r="M425" s="1">
        <f t="shared" si="13"/>
        <v>45929</v>
      </c>
      <c r="N425" t="s">
        <v>1641</v>
      </c>
      <c r="O425">
        <v>0</v>
      </c>
    </row>
    <row r="426" spans="1:15">
      <c r="A426" s="6" t="s">
        <v>14</v>
      </c>
      <c r="B426" t="s">
        <v>15</v>
      </c>
      <c r="C426" t="s">
        <v>46</v>
      </c>
      <c r="D426" t="s">
        <v>47</v>
      </c>
      <c r="E426" s="1">
        <v>45929</v>
      </c>
      <c r="F426">
        <v>2</v>
      </c>
      <c r="G426">
        <v>1334</v>
      </c>
      <c r="H426">
        <v>39593</v>
      </c>
      <c r="I426">
        <v>0</v>
      </c>
      <c r="J426">
        <f t="shared" si="12"/>
        <v>39593</v>
      </c>
      <c r="K426" t="s">
        <v>1640</v>
      </c>
      <c r="L426">
        <v>1334</v>
      </c>
      <c r="M426" s="1">
        <f t="shared" si="13"/>
        <v>45929</v>
      </c>
      <c r="N426" t="s">
        <v>1641</v>
      </c>
      <c r="O426">
        <v>0</v>
      </c>
    </row>
    <row r="427" spans="1:15">
      <c r="A427" s="6" t="s">
        <v>14</v>
      </c>
      <c r="B427" t="s">
        <v>15</v>
      </c>
      <c r="C427" t="s">
        <v>50</v>
      </c>
      <c r="D427" t="s">
        <v>1642</v>
      </c>
      <c r="E427" s="1">
        <v>45929</v>
      </c>
      <c r="F427">
        <v>2</v>
      </c>
      <c r="G427">
        <v>4853.33</v>
      </c>
      <c r="H427">
        <v>98000</v>
      </c>
      <c r="I427">
        <v>0</v>
      </c>
      <c r="J427">
        <f t="shared" si="12"/>
        <v>98000</v>
      </c>
      <c r="K427" t="s">
        <v>1640</v>
      </c>
      <c r="L427">
        <v>4853.33</v>
      </c>
      <c r="M427" s="1">
        <f t="shared" si="13"/>
        <v>45929</v>
      </c>
      <c r="N427" t="s">
        <v>1641</v>
      </c>
      <c r="O427">
        <v>0</v>
      </c>
    </row>
    <row r="428" spans="1:15">
      <c r="A428" s="6" t="s">
        <v>14</v>
      </c>
      <c r="B428" t="s">
        <v>15</v>
      </c>
      <c r="C428" t="s">
        <v>53</v>
      </c>
      <c r="D428" t="s">
        <v>54</v>
      </c>
      <c r="E428" s="1">
        <v>45929</v>
      </c>
      <c r="F428">
        <v>2</v>
      </c>
      <c r="G428">
        <v>3471</v>
      </c>
      <c r="H428">
        <v>103759</v>
      </c>
      <c r="I428">
        <v>0</v>
      </c>
      <c r="J428">
        <f t="shared" si="12"/>
        <v>103759</v>
      </c>
      <c r="K428" t="s">
        <v>1640</v>
      </c>
      <c r="L428">
        <v>3471</v>
      </c>
      <c r="M428" s="1">
        <f t="shared" si="13"/>
        <v>45929</v>
      </c>
      <c r="N428" t="s">
        <v>1641</v>
      </c>
      <c r="O428">
        <v>0</v>
      </c>
    </row>
    <row r="429" spans="1:15">
      <c r="A429" s="6" t="s">
        <v>14</v>
      </c>
      <c r="B429" t="s">
        <v>15</v>
      </c>
      <c r="C429" t="s">
        <v>55</v>
      </c>
      <c r="D429" t="s">
        <v>56</v>
      </c>
      <c r="E429" s="1">
        <v>45929</v>
      </c>
      <c r="F429">
        <v>2</v>
      </c>
      <c r="G429">
        <v>3045</v>
      </c>
      <c r="H429">
        <v>90955</v>
      </c>
      <c r="I429">
        <v>0</v>
      </c>
      <c r="J429">
        <f t="shared" si="12"/>
        <v>90955</v>
      </c>
      <c r="K429" t="s">
        <v>1640</v>
      </c>
      <c r="L429">
        <v>3045</v>
      </c>
      <c r="M429" s="1">
        <f t="shared" si="13"/>
        <v>45929</v>
      </c>
      <c r="N429" t="s">
        <v>1641</v>
      </c>
      <c r="O429">
        <v>0</v>
      </c>
    </row>
    <row r="430" spans="1:15">
      <c r="A430" s="6" t="s">
        <v>14</v>
      </c>
      <c r="B430" t="s">
        <v>15</v>
      </c>
      <c r="C430" t="s">
        <v>57</v>
      </c>
      <c r="D430" t="s">
        <v>58</v>
      </c>
      <c r="E430" s="1">
        <v>45929</v>
      </c>
      <c r="F430">
        <v>2</v>
      </c>
      <c r="G430">
        <v>5400</v>
      </c>
      <c r="H430">
        <v>160000</v>
      </c>
      <c r="I430">
        <v>0</v>
      </c>
      <c r="J430">
        <f t="shared" si="12"/>
        <v>160000</v>
      </c>
      <c r="K430" t="s">
        <v>1640</v>
      </c>
      <c r="L430">
        <v>5400</v>
      </c>
      <c r="M430" s="1">
        <f t="shared" si="13"/>
        <v>45929</v>
      </c>
      <c r="N430" t="s">
        <v>1641</v>
      </c>
      <c r="O430">
        <v>0</v>
      </c>
    </row>
    <row r="431" spans="1:15">
      <c r="A431" s="6" t="s">
        <v>14</v>
      </c>
      <c r="B431" t="s">
        <v>15</v>
      </c>
      <c r="C431" t="s">
        <v>59</v>
      </c>
      <c r="D431" t="s">
        <v>60</v>
      </c>
      <c r="E431" s="1">
        <v>45929</v>
      </c>
      <c r="F431">
        <v>2</v>
      </c>
      <c r="G431">
        <v>4897</v>
      </c>
      <c r="H431">
        <v>87339</v>
      </c>
      <c r="I431">
        <v>0</v>
      </c>
      <c r="J431">
        <f t="shared" si="12"/>
        <v>87339</v>
      </c>
      <c r="K431" t="s">
        <v>1640</v>
      </c>
      <c r="L431">
        <v>4897</v>
      </c>
      <c r="M431" s="1">
        <f t="shared" si="13"/>
        <v>45929</v>
      </c>
      <c r="N431" t="s">
        <v>1641</v>
      </c>
      <c r="O431">
        <v>0</v>
      </c>
    </row>
    <row r="432" spans="1:15">
      <c r="A432" s="6" t="s">
        <v>14</v>
      </c>
      <c r="B432" t="s">
        <v>15</v>
      </c>
      <c r="C432" t="s">
        <v>61</v>
      </c>
      <c r="D432" t="s">
        <v>62</v>
      </c>
      <c r="E432" s="1">
        <v>45929</v>
      </c>
      <c r="F432">
        <v>2</v>
      </c>
      <c r="G432">
        <v>2992</v>
      </c>
      <c r="H432">
        <v>93250</v>
      </c>
      <c r="I432">
        <v>0</v>
      </c>
      <c r="J432">
        <f t="shared" si="12"/>
        <v>93250</v>
      </c>
      <c r="K432" t="s">
        <v>1640</v>
      </c>
      <c r="L432">
        <v>2992</v>
      </c>
      <c r="M432" s="1">
        <f t="shared" si="13"/>
        <v>45929</v>
      </c>
      <c r="N432" t="s">
        <v>1641</v>
      </c>
      <c r="O432">
        <v>0</v>
      </c>
    </row>
    <row r="433" spans="1:15">
      <c r="A433" s="6" t="s">
        <v>14</v>
      </c>
      <c r="B433" t="s">
        <v>15</v>
      </c>
      <c r="C433" t="s">
        <v>63</v>
      </c>
      <c r="D433" t="s">
        <v>64</v>
      </c>
      <c r="E433" s="1">
        <v>45929</v>
      </c>
      <c r="F433">
        <v>2</v>
      </c>
      <c r="G433">
        <v>4200</v>
      </c>
      <c r="H433">
        <v>76400</v>
      </c>
      <c r="I433">
        <v>0</v>
      </c>
      <c r="J433">
        <f t="shared" si="12"/>
        <v>76400</v>
      </c>
      <c r="K433" t="s">
        <v>1640</v>
      </c>
      <c r="L433">
        <v>4200</v>
      </c>
      <c r="M433" s="1">
        <f t="shared" si="13"/>
        <v>45929</v>
      </c>
      <c r="N433" t="s">
        <v>1641</v>
      </c>
      <c r="O433">
        <v>0</v>
      </c>
    </row>
    <row r="434" spans="1:15">
      <c r="A434" s="6" t="s">
        <v>14</v>
      </c>
      <c r="B434" t="s">
        <v>15</v>
      </c>
      <c r="C434" t="s">
        <v>65</v>
      </c>
      <c r="D434" t="s">
        <v>66</v>
      </c>
      <c r="E434" s="1">
        <v>45929</v>
      </c>
      <c r="F434">
        <v>2</v>
      </c>
      <c r="G434">
        <v>3800</v>
      </c>
      <c r="H434">
        <v>106200</v>
      </c>
      <c r="I434">
        <v>0</v>
      </c>
      <c r="J434">
        <f t="shared" si="12"/>
        <v>106200</v>
      </c>
      <c r="K434" t="s">
        <v>1640</v>
      </c>
      <c r="L434">
        <v>3800</v>
      </c>
      <c r="M434" s="1">
        <f t="shared" si="13"/>
        <v>45929</v>
      </c>
      <c r="N434" t="s">
        <v>1641</v>
      </c>
      <c r="O434">
        <v>0</v>
      </c>
    </row>
    <row r="435" spans="1:15">
      <c r="A435" s="6" t="s">
        <v>14</v>
      </c>
      <c r="B435" t="s">
        <v>15</v>
      </c>
      <c r="C435" t="s">
        <v>67</v>
      </c>
      <c r="D435" t="s">
        <v>68</v>
      </c>
      <c r="E435" s="1">
        <v>45929</v>
      </c>
      <c r="F435">
        <v>2</v>
      </c>
      <c r="G435">
        <v>4089</v>
      </c>
      <c r="H435">
        <v>120631</v>
      </c>
      <c r="I435">
        <v>0</v>
      </c>
      <c r="J435">
        <f t="shared" si="12"/>
        <v>120631</v>
      </c>
      <c r="K435" t="s">
        <v>1640</v>
      </c>
      <c r="L435">
        <v>4089</v>
      </c>
      <c r="M435" s="1">
        <f t="shared" si="13"/>
        <v>45929</v>
      </c>
      <c r="N435" t="s">
        <v>1641</v>
      </c>
      <c r="O435">
        <v>0</v>
      </c>
    </row>
    <row r="436" spans="1:15">
      <c r="A436" s="6" t="s">
        <v>14</v>
      </c>
      <c r="B436" t="s">
        <v>15</v>
      </c>
      <c r="C436" t="s">
        <v>69</v>
      </c>
      <c r="D436" t="s">
        <v>70</v>
      </c>
      <c r="E436" s="1">
        <v>45929</v>
      </c>
      <c r="F436">
        <v>2</v>
      </c>
      <c r="G436">
        <v>2800</v>
      </c>
      <c r="H436">
        <v>95231</v>
      </c>
      <c r="I436">
        <v>0</v>
      </c>
      <c r="J436">
        <f t="shared" si="12"/>
        <v>95231</v>
      </c>
      <c r="K436" t="s">
        <v>1640</v>
      </c>
      <c r="L436">
        <v>2800</v>
      </c>
      <c r="M436" s="1">
        <f t="shared" si="13"/>
        <v>45929</v>
      </c>
      <c r="N436" t="s">
        <v>1641</v>
      </c>
      <c r="O436">
        <v>0</v>
      </c>
    </row>
    <row r="437" spans="1:15">
      <c r="A437" s="6" t="s">
        <v>14</v>
      </c>
      <c r="B437" t="s">
        <v>15</v>
      </c>
      <c r="C437" t="s">
        <v>71</v>
      </c>
      <c r="D437" t="s">
        <v>72</v>
      </c>
      <c r="E437" s="1">
        <v>45929</v>
      </c>
      <c r="F437">
        <v>2</v>
      </c>
      <c r="G437">
        <v>2415</v>
      </c>
      <c r="H437">
        <v>74625</v>
      </c>
      <c r="I437">
        <v>0</v>
      </c>
      <c r="J437">
        <f t="shared" si="12"/>
        <v>74625</v>
      </c>
      <c r="K437" t="s">
        <v>1640</v>
      </c>
      <c r="L437">
        <v>2415</v>
      </c>
      <c r="M437" s="1">
        <f t="shared" si="13"/>
        <v>45929</v>
      </c>
      <c r="N437" t="s">
        <v>1641</v>
      </c>
      <c r="O437">
        <v>0</v>
      </c>
    </row>
    <row r="438" spans="1:15">
      <c r="A438" s="6" t="s">
        <v>14</v>
      </c>
      <c r="B438" t="s">
        <v>15</v>
      </c>
      <c r="C438" t="s">
        <v>73</v>
      </c>
      <c r="D438" t="s">
        <v>74</v>
      </c>
      <c r="E438" s="1">
        <v>45929</v>
      </c>
      <c r="F438">
        <v>2</v>
      </c>
      <c r="G438">
        <v>2400</v>
      </c>
      <c r="H438">
        <v>73000</v>
      </c>
      <c r="I438">
        <v>0</v>
      </c>
      <c r="J438">
        <f t="shared" si="12"/>
        <v>73000</v>
      </c>
      <c r="K438" t="s">
        <v>1640</v>
      </c>
      <c r="L438">
        <v>2400</v>
      </c>
      <c r="M438" s="1">
        <f t="shared" si="13"/>
        <v>45929</v>
      </c>
      <c r="N438" t="s">
        <v>1641</v>
      </c>
      <c r="O438">
        <v>0</v>
      </c>
    </row>
    <row r="439" spans="1:15">
      <c r="A439" s="6" t="s">
        <v>14</v>
      </c>
      <c r="B439" t="s">
        <v>15</v>
      </c>
      <c r="C439" t="s">
        <v>75</v>
      </c>
      <c r="D439" t="s">
        <v>76</v>
      </c>
      <c r="E439" s="1">
        <v>45929</v>
      </c>
      <c r="F439">
        <v>2</v>
      </c>
      <c r="G439">
        <v>4108</v>
      </c>
      <c r="H439">
        <v>75868</v>
      </c>
      <c r="I439">
        <v>0</v>
      </c>
      <c r="J439">
        <f t="shared" si="12"/>
        <v>75868</v>
      </c>
      <c r="K439" t="s">
        <v>1640</v>
      </c>
      <c r="L439">
        <v>4108</v>
      </c>
      <c r="M439" s="1">
        <f t="shared" si="13"/>
        <v>45929</v>
      </c>
      <c r="N439" t="s">
        <v>1641</v>
      </c>
      <c r="O439">
        <v>0</v>
      </c>
    </row>
    <row r="440" spans="1:15">
      <c r="A440" s="6" t="s">
        <v>14</v>
      </c>
      <c r="B440" t="s">
        <v>15</v>
      </c>
      <c r="C440" t="s">
        <v>77</v>
      </c>
      <c r="D440" t="s">
        <v>78</v>
      </c>
      <c r="E440" s="1">
        <v>45929</v>
      </c>
      <c r="F440">
        <v>2</v>
      </c>
      <c r="G440">
        <v>4165</v>
      </c>
      <c r="H440">
        <v>78585</v>
      </c>
      <c r="I440">
        <v>0</v>
      </c>
      <c r="J440">
        <f t="shared" si="12"/>
        <v>78585</v>
      </c>
      <c r="K440" t="s">
        <v>1640</v>
      </c>
      <c r="L440">
        <v>4165</v>
      </c>
      <c r="M440" s="1">
        <f t="shared" si="13"/>
        <v>45929</v>
      </c>
      <c r="N440" t="s">
        <v>1641</v>
      </c>
      <c r="O440">
        <v>0</v>
      </c>
    </row>
    <row r="441" spans="1:15">
      <c r="A441" s="6" t="s">
        <v>14</v>
      </c>
      <c r="B441" t="s">
        <v>15</v>
      </c>
      <c r="C441" t="s">
        <v>79</v>
      </c>
      <c r="D441" t="s">
        <v>80</v>
      </c>
      <c r="E441" s="1">
        <v>45929</v>
      </c>
      <c r="F441">
        <v>2</v>
      </c>
      <c r="G441">
        <v>4134</v>
      </c>
      <c r="H441">
        <v>78000</v>
      </c>
      <c r="I441">
        <v>0</v>
      </c>
      <c r="J441">
        <f t="shared" si="12"/>
        <v>78000</v>
      </c>
      <c r="K441" t="s">
        <v>1640</v>
      </c>
      <c r="L441">
        <v>4134</v>
      </c>
      <c r="M441" s="1">
        <f t="shared" si="13"/>
        <v>45929</v>
      </c>
      <c r="N441" t="s">
        <v>1641</v>
      </c>
      <c r="O441">
        <v>0</v>
      </c>
    </row>
    <row r="442" spans="1:15">
      <c r="A442" s="6" t="s">
        <v>14</v>
      </c>
      <c r="B442" t="s">
        <v>15</v>
      </c>
      <c r="C442" t="s">
        <v>81</v>
      </c>
      <c r="D442" t="s">
        <v>82</v>
      </c>
      <c r="E442" s="1">
        <v>45929</v>
      </c>
      <c r="F442">
        <v>2</v>
      </c>
      <c r="G442">
        <v>4732</v>
      </c>
      <c r="H442">
        <v>88947</v>
      </c>
      <c r="I442">
        <v>0</v>
      </c>
      <c r="J442">
        <f t="shared" si="12"/>
        <v>88947</v>
      </c>
      <c r="K442" t="s">
        <v>1640</v>
      </c>
      <c r="L442">
        <v>4732</v>
      </c>
      <c r="M442" s="1">
        <f t="shared" si="13"/>
        <v>45929</v>
      </c>
      <c r="N442" t="s">
        <v>1641</v>
      </c>
      <c r="O442">
        <v>0</v>
      </c>
    </row>
    <row r="443" spans="1:15">
      <c r="A443" s="6" t="s">
        <v>14</v>
      </c>
      <c r="B443" t="s">
        <v>15</v>
      </c>
      <c r="C443" t="s">
        <v>83</v>
      </c>
      <c r="D443" t="s">
        <v>84</v>
      </c>
      <c r="E443" s="1">
        <v>45929</v>
      </c>
      <c r="F443">
        <v>2</v>
      </c>
      <c r="G443">
        <v>2970</v>
      </c>
      <c r="H443">
        <v>92789</v>
      </c>
      <c r="I443">
        <v>0</v>
      </c>
      <c r="J443">
        <f t="shared" si="12"/>
        <v>92789</v>
      </c>
      <c r="K443" t="s">
        <v>1640</v>
      </c>
      <c r="L443">
        <v>2970</v>
      </c>
      <c r="M443" s="1">
        <f t="shared" si="13"/>
        <v>45929</v>
      </c>
      <c r="N443" t="s">
        <v>1641</v>
      </c>
      <c r="O443">
        <v>0</v>
      </c>
    </row>
    <row r="444" spans="1:15">
      <c r="A444" s="6" t="s">
        <v>14</v>
      </c>
      <c r="B444" t="s">
        <v>15</v>
      </c>
      <c r="C444" t="s">
        <v>85</v>
      </c>
      <c r="D444" t="s">
        <v>86</v>
      </c>
      <c r="E444" s="1">
        <v>45929</v>
      </c>
      <c r="F444">
        <v>2</v>
      </c>
      <c r="G444">
        <v>2970</v>
      </c>
      <c r="H444">
        <v>88849</v>
      </c>
      <c r="I444">
        <v>0</v>
      </c>
      <c r="J444">
        <f t="shared" si="12"/>
        <v>88849</v>
      </c>
      <c r="K444" t="s">
        <v>1640</v>
      </c>
      <c r="L444">
        <v>2970</v>
      </c>
      <c r="M444" s="1">
        <f t="shared" si="13"/>
        <v>45929</v>
      </c>
      <c r="N444" t="s">
        <v>1641</v>
      </c>
      <c r="O444">
        <v>0</v>
      </c>
    </row>
    <row r="445" spans="1:15">
      <c r="A445" s="6" t="s">
        <v>14</v>
      </c>
      <c r="B445" t="s">
        <v>15</v>
      </c>
      <c r="C445" t="s">
        <v>87</v>
      </c>
      <c r="D445" t="s">
        <v>88</v>
      </c>
      <c r="E445" s="1">
        <v>45929</v>
      </c>
      <c r="F445">
        <v>2</v>
      </c>
      <c r="G445">
        <v>2464</v>
      </c>
      <c r="H445">
        <v>76000</v>
      </c>
      <c r="I445">
        <v>0</v>
      </c>
      <c r="J445">
        <f t="shared" si="12"/>
        <v>76000</v>
      </c>
      <c r="K445" t="s">
        <v>1640</v>
      </c>
      <c r="L445">
        <v>2464</v>
      </c>
      <c r="M445" s="1">
        <f t="shared" si="13"/>
        <v>45929</v>
      </c>
      <c r="N445" t="s">
        <v>1641</v>
      </c>
      <c r="O445">
        <v>0</v>
      </c>
    </row>
    <row r="446" spans="1:15">
      <c r="A446" s="6" t="s">
        <v>14</v>
      </c>
      <c r="B446" t="s">
        <v>15</v>
      </c>
      <c r="C446" t="s">
        <v>89</v>
      </c>
      <c r="D446" t="s">
        <v>90</v>
      </c>
      <c r="E446" s="1">
        <v>45929</v>
      </c>
      <c r="F446">
        <v>2</v>
      </c>
      <c r="G446">
        <v>2900</v>
      </c>
      <c r="H446">
        <v>86585</v>
      </c>
      <c r="I446">
        <v>0</v>
      </c>
      <c r="J446">
        <f t="shared" si="12"/>
        <v>86585</v>
      </c>
      <c r="K446" t="s">
        <v>1640</v>
      </c>
      <c r="L446">
        <v>2900</v>
      </c>
      <c r="M446" s="1">
        <f t="shared" si="13"/>
        <v>45929</v>
      </c>
      <c r="N446" t="s">
        <v>1641</v>
      </c>
      <c r="O446">
        <v>0</v>
      </c>
    </row>
    <row r="447" spans="1:15">
      <c r="A447" s="6" t="s">
        <v>14</v>
      </c>
      <c r="B447" t="s">
        <v>15</v>
      </c>
      <c r="C447" t="s">
        <v>91</v>
      </c>
      <c r="D447" t="s">
        <v>92</v>
      </c>
      <c r="E447" s="1">
        <v>45929</v>
      </c>
      <c r="F447">
        <v>2</v>
      </c>
      <c r="G447">
        <v>2475</v>
      </c>
      <c r="H447">
        <v>73000</v>
      </c>
      <c r="I447">
        <v>0</v>
      </c>
      <c r="J447">
        <f t="shared" si="12"/>
        <v>73000</v>
      </c>
      <c r="K447" t="s">
        <v>1640</v>
      </c>
      <c r="L447">
        <v>2475</v>
      </c>
      <c r="M447" s="1">
        <f t="shared" si="13"/>
        <v>45929</v>
      </c>
      <c r="N447" t="s">
        <v>1641</v>
      </c>
      <c r="O447">
        <v>0</v>
      </c>
    </row>
    <row r="448" spans="1:15">
      <c r="A448" s="6" t="s">
        <v>14</v>
      </c>
      <c r="B448" t="s">
        <v>15</v>
      </c>
      <c r="C448" t="s">
        <v>93</v>
      </c>
      <c r="D448" t="s">
        <v>94</v>
      </c>
      <c r="E448" s="1">
        <v>45929</v>
      </c>
      <c r="F448">
        <v>2</v>
      </c>
      <c r="G448">
        <v>2700</v>
      </c>
      <c r="H448">
        <v>80000</v>
      </c>
      <c r="I448">
        <v>0</v>
      </c>
      <c r="J448">
        <f t="shared" si="12"/>
        <v>80000</v>
      </c>
      <c r="K448" t="s">
        <v>1640</v>
      </c>
      <c r="L448">
        <v>2700</v>
      </c>
      <c r="M448" s="1">
        <f t="shared" si="13"/>
        <v>45929</v>
      </c>
      <c r="N448" t="s">
        <v>1641</v>
      </c>
      <c r="O448">
        <v>0</v>
      </c>
    </row>
    <row r="449" spans="1:15">
      <c r="A449" s="6" t="s">
        <v>14</v>
      </c>
      <c r="B449" t="s">
        <v>15</v>
      </c>
      <c r="C449" t="s">
        <v>95</v>
      </c>
      <c r="D449" t="s">
        <v>1643</v>
      </c>
      <c r="E449" s="1">
        <v>45929</v>
      </c>
      <c r="F449">
        <v>2</v>
      </c>
      <c r="G449">
        <v>2700</v>
      </c>
      <c r="H449">
        <v>80000</v>
      </c>
      <c r="I449">
        <v>0</v>
      </c>
      <c r="J449">
        <f t="shared" si="12"/>
        <v>80000</v>
      </c>
      <c r="K449" t="s">
        <v>1640</v>
      </c>
      <c r="L449">
        <v>2700</v>
      </c>
      <c r="M449" s="1">
        <f t="shared" si="13"/>
        <v>45929</v>
      </c>
      <c r="N449" t="s">
        <v>1641</v>
      </c>
      <c r="O449">
        <v>0</v>
      </c>
    </row>
    <row r="450" spans="1:15">
      <c r="A450" s="6" t="s">
        <v>14</v>
      </c>
      <c r="B450" t="s">
        <v>15</v>
      </c>
      <c r="C450" t="s">
        <v>96</v>
      </c>
      <c r="D450" t="s">
        <v>97</v>
      </c>
      <c r="E450" s="1">
        <v>45929</v>
      </c>
      <c r="F450">
        <v>2</v>
      </c>
      <c r="G450">
        <v>5740</v>
      </c>
      <c r="H450">
        <v>105000</v>
      </c>
      <c r="I450">
        <v>0</v>
      </c>
      <c r="J450">
        <f t="shared" si="12"/>
        <v>105000</v>
      </c>
      <c r="K450" t="s">
        <v>1640</v>
      </c>
      <c r="L450">
        <v>5740</v>
      </c>
      <c r="M450" s="1">
        <f t="shared" si="13"/>
        <v>45929</v>
      </c>
      <c r="N450" t="s">
        <v>1641</v>
      </c>
      <c r="O450">
        <v>0</v>
      </c>
    </row>
    <row r="451" spans="1:15">
      <c r="A451" s="6" t="s">
        <v>14</v>
      </c>
      <c r="B451" t="s">
        <v>15</v>
      </c>
      <c r="C451" t="s">
        <v>98</v>
      </c>
      <c r="D451" t="s">
        <v>99</v>
      </c>
      <c r="E451" s="1">
        <v>45929</v>
      </c>
      <c r="F451">
        <v>2</v>
      </c>
      <c r="G451">
        <v>5214</v>
      </c>
      <c r="H451">
        <v>95275</v>
      </c>
      <c r="I451">
        <v>0</v>
      </c>
      <c r="J451">
        <f t="shared" ref="J451:J514" si="14">H451-I451</f>
        <v>95275</v>
      </c>
      <c r="K451" t="s">
        <v>1640</v>
      </c>
      <c r="L451">
        <v>5214</v>
      </c>
      <c r="M451" s="1">
        <f t="shared" ref="M451:M514" si="15">E451</f>
        <v>45929</v>
      </c>
      <c r="N451" t="s">
        <v>1641</v>
      </c>
      <c r="O451">
        <v>0</v>
      </c>
    </row>
    <row r="452" spans="1:15">
      <c r="A452" s="6" t="s">
        <v>14</v>
      </c>
      <c r="B452" t="s">
        <v>15</v>
      </c>
      <c r="C452" t="s">
        <v>100</v>
      </c>
      <c r="D452" t="s">
        <v>101</v>
      </c>
      <c r="E452" s="1">
        <v>45929</v>
      </c>
      <c r="F452">
        <v>2</v>
      </c>
      <c r="G452">
        <v>3116</v>
      </c>
      <c r="H452">
        <v>92555</v>
      </c>
      <c r="I452">
        <v>0</v>
      </c>
      <c r="J452">
        <f t="shared" si="14"/>
        <v>92555</v>
      </c>
      <c r="K452" t="s">
        <v>1640</v>
      </c>
      <c r="L452">
        <v>3116</v>
      </c>
      <c r="M452" s="1">
        <f t="shared" si="15"/>
        <v>45929</v>
      </c>
      <c r="N452" t="s">
        <v>1641</v>
      </c>
      <c r="O452">
        <v>0</v>
      </c>
    </row>
    <row r="453" spans="1:15">
      <c r="A453" s="6" t="s">
        <v>14</v>
      </c>
      <c r="B453" t="s">
        <v>15</v>
      </c>
      <c r="C453" t="s">
        <v>102</v>
      </c>
      <c r="D453" t="s">
        <v>103</v>
      </c>
      <c r="E453" s="1">
        <v>45929</v>
      </c>
      <c r="F453">
        <v>2</v>
      </c>
      <c r="G453">
        <v>5460</v>
      </c>
      <c r="H453">
        <v>100000</v>
      </c>
      <c r="I453">
        <v>0</v>
      </c>
      <c r="J453">
        <f t="shared" si="14"/>
        <v>100000</v>
      </c>
      <c r="K453" t="s">
        <v>1640</v>
      </c>
      <c r="L453">
        <v>5460</v>
      </c>
      <c r="M453" s="1">
        <f t="shared" si="15"/>
        <v>45929</v>
      </c>
      <c r="N453" t="s">
        <v>1641</v>
      </c>
      <c r="O453">
        <v>0</v>
      </c>
    </row>
    <row r="454" spans="1:15">
      <c r="A454" s="6" t="s">
        <v>14</v>
      </c>
      <c r="B454" t="s">
        <v>15</v>
      </c>
      <c r="C454" t="s">
        <v>104</v>
      </c>
      <c r="D454" t="s">
        <v>105</v>
      </c>
      <c r="E454" s="1">
        <v>45929</v>
      </c>
      <c r="F454">
        <v>2</v>
      </c>
      <c r="G454">
        <v>4150</v>
      </c>
      <c r="H454">
        <v>75285</v>
      </c>
      <c r="I454">
        <v>0</v>
      </c>
      <c r="J454">
        <f t="shared" si="14"/>
        <v>75285</v>
      </c>
      <c r="K454" t="s">
        <v>1640</v>
      </c>
      <c r="L454">
        <v>4150</v>
      </c>
      <c r="M454" s="1">
        <f t="shared" si="15"/>
        <v>45929</v>
      </c>
      <c r="N454" t="s">
        <v>1641</v>
      </c>
      <c r="O454">
        <v>0</v>
      </c>
    </row>
    <row r="455" spans="1:15">
      <c r="A455" s="6" t="s">
        <v>14</v>
      </c>
      <c r="B455" t="s">
        <v>15</v>
      </c>
      <c r="C455" t="s">
        <v>106</v>
      </c>
      <c r="D455" t="s">
        <v>107</v>
      </c>
      <c r="E455" s="1">
        <v>45929</v>
      </c>
      <c r="F455">
        <v>2</v>
      </c>
      <c r="G455">
        <v>2926</v>
      </c>
      <c r="H455">
        <v>91996</v>
      </c>
      <c r="I455">
        <v>0</v>
      </c>
      <c r="J455">
        <f t="shared" si="14"/>
        <v>91996</v>
      </c>
      <c r="K455" t="s">
        <v>1640</v>
      </c>
      <c r="L455">
        <v>2926</v>
      </c>
      <c r="M455" s="1">
        <f t="shared" si="15"/>
        <v>45929</v>
      </c>
      <c r="N455" t="s">
        <v>1641</v>
      </c>
      <c r="O455">
        <v>0</v>
      </c>
    </row>
    <row r="456" spans="1:15">
      <c r="A456" s="6" t="s">
        <v>14</v>
      </c>
      <c r="B456" t="s">
        <v>15</v>
      </c>
      <c r="C456" t="s">
        <v>108</v>
      </c>
      <c r="D456" t="s">
        <v>109</v>
      </c>
      <c r="E456" s="1">
        <v>45929</v>
      </c>
      <c r="F456">
        <v>2</v>
      </c>
      <c r="G456">
        <v>2709</v>
      </c>
      <c r="H456">
        <v>85845</v>
      </c>
      <c r="I456">
        <v>0</v>
      </c>
      <c r="J456">
        <f t="shared" si="14"/>
        <v>85845</v>
      </c>
      <c r="K456" t="s">
        <v>1640</v>
      </c>
      <c r="L456">
        <v>2709</v>
      </c>
      <c r="M456" s="1">
        <f t="shared" si="15"/>
        <v>45929</v>
      </c>
      <c r="N456" t="s">
        <v>1641</v>
      </c>
      <c r="O456">
        <v>0</v>
      </c>
    </row>
    <row r="457" spans="1:15">
      <c r="A457" s="6" t="s">
        <v>14</v>
      </c>
      <c r="B457" t="s">
        <v>15</v>
      </c>
      <c r="C457" t="s">
        <v>110</v>
      </c>
      <c r="D457" t="s">
        <v>1644</v>
      </c>
      <c r="E457" s="1">
        <v>45929</v>
      </c>
      <c r="F457">
        <v>2</v>
      </c>
      <c r="G457">
        <v>3901</v>
      </c>
      <c r="H457">
        <v>73000</v>
      </c>
      <c r="I457">
        <v>0</v>
      </c>
      <c r="J457">
        <f t="shared" si="14"/>
        <v>73000</v>
      </c>
      <c r="K457" t="s">
        <v>1640</v>
      </c>
      <c r="L457">
        <v>3901</v>
      </c>
      <c r="M457" s="1">
        <f t="shared" si="15"/>
        <v>45929</v>
      </c>
      <c r="N457" t="s">
        <v>1641</v>
      </c>
      <c r="O457">
        <v>0</v>
      </c>
    </row>
    <row r="458" spans="1:15">
      <c r="A458" s="6" t="s">
        <v>14</v>
      </c>
      <c r="B458" t="s">
        <v>15</v>
      </c>
      <c r="C458" t="s">
        <v>111</v>
      </c>
      <c r="D458" t="s">
        <v>112</v>
      </c>
      <c r="E458" s="1">
        <v>45929</v>
      </c>
      <c r="F458">
        <v>2</v>
      </c>
      <c r="G458">
        <v>2210</v>
      </c>
      <c r="H458">
        <v>78900</v>
      </c>
      <c r="I458">
        <v>0</v>
      </c>
      <c r="J458">
        <f t="shared" si="14"/>
        <v>78900</v>
      </c>
      <c r="K458" t="s">
        <v>1640</v>
      </c>
      <c r="L458">
        <v>2210</v>
      </c>
      <c r="M458" s="1">
        <f t="shared" si="15"/>
        <v>45929</v>
      </c>
      <c r="N458" t="s">
        <v>1641</v>
      </c>
      <c r="O458">
        <v>0</v>
      </c>
    </row>
    <row r="459" spans="1:15">
      <c r="A459" s="6" t="s">
        <v>14</v>
      </c>
      <c r="B459" t="s">
        <v>15</v>
      </c>
      <c r="C459" t="s">
        <v>113</v>
      </c>
      <c r="D459" t="s">
        <v>114</v>
      </c>
      <c r="E459" s="1">
        <v>45929</v>
      </c>
      <c r="F459">
        <v>2</v>
      </c>
      <c r="G459">
        <v>5280</v>
      </c>
      <c r="H459">
        <v>160091</v>
      </c>
      <c r="I459">
        <v>0</v>
      </c>
      <c r="J459">
        <f t="shared" si="14"/>
        <v>160091</v>
      </c>
      <c r="K459" t="s">
        <v>1640</v>
      </c>
      <c r="L459">
        <v>5280</v>
      </c>
      <c r="M459" s="1">
        <f t="shared" si="15"/>
        <v>45929</v>
      </c>
      <c r="N459" t="s">
        <v>1641</v>
      </c>
      <c r="O459">
        <v>0</v>
      </c>
    </row>
    <row r="460" spans="1:15">
      <c r="A460" s="6" t="s">
        <v>14</v>
      </c>
      <c r="B460" t="s">
        <v>15</v>
      </c>
      <c r="C460" t="s">
        <v>115</v>
      </c>
      <c r="D460" t="s">
        <v>116</v>
      </c>
      <c r="E460" s="1">
        <v>45929</v>
      </c>
      <c r="F460">
        <v>2</v>
      </c>
      <c r="G460">
        <v>4335</v>
      </c>
      <c r="H460">
        <v>80000</v>
      </c>
      <c r="I460">
        <v>0</v>
      </c>
      <c r="J460">
        <f t="shared" si="14"/>
        <v>80000</v>
      </c>
      <c r="K460" t="s">
        <v>1640</v>
      </c>
      <c r="L460">
        <v>4335</v>
      </c>
      <c r="M460" s="1">
        <f t="shared" si="15"/>
        <v>45929</v>
      </c>
      <c r="N460" t="s">
        <v>1641</v>
      </c>
      <c r="O460">
        <v>0</v>
      </c>
    </row>
    <row r="461" spans="1:15">
      <c r="A461" s="6" t="s">
        <v>14</v>
      </c>
      <c r="B461" t="s">
        <v>15</v>
      </c>
      <c r="C461" t="s">
        <v>117</v>
      </c>
      <c r="D461" t="s">
        <v>118</v>
      </c>
      <c r="E461" s="1">
        <v>45929</v>
      </c>
      <c r="F461">
        <v>2</v>
      </c>
      <c r="G461">
        <v>2520</v>
      </c>
      <c r="H461">
        <v>73000</v>
      </c>
      <c r="I461">
        <v>0</v>
      </c>
      <c r="J461">
        <f t="shared" si="14"/>
        <v>73000</v>
      </c>
      <c r="K461" t="s">
        <v>1640</v>
      </c>
      <c r="L461">
        <v>2520</v>
      </c>
      <c r="M461" s="1">
        <f t="shared" si="15"/>
        <v>45929</v>
      </c>
      <c r="N461" t="s">
        <v>1641</v>
      </c>
      <c r="O461">
        <v>0</v>
      </c>
    </row>
    <row r="462" spans="1:15">
      <c r="A462" s="6" t="s">
        <v>14</v>
      </c>
      <c r="B462" t="s">
        <v>15</v>
      </c>
      <c r="C462" t="s">
        <v>119</v>
      </c>
      <c r="D462" t="s">
        <v>120</v>
      </c>
      <c r="E462" s="1">
        <v>45929</v>
      </c>
      <c r="F462">
        <v>2</v>
      </c>
      <c r="G462">
        <v>3280</v>
      </c>
      <c r="H462">
        <v>95000</v>
      </c>
      <c r="I462">
        <v>0</v>
      </c>
      <c r="J462">
        <f t="shared" si="14"/>
        <v>95000</v>
      </c>
      <c r="K462" t="s">
        <v>1640</v>
      </c>
      <c r="L462">
        <v>3280</v>
      </c>
      <c r="M462" s="1">
        <f t="shared" si="15"/>
        <v>45929</v>
      </c>
      <c r="N462" t="s">
        <v>1641</v>
      </c>
      <c r="O462">
        <v>0</v>
      </c>
    </row>
    <row r="463" spans="1:15">
      <c r="A463" s="6" t="s">
        <v>14</v>
      </c>
      <c r="B463" t="s">
        <v>15</v>
      </c>
      <c r="C463" t="s">
        <v>121</v>
      </c>
      <c r="D463" t="s">
        <v>122</v>
      </c>
      <c r="E463" s="1">
        <v>45929</v>
      </c>
      <c r="F463">
        <v>2</v>
      </c>
      <c r="G463">
        <v>3995</v>
      </c>
      <c r="H463">
        <v>73818</v>
      </c>
      <c r="I463">
        <v>0</v>
      </c>
      <c r="J463">
        <f t="shared" si="14"/>
        <v>73818</v>
      </c>
      <c r="K463" t="s">
        <v>1640</v>
      </c>
      <c r="L463">
        <v>3995</v>
      </c>
      <c r="M463" s="1">
        <f t="shared" si="15"/>
        <v>45929</v>
      </c>
      <c r="N463" t="s">
        <v>1641</v>
      </c>
      <c r="O463">
        <v>0</v>
      </c>
    </row>
    <row r="464" spans="1:15">
      <c r="A464" s="6" t="s">
        <v>14</v>
      </c>
      <c r="B464" t="s">
        <v>15</v>
      </c>
      <c r="C464" t="s">
        <v>123</v>
      </c>
      <c r="D464" t="s">
        <v>124</v>
      </c>
      <c r="E464" s="1">
        <v>45929</v>
      </c>
      <c r="F464">
        <v>2</v>
      </c>
      <c r="G464">
        <v>2700</v>
      </c>
      <c r="H464">
        <v>78148</v>
      </c>
      <c r="I464">
        <v>0</v>
      </c>
      <c r="J464">
        <f t="shared" si="14"/>
        <v>78148</v>
      </c>
      <c r="K464" t="s">
        <v>1640</v>
      </c>
      <c r="L464">
        <v>2700</v>
      </c>
      <c r="M464" s="1">
        <f t="shared" si="15"/>
        <v>45929</v>
      </c>
      <c r="N464" t="s">
        <v>1641</v>
      </c>
      <c r="O464">
        <v>0</v>
      </c>
    </row>
    <row r="465" spans="1:15">
      <c r="A465" s="6" t="s">
        <v>14</v>
      </c>
      <c r="B465" t="s">
        <v>15</v>
      </c>
      <c r="C465" t="s">
        <v>125</v>
      </c>
      <c r="D465" t="s">
        <v>126</v>
      </c>
      <c r="E465" s="1">
        <v>45929</v>
      </c>
      <c r="F465">
        <v>2</v>
      </c>
      <c r="G465">
        <v>2774</v>
      </c>
      <c r="H465">
        <v>84023</v>
      </c>
      <c r="I465">
        <v>0</v>
      </c>
      <c r="J465">
        <f t="shared" si="14"/>
        <v>84023</v>
      </c>
      <c r="K465" t="s">
        <v>1640</v>
      </c>
      <c r="L465">
        <v>2774</v>
      </c>
      <c r="M465" s="1">
        <f t="shared" si="15"/>
        <v>45929</v>
      </c>
      <c r="N465" t="s">
        <v>1641</v>
      </c>
      <c r="O465">
        <v>0</v>
      </c>
    </row>
    <row r="466" spans="1:15">
      <c r="A466" s="6" t="s">
        <v>14</v>
      </c>
      <c r="B466" t="s">
        <v>15</v>
      </c>
      <c r="C466" t="s">
        <v>127</v>
      </c>
      <c r="D466" t="s">
        <v>128</v>
      </c>
      <c r="E466" s="1">
        <v>45929</v>
      </c>
      <c r="F466">
        <v>2</v>
      </c>
      <c r="G466">
        <v>3000</v>
      </c>
      <c r="H466">
        <v>89318</v>
      </c>
      <c r="I466">
        <v>0</v>
      </c>
      <c r="J466">
        <f t="shared" si="14"/>
        <v>89318</v>
      </c>
      <c r="K466" t="s">
        <v>1640</v>
      </c>
      <c r="L466">
        <v>3000</v>
      </c>
      <c r="M466" s="1">
        <f t="shared" si="15"/>
        <v>45929</v>
      </c>
      <c r="N466" t="s">
        <v>1641</v>
      </c>
      <c r="O466">
        <v>0</v>
      </c>
    </row>
    <row r="467" spans="1:15">
      <c r="A467" s="6" t="s">
        <v>14</v>
      </c>
      <c r="B467" t="s">
        <v>15</v>
      </c>
      <c r="C467" t="s">
        <v>129</v>
      </c>
      <c r="D467" t="s">
        <v>130</v>
      </c>
      <c r="E467" s="1">
        <v>45929</v>
      </c>
      <c r="F467">
        <v>2</v>
      </c>
      <c r="G467">
        <v>3124</v>
      </c>
      <c r="H467">
        <v>94515</v>
      </c>
      <c r="I467">
        <v>0</v>
      </c>
      <c r="J467">
        <f t="shared" si="14"/>
        <v>94515</v>
      </c>
      <c r="K467" t="s">
        <v>1640</v>
      </c>
      <c r="L467">
        <v>3124</v>
      </c>
      <c r="M467" s="1">
        <f t="shared" si="15"/>
        <v>45929</v>
      </c>
      <c r="N467" t="s">
        <v>1641</v>
      </c>
      <c r="O467">
        <v>0</v>
      </c>
    </row>
    <row r="468" spans="1:15">
      <c r="A468" s="6" t="s">
        <v>14</v>
      </c>
      <c r="B468" t="s">
        <v>15</v>
      </c>
      <c r="C468" t="s">
        <v>131</v>
      </c>
      <c r="D468" t="s">
        <v>132</v>
      </c>
      <c r="E468" s="1">
        <v>45929</v>
      </c>
      <c r="F468">
        <v>2</v>
      </c>
      <c r="G468">
        <v>3250</v>
      </c>
      <c r="H468">
        <v>98883</v>
      </c>
      <c r="I468">
        <v>0</v>
      </c>
      <c r="J468">
        <f t="shared" si="14"/>
        <v>98883</v>
      </c>
      <c r="K468" t="s">
        <v>1640</v>
      </c>
      <c r="L468">
        <v>3250</v>
      </c>
      <c r="M468" s="1">
        <f t="shared" si="15"/>
        <v>45929</v>
      </c>
      <c r="N468" t="s">
        <v>1641</v>
      </c>
      <c r="O468">
        <v>0</v>
      </c>
    </row>
    <row r="469" spans="1:15">
      <c r="A469" s="6" t="s">
        <v>14</v>
      </c>
      <c r="B469" t="s">
        <v>15</v>
      </c>
      <c r="C469" t="s">
        <v>133</v>
      </c>
      <c r="D469" t="s">
        <v>134</v>
      </c>
      <c r="E469" s="1">
        <v>45929</v>
      </c>
      <c r="F469">
        <v>2</v>
      </c>
      <c r="G469">
        <v>3150</v>
      </c>
      <c r="H469">
        <v>93833</v>
      </c>
      <c r="I469">
        <v>0</v>
      </c>
      <c r="J469">
        <f t="shared" si="14"/>
        <v>93833</v>
      </c>
      <c r="K469" t="s">
        <v>1640</v>
      </c>
      <c r="L469">
        <v>3150</v>
      </c>
      <c r="M469" s="1">
        <f t="shared" si="15"/>
        <v>45929</v>
      </c>
      <c r="N469" t="s">
        <v>1641</v>
      </c>
      <c r="O469">
        <v>0</v>
      </c>
    </row>
    <row r="470" spans="1:15">
      <c r="A470" s="6" t="s">
        <v>14</v>
      </c>
      <c r="B470" t="s">
        <v>15</v>
      </c>
      <c r="C470" t="s">
        <v>135</v>
      </c>
      <c r="D470" t="s">
        <v>136</v>
      </c>
      <c r="E470" s="1">
        <v>45929</v>
      </c>
      <c r="F470">
        <v>2</v>
      </c>
      <c r="G470">
        <v>5244</v>
      </c>
      <c r="H470">
        <v>98888</v>
      </c>
      <c r="I470">
        <v>0</v>
      </c>
      <c r="J470">
        <f t="shared" si="14"/>
        <v>98888</v>
      </c>
      <c r="K470" t="s">
        <v>1640</v>
      </c>
      <c r="L470">
        <v>5244</v>
      </c>
      <c r="M470" s="1">
        <f t="shared" si="15"/>
        <v>45929</v>
      </c>
      <c r="N470" t="s">
        <v>1641</v>
      </c>
      <c r="O470">
        <v>0</v>
      </c>
    </row>
    <row r="471" spans="1:15">
      <c r="A471" s="6" t="s">
        <v>14</v>
      </c>
      <c r="B471" t="s">
        <v>15</v>
      </c>
      <c r="C471" t="s">
        <v>137</v>
      </c>
      <c r="D471" t="s">
        <v>138</v>
      </c>
      <c r="E471" s="1">
        <v>45929</v>
      </c>
      <c r="F471">
        <v>2</v>
      </c>
      <c r="G471">
        <v>4664</v>
      </c>
      <c r="H471">
        <v>140559</v>
      </c>
      <c r="I471">
        <v>0</v>
      </c>
      <c r="J471">
        <f t="shared" si="14"/>
        <v>140559</v>
      </c>
      <c r="K471" t="s">
        <v>1640</v>
      </c>
      <c r="L471">
        <v>4664</v>
      </c>
      <c r="M471" s="1">
        <f t="shared" si="15"/>
        <v>45929</v>
      </c>
      <c r="N471" t="s">
        <v>1641</v>
      </c>
      <c r="O471">
        <v>0</v>
      </c>
    </row>
    <row r="472" spans="1:15">
      <c r="A472" s="6" t="s">
        <v>14</v>
      </c>
      <c r="B472" t="s">
        <v>15</v>
      </c>
      <c r="C472" t="s">
        <v>139</v>
      </c>
      <c r="D472" t="s">
        <v>140</v>
      </c>
      <c r="E472" s="1">
        <v>45929</v>
      </c>
      <c r="F472">
        <v>2</v>
      </c>
      <c r="G472">
        <v>5382</v>
      </c>
      <c r="H472">
        <v>98888</v>
      </c>
      <c r="I472">
        <v>0</v>
      </c>
      <c r="J472">
        <f t="shared" si="14"/>
        <v>98888</v>
      </c>
      <c r="K472" t="s">
        <v>1640</v>
      </c>
      <c r="L472">
        <v>5382</v>
      </c>
      <c r="M472" s="1">
        <f t="shared" si="15"/>
        <v>45929</v>
      </c>
      <c r="N472" t="s">
        <v>1641</v>
      </c>
      <c r="O472">
        <v>0</v>
      </c>
    </row>
    <row r="473" spans="1:15">
      <c r="A473" s="6" t="s">
        <v>14</v>
      </c>
      <c r="B473" t="s">
        <v>15</v>
      </c>
      <c r="C473" t="s">
        <v>141</v>
      </c>
      <c r="D473" t="s">
        <v>142</v>
      </c>
      <c r="E473" s="1">
        <v>45929</v>
      </c>
      <c r="F473">
        <v>2</v>
      </c>
      <c r="G473">
        <v>5382</v>
      </c>
      <c r="H473">
        <v>98888</v>
      </c>
      <c r="I473">
        <v>0</v>
      </c>
      <c r="J473">
        <f t="shared" si="14"/>
        <v>98888</v>
      </c>
      <c r="K473" t="s">
        <v>1640</v>
      </c>
      <c r="L473">
        <v>5382</v>
      </c>
      <c r="M473" s="1">
        <f t="shared" si="15"/>
        <v>45929</v>
      </c>
      <c r="N473" t="s">
        <v>1641</v>
      </c>
      <c r="O473">
        <v>0</v>
      </c>
    </row>
    <row r="474" spans="1:15">
      <c r="A474" s="6" t="s">
        <v>14</v>
      </c>
      <c r="B474" t="s">
        <v>15</v>
      </c>
      <c r="C474" t="s">
        <v>143</v>
      </c>
      <c r="D474" t="s">
        <v>144</v>
      </c>
      <c r="E474" s="1">
        <v>45929</v>
      </c>
      <c r="F474">
        <v>2</v>
      </c>
      <c r="G474">
        <v>5704</v>
      </c>
      <c r="H474">
        <v>108000</v>
      </c>
      <c r="I474">
        <v>0</v>
      </c>
      <c r="J474">
        <f t="shared" si="14"/>
        <v>108000</v>
      </c>
      <c r="K474" t="s">
        <v>1640</v>
      </c>
      <c r="L474">
        <v>5704</v>
      </c>
      <c r="M474" s="1">
        <f t="shared" si="15"/>
        <v>45929</v>
      </c>
      <c r="N474" t="s">
        <v>1641</v>
      </c>
      <c r="O474">
        <v>0</v>
      </c>
    </row>
    <row r="475" spans="1:15">
      <c r="A475" s="6" t="s">
        <v>14</v>
      </c>
      <c r="B475" t="s">
        <v>15</v>
      </c>
      <c r="C475" t="s">
        <v>145</v>
      </c>
      <c r="D475" t="s">
        <v>146</v>
      </c>
      <c r="E475" s="1">
        <v>45929</v>
      </c>
      <c r="F475">
        <v>2</v>
      </c>
      <c r="G475">
        <v>2237.1999999999998</v>
      </c>
      <c r="H475">
        <v>78000</v>
      </c>
      <c r="I475">
        <v>0</v>
      </c>
      <c r="J475">
        <f t="shared" si="14"/>
        <v>78000</v>
      </c>
      <c r="K475" t="s">
        <v>1640</v>
      </c>
      <c r="L475">
        <v>2237.1999999999998</v>
      </c>
      <c r="M475" s="1">
        <f t="shared" si="15"/>
        <v>45929</v>
      </c>
      <c r="N475" t="s">
        <v>1641</v>
      </c>
      <c r="O475">
        <v>0</v>
      </c>
    </row>
    <row r="476" spans="1:15">
      <c r="A476" s="6" t="s">
        <v>14</v>
      </c>
      <c r="B476" t="s">
        <v>15</v>
      </c>
      <c r="C476" t="s">
        <v>147</v>
      </c>
      <c r="D476" t="s">
        <v>148</v>
      </c>
      <c r="E476" s="1">
        <v>45929</v>
      </c>
      <c r="F476">
        <v>2</v>
      </c>
      <c r="G476">
        <v>2752</v>
      </c>
      <c r="H476">
        <v>81225</v>
      </c>
      <c r="I476">
        <v>0</v>
      </c>
      <c r="J476">
        <f t="shared" si="14"/>
        <v>81225</v>
      </c>
      <c r="K476" t="s">
        <v>1640</v>
      </c>
      <c r="L476">
        <v>2752</v>
      </c>
      <c r="M476" s="1">
        <f t="shared" si="15"/>
        <v>45929</v>
      </c>
      <c r="N476" t="s">
        <v>1641</v>
      </c>
      <c r="O476">
        <v>0</v>
      </c>
    </row>
    <row r="477" spans="1:15">
      <c r="A477" s="6" t="s">
        <v>14</v>
      </c>
      <c r="B477" t="s">
        <v>15</v>
      </c>
      <c r="C477" t="s">
        <v>149</v>
      </c>
      <c r="D477" t="s">
        <v>150</v>
      </c>
      <c r="E477" s="1">
        <v>45929</v>
      </c>
      <c r="F477">
        <v>2</v>
      </c>
      <c r="G477">
        <v>3445</v>
      </c>
      <c r="H477">
        <v>104637</v>
      </c>
      <c r="I477">
        <v>0</v>
      </c>
      <c r="J477">
        <f t="shared" si="14"/>
        <v>104637</v>
      </c>
      <c r="K477" t="s">
        <v>1640</v>
      </c>
      <c r="L477">
        <v>3445</v>
      </c>
      <c r="M477" s="1">
        <f t="shared" si="15"/>
        <v>45929</v>
      </c>
      <c r="N477" t="s">
        <v>1641</v>
      </c>
      <c r="O477">
        <v>0</v>
      </c>
    </row>
    <row r="478" spans="1:15">
      <c r="A478" s="6" t="s">
        <v>14</v>
      </c>
      <c r="B478" t="s">
        <v>15</v>
      </c>
      <c r="C478" t="s">
        <v>151</v>
      </c>
      <c r="D478" t="s">
        <v>152</v>
      </c>
      <c r="E478" s="1">
        <v>45929</v>
      </c>
      <c r="F478">
        <v>2</v>
      </c>
      <c r="G478">
        <v>4288</v>
      </c>
      <c r="H478">
        <v>79477</v>
      </c>
      <c r="I478">
        <v>0</v>
      </c>
      <c r="J478">
        <f t="shared" si="14"/>
        <v>79477</v>
      </c>
      <c r="K478" t="s">
        <v>1640</v>
      </c>
      <c r="L478">
        <v>4288</v>
      </c>
      <c r="M478" s="1">
        <f t="shared" si="15"/>
        <v>45929</v>
      </c>
      <c r="N478" t="s">
        <v>1641</v>
      </c>
      <c r="O478">
        <v>0</v>
      </c>
    </row>
    <row r="479" spans="1:15">
      <c r="A479" s="6" t="s">
        <v>14</v>
      </c>
      <c r="B479" t="s">
        <v>15</v>
      </c>
      <c r="C479" t="s">
        <v>153</v>
      </c>
      <c r="D479" t="s">
        <v>154</v>
      </c>
      <c r="E479" s="1">
        <v>45929</v>
      </c>
      <c r="F479">
        <v>2</v>
      </c>
      <c r="G479">
        <v>3306</v>
      </c>
      <c r="H479">
        <v>100000</v>
      </c>
      <c r="I479">
        <v>0</v>
      </c>
      <c r="J479">
        <f t="shared" si="14"/>
        <v>100000</v>
      </c>
      <c r="K479" t="s">
        <v>1640</v>
      </c>
      <c r="L479">
        <v>3306</v>
      </c>
      <c r="M479" s="1">
        <f t="shared" si="15"/>
        <v>45929</v>
      </c>
      <c r="N479" t="s">
        <v>1641</v>
      </c>
      <c r="O479">
        <v>0</v>
      </c>
    </row>
    <row r="480" spans="1:15">
      <c r="A480" s="6" t="s">
        <v>14</v>
      </c>
      <c r="B480" t="s">
        <v>15</v>
      </c>
      <c r="C480" t="s">
        <v>155</v>
      </c>
      <c r="D480" t="s">
        <v>156</v>
      </c>
      <c r="E480" s="1">
        <v>45929</v>
      </c>
      <c r="F480">
        <v>2</v>
      </c>
      <c r="G480">
        <v>5520</v>
      </c>
      <c r="H480">
        <v>170000</v>
      </c>
      <c r="I480">
        <v>0</v>
      </c>
      <c r="J480">
        <f t="shared" si="14"/>
        <v>170000</v>
      </c>
      <c r="K480" t="s">
        <v>1640</v>
      </c>
      <c r="L480">
        <v>5520</v>
      </c>
      <c r="M480" s="1">
        <f t="shared" si="15"/>
        <v>45929</v>
      </c>
      <c r="N480" t="s">
        <v>1641</v>
      </c>
      <c r="O480">
        <v>0</v>
      </c>
    </row>
    <row r="481" spans="1:15">
      <c r="A481" s="6" t="s">
        <v>14</v>
      </c>
      <c r="B481" t="s">
        <v>15</v>
      </c>
      <c r="C481" t="s">
        <v>157</v>
      </c>
      <c r="D481" t="s">
        <v>158</v>
      </c>
      <c r="E481" s="1">
        <v>45929</v>
      </c>
      <c r="F481">
        <v>2</v>
      </c>
      <c r="G481">
        <v>2970</v>
      </c>
      <c r="H481">
        <v>89244</v>
      </c>
      <c r="I481">
        <v>0</v>
      </c>
      <c r="J481">
        <f t="shared" si="14"/>
        <v>89244</v>
      </c>
      <c r="K481" t="s">
        <v>1640</v>
      </c>
      <c r="L481">
        <v>2970</v>
      </c>
      <c r="M481" s="1">
        <f t="shared" si="15"/>
        <v>45929</v>
      </c>
      <c r="N481" t="s">
        <v>1641</v>
      </c>
      <c r="O481">
        <v>0</v>
      </c>
    </row>
    <row r="482" spans="1:15">
      <c r="A482" s="6" t="s">
        <v>14</v>
      </c>
      <c r="B482" t="s">
        <v>15</v>
      </c>
      <c r="C482" t="s">
        <v>159</v>
      </c>
      <c r="D482" t="s">
        <v>160</v>
      </c>
      <c r="E482" s="1">
        <v>45929</v>
      </c>
      <c r="F482">
        <v>2</v>
      </c>
      <c r="G482">
        <v>5428</v>
      </c>
      <c r="H482">
        <v>100000</v>
      </c>
      <c r="I482">
        <v>0</v>
      </c>
      <c r="J482">
        <f t="shared" si="14"/>
        <v>100000</v>
      </c>
      <c r="K482" t="s">
        <v>1640</v>
      </c>
      <c r="L482">
        <v>5428</v>
      </c>
      <c r="M482" s="1">
        <f t="shared" si="15"/>
        <v>45929</v>
      </c>
      <c r="N482" t="s">
        <v>1641</v>
      </c>
      <c r="O482">
        <v>0</v>
      </c>
    </row>
    <row r="483" spans="1:15">
      <c r="A483" s="6" t="s">
        <v>14</v>
      </c>
      <c r="B483" t="s">
        <v>15</v>
      </c>
      <c r="C483" t="s">
        <v>161</v>
      </c>
      <c r="D483" t="s">
        <v>162</v>
      </c>
      <c r="E483" s="1">
        <v>45929</v>
      </c>
      <c r="F483">
        <v>2</v>
      </c>
      <c r="G483">
        <v>2862</v>
      </c>
      <c r="H483">
        <v>86000</v>
      </c>
      <c r="I483">
        <v>0</v>
      </c>
      <c r="J483">
        <f t="shared" si="14"/>
        <v>86000</v>
      </c>
      <c r="K483" t="s">
        <v>1640</v>
      </c>
      <c r="L483">
        <v>2862</v>
      </c>
      <c r="M483" s="1">
        <f t="shared" si="15"/>
        <v>45929</v>
      </c>
      <c r="N483" t="s">
        <v>1641</v>
      </c>
      <c r="O483">
        <v>0</v>
      </c>
    </row>
    <row r="484" spans="1:15">
      <c r="A484" s="6" t="s">
        <v>14</v>
      </c>
      <c r="B484" t="s">
        <v>15</v>
      </c>
      <c r="C484" t="s">
        <v>163</v>
      </c>
      <c r="D484" t="s">
        <v>164</v>
      </c>
      <c r="E484" s="1">
        <v>45929</v>
      </c>
      <c r="F484">
        <v>2</v>
      </c>
      <c r="G484">
        <v>2964</v>
      </c>
      <c r="H484">
        <v>97065</v>
      </c>
      <c r="I484">
        <v>0</v>
      </c>
      <c r="J484">
        <f t="shared" si="14"/>
        <v>97065</v>
      </c>
      <c r="K484" t="s">
        <v>1640</v>
      </c>
      <c r="L484">
        <v>2964</v>
      </c>
      <c r="M484" s="1">
        <f t="shared" si="15"/>
        <v>45929</v>
      </c>
      <c r="N484" t="s">
        <v>1641</v>
      </c>
      <c r="O484">
        <v>0</v>
      </c>
    </row>
    <row r="485" spans="1:15">
      <c r="A485" s="6" t="s">
        <v>14</v>
      </c>
      <c r="B485" t="s">
        <v>15</v>
      </c>
      <c r="C485" t="s">
        <v>165</v>
      </c>
      <c r="D485" t="s">
        <v>166</v>
      </c>
      <c r="E485" s="1">
        <v>45929</v>
      </c>
      <c r="F485">
        <v>2</v>
      </c>
      <c r="G485">
        <v>4235</v>
      </c>
      <c r="H485">
        <v>128998</v>
      </c>
      <c r="I485">
        <v>0</v>
      </c>
      <c r="J485">
        <f t="shared" si="14"/>
        <v>128998</v>
      </c>
      <c r="K485" t="s">
        <v>1640</v>
      </c>
      <c r="L485">
        <v>4235</v>
      </c>
      <c r="M485" s="1">
        <f t="shared" si="15"/>
        <v>45929</v>
      </c>
      <c r="N485" t="s">
        <v>1641</v>
      </c>
      <c r="O485">
        <v>0</v>
      </c>
    </row>
    <row r="486" spans="1:15">
      <c r="A486" s="6" t="s">
        <v>14</v>
      </c>
      <c r="B486" t="s">
        <v>15</v>
      </c>
      <c r="C486" t="s">
        <v>167</v>
      </c>
      <c r="D486" t="s">
        <v>168</v>
      </c>
      <c r="E486" s="1">
        <v>45929</v>
      </c>
      <c r="F486">
        <v>2</v>
      </c>
      <c r="G486">
        <v>4536</v>
      </c>
      <c r="H486">
        <v>86485</v>
      </c>
      <c r="I486">
        <v>0</v>
      </c>
      <c r="J486">
        <f t="shared" si="14"/>
        <v>86485</v>
      </c>
      <c r="K486" t="s">
        <v>1640</v>
      </c>
      <c r="L486">
        <v>4536</v>
      </c>
      <c r="M486" s="1">
        <f t="shared" si="15"/>
        <v>45929</v>
      </c>
      <c r="N486" t="s">
        <v>1641</v>
      </c>
      <c r="O486">
        <v>0</v>
      </c>
    </row>
    <row r="487" spans="1:15">
      <c r="A487" s="6" t="s">
        <v>14</v>
      </c>
      <c r="B487" t="s">
        <v>15</v>
      </c>
      <c r="C487" t="s">
        <v>169</v>
      </c>
      <c r="D487" t="s">
        <v>170</v>
      </c>
      <c r="E487" s="1">
        <v>45929</v>
      </c>
      <c r="F487">
        <v>2</v>
      </c>
      <c r="G487">
        <v>2805</v>
      </c>
      <c r="H487">
        <v>83860</v>
      </c>
      <c r="I487">
        <v>0</v>
      </c>
      <c r="J487">
        <f t="shared" si="14"/>
        <v>83860</v>
      </c>
      <c r="K487" t="s">
        <v>1640</v>
      </c>
      <c r="L487">
        <v>2805</v>
      </c>
      <c r="M487" s="1">
        <f t="shared" si="15"/>
        <v>45929</v>
      </c>
      <c r="N487" t="s">
        <v>1641</v>
      </c>
      <c r="O487">
        <v>0</v>
      </c>
    </row>
    <row r="488" spans="1:15">
      <c r="A488" s="6" t="s">
        <v>14</v>
      </c>
      <c r="B488" t="s">
        <v>15</v>
      </c>
      <c r="C488" t="s">
        <v>171</v>
      </c>
      <c r="D488" t="s">
        <v>172</v>
      </c>
      <c r="E488" s="1">
        <v>45929</v>
      </c>
      <c r="F488">
        <v>2</v>
      </c>
      <c r="G488">
        <v>5635</v>
      </c>
      <c r="H488">
        <v>169978</v>
      </c>
      <c r="I488">
        <v>0</v>
      </c>
      <c r="J488">
        <f t="shared" si="14"/>
        <v>169978</v>
      </c>
      <c r="K488" t="s">
        <v>1640</v>
      </c>
      <c r="L488">
        <v>5635</v>
      </c>
      <c r="M488" s="1">
        <f t="shared" si="15"/>
        <v>45929</v>
      </c>
      <c r="N488" t="s">
        <v>1641</v>
      </c>
      <c r="O488">
        <v>0</v>
      </c>
    </row>
    <row r="489" spans="1:15">
      <c r="A489" s="6" t="s">
        <v>14</v>
      </c>
      <c r="B489" t="s">
        <v>15</v>
      </c>
      <c r="C489" t="s">
        <v>173</v>
      </c>
      <c r="D489" t="s">
        <v>174</v>
      </c>
      <c r="E489" s="1">
        <v>45929</v>
      </c>
      <c r="F489">
        <v>2</v>
      </c>
      <c r="G489">
        <v>3024</v>
      </c>
      <c r="H489">
        <v>94861</v>
      </c>
      <c r="I489">
        <v>0</v>
      </c>
      <c r="J489">
        <f t="shared" si="14"/>
        <v>94861</v>
      </c>
      <c r="K489" t="s">
        <v>1640</v>
      </c>
      <c r="L489">
        <v>3024</v>
      </c>
      <c r="M489" s="1">
        <f t="shared" si="15"/>
        <v>45929</v>
      </c>
      <c r="N489" t="s">
        <v>1641</v>
      </c>
      <c r="O489">
        <v>0</v>
      </c>
    </row>
    <row r="490" spans="1:15">
      <c r="A490" s="6" t="s">
        <v>14</v>
      </c>
      <c r="B490" t="s">
        <v>15</v>
      </c>
      <c r="C490" t="s">
        <v>175</v>
      </c>
      <c r="D490" t="s">
        <v>176</v>
      </c>
      <c r="E490" s="1">
        <v>45929</v>
      </c>
      <c r="F490">
        <v>2</v>
      </c>
      <c r="G490">
        <v>2800</v>
      </c>
      <c r="H490">
        <v>84036</v>
      </c>
      <c r="I490">
        <v>0</v>
      </c>
      <c r="J490">
        <f t="shared" si="14"/>
        <v>84036</v>
      </c>
      <c r="K490" t="s">
        <v>1640</v>
      </c>
      <c r="L490">
        <v>2800</v>
      </c>
      <c r="M490" s="1">
        <f t="shared" si="15"/>
        <v>45929</v>
      </c>
      <c r="N490" t="s">
        <v>1641</v>
      </c>
      <c r="O490">
        <v>0</v>
      </c>
    </row>
    <row r="491" spans="1:15">
      <c r="A491" s="6" t="s">
        <v>14</v>
      </c>
      <c r="B491" t="s">
        <v>15</v>
      </c>
      <c r="C491" t="s">
        <v>177</v>
      </c>
      <c r="D491" t="s">
        <v>178</v>
      </c>
      <c r="E491" s="1">
        <v>45929</v>
      </c>
      <c r="F491">
        <v>2</v>
      </c>
      <c r="G491">
        <v>3055</v>
      </c>
      <c r="H491">
        <v>73660</v>
      </c>
      <c r="I491">
        <v>0</v>
      </c>
      <c r="J491">
        <f t="shared" si="14"/>
        <v>73660</v>
      </c>
      <c r="K491" t="s">
        <v>1640</v>
      </c>
      <c r="L491">
        <v>3055</v>
      </c>
      <c r="M491" s="1">
        <f t="shared" si="15"/>
        <v>45929</v>
      </c>
      <c r="N491" t="s">
        <v>1641</v>
      </c>
      <c r="O491">
        <v>0</v>
      </c>
    </row>
    <row r="492" spans="1:15">
      <c r="A492" s="6" t="s">
        <v>14</v>
      </c>
      <c r="B492" t="s">
        <v>15</v>
      </c>
      <c r="C492" t="s">
        <v>179</v>
      </c>
      <c r="D492" t="s">
        <v>180</v>
      </c>
      <c r="E492" s="1">
        <v>45929</v>
      </c>
      <c r="F492">
        <v>2</v>
      </c>
      <c r="G492">
        <v>3933</v>
      </c>
      <c r="H492">
        <v>125000</v>
      </c>
      <c r="I492">
        <v>0</v>
      </c>
      <c r="J492">
        <f t="shared" si="14"/>
        <v>125000</v>
      </c>
      <c r="K492" t="s">
        <v>1640</v>
      </c>
      <c r="L492">
        <v>3933</v>
      </c>
      <c r="M492" s="1">
        <f t="shared" si="15"/>
        <v>45929</v>
      </c>
      <c r="N492" t="s">
        <v>1641</v>
      </c>
      <c r="O492">
        <v>0</v>
      </c>
    </row>
    <row r="493" spans="1:15">
      <c r="A493" s="6" t="s">
        <v>14</v>
      </c>
      <c r="B493" t="s">
        <v>15</v>
      </c>
      <c r="C493" t="s">
        <v>181</v>
      </c>
      <c r="D493" t="s">
        <v>182</v>
      </c>
      <c r="E493" s="1">
        <v>45929</v>
      </c>
      <c r="F493">
        <v>2</v>
      </c>
      <c r="G493">
        <v>4600</v>
      </c>
      <c r="H493">
        <v>84886</v>
      </c>
      <c r="I493">
        <v>0</v>
      </c>
      <c r="J493">
        <f t="shared" si="14"/>
        <v>84886</v>
      </c>
      <c r="K493" t="s">
        <v>1640</v>
      </c>
      <c r="L493">
        <v>4600</v>
      </c>
      <c r="M493" s="1">
        <f t="shared" si="15"/>
        <v>45929</v>
      </c>
      <c r="N493" t="s">
        <v>1641</v>
      </c>
      <c r="O493">
        <v>0</v>
      </c>
    </row>
    <row r="494" spans="1:15">
      <c r="A494" s="6" t="s">
        <v>14</v>
      </c>
      <c r="B494" t="s">
        <v>15</v>
      </c>
      <c r="C494" t="s">
        <v>183</v>
      </c>
      <c r="D494" t="s">
        <v>184</v>
      </c>
      <c r="E494" s="1">
        <v>45929</v>
      </c>
      <c r="F494">
        <v>2</v>
      </c>
      <c r="G494">
        <v>2924</v>
      </c>
      <c r="H494">
        <v>87520</v>
      </c>
      <c r="I494">
        <v>0</v>
      </c>
      <c r="J494">
        <f t="shared" si="14"/>
        <v>87520</v>
      </c>
      <c r="K494" t="s">
        <v>1640</v>
      </c>
      <c r="L494">
        <v>2924</v>
      </c>
      <c r="M494" s="1">
        <f t="shared" si="15"/>
        <v>45929</v>
      </c>
      <c r="N494" t="s">
        <v>1641</v>
      </c>
      <c r="O494">
        <v>0</v>
      </c>
    </row>
    <row r="495" spans="1:15">
      <c r="A495" s="6" t="s">
        <v>14</v>
      </c>
      <c r="B495" t="s">
        <v>15</v>
      </c>
      <c r="C495" t="s">
        <v>185</v>
      </c>
      <c r="D495" t="s">
        <v>186</v>
      </c>
      <c r="E495" s="1">
        <v>45929</v>
      </c>
      <c r="F495">
        <v>2</v>
      </c>
      <c r="G495">
        <v>5616</v>
      </c>
      <c r="H495">
        <v>106000</v>
      </c>
      <c r="I495">
        <v>0</v>
      </c>
      <c r="J495">
        <f t="shared" si="14"/>
        <v>106000</v>
      </c>
      <c r="K495" t="s">
        <v>1640</v>
      </c>
      <c r="L495">
        <v>5616</v>
      </c>
      <c r="M495" s="1">
        <f t="shared" si="15"/>
        <v>45929</v>
      </c>
      <c r="N495" t="s">
        <v>1641</v>
      </c>
      <c r="O495">
        <v>0</v>
      </c>
    </row>
    <row r="496" spans="1:15">
      <c r="A496" s="6" t="s">
        <v>14</v>
      </c>
      <c r="B496" t="s">
        <v>15</v>
      </c>
      <c r="C496" t="s">
        <v>187</v>
      </c>
      <c r="D496" t="s">
        <v>188</v>
      </c>
      <c r="E496" s="1">
        <v>45929</v>
      </c>
      <c r="F496">
        <v>2</v>
      </c>
      <c r="G496">
        <v>651</v>
      </c>
      <c r="H496">
        <v>73000</v>
      </c>
      <c r="I496">
        <v>0</v>
      </c>
      <c r="J496">
        <f t="shared" si="14"/>
        <v>73000</v>
      </c>
      <c r="K496" t="s">
        <v>1640</v>
      </c>
      <c r="L496">
        <v>651</v>
      </c>
      <c r="M496" s="1">
        <f t="shared" si="15"/>
        <v>45929</v>
      </c>
      <c r="N496" t="s">
        <v>1641</v>
      </c>
      <c r="O496">
        <v>0</v>
      </c>
    </row>
    <row r="497" spans="1:15">
      <c r="A497" s="6" t="s">
        <v>14</v>
      </c>
      <c r="B497" t="s">
        <v>15</v>
      </c>
      <c r="C497" t="s">
        <v>189</v>
      </c>
      <c r="D497" t="s">
        <v>190</v>
      </c>
      <c r="E497" s="1">
        <v>45929</v>
      </c>
      <c r="F497">
        <v>2</v>
      </c>
      <c r="G497">
        <v>3750</v>
      </c>
      <c r="H497">
        <v>88000</v>
      </c>
      <c r="I497">
        <v>0</v>
      </c>
      <c r="J497">
        <f t="shared" si="14"/>
        <v>88000</v>
      </c>
      <c r="K497" t="s">
        <v>1640</v>
      </c>
      <c r="L497">
        <v>3750</v>
      </c>
      <c r="M497" s="1">
        <f t="shared" si="15"/>
        <v>45929</v>
      </c>
      <c r="N497" t="s">
        <v>1641</v>
      </c>
      <c r="O497">
        <v>0</v>
      </c>
    </row>
    <row r="498" spans="1:15">
      <c r="A498" s="6" t="s">
        <v>14</v>
      </c>
      <c r="B498" t="s">
        <v>15</v>
      </c>
      <c r="C498" t="s">
        <v>191</v>
      </c>
      <c r="D498" t="s">
        <v>192</v>
      </c>
      <c r="E498" s="1">
        <v>45929</v>
      </c>
      <c r="F498">
        <v>2</v>
      </c>
      <c r="G498">
        <v>3933</v>
      </c>
      <c r="H498">
        <v>74625</v>
      </c>
      <c r="I498">
        <v>0</v>
      </c>
      <c r="J498">
        <f t="shared" si="14"/>
        <v>74625</v>
      </c>
      <c r="K498" t="s">
        <v>1640</v>
      </c>
      <c r="L498">
        <v>3933</v>
      </c>
      <c r="M498" s="1">
        <f t="shared" si="15"/>
        <v>45929</v>
      </c>
      <c r="N498" t="s">
        <v>1641</v>
      </c>
      <c r="O498">
        <v>0</v>
      </c>
    </row>
    <row r="499" spans="1:15">
      <c r="A499" s="6" t="s">
        <v>14</v>
      </c>
      <c r="B499" t="s">
        <v>15</v>
      </c>
      <c r="C499" t="s">
        <v>193</v>
      </c>
      <c r="D499" t="s">
        <v>194</v>
      </c>
      <c r="E499" s="1">
        <v>45929</v>
      </c>
      <c r="F499">
        <v>2</v>
      </c>
      <c r="G499">
        <v>4725</v>
      </c>
      <c r="H499">
        <v>88848</v>
      </c>
      <c r="I499">
        <v>0</v>
      </c>
      <c r="J499">
        <f t="shared" si="14"/>
        <v>88848</v>
      </c>
      <c r="K499" t="s">
        <v>1640</v>
      </c>
      <c r="L499">
        <v>4725</v>
      </c>
      <c r="M499" s="1">
        <f t="shared" si="15"/>
        <v>45929</v>
      </c>
      <c r="N499" t="s">
        <v>1641</v>
      </c>
      <c r="O499">
        <v>0</v>
      </c>
    </row>
    <row r="500" spans="1:15">
      <c r="A500" s="6" t="s">
        <v>14</v>
      </c>
      <c r="B500" t="s">
        <v>15</v>
      </c>
      <c r="C500" t="s">
        <v>195</v>
      </c>
      <c r="D500" t="s">
        <v>196</v>
      </c>
      <c r="E500" s="1">
        <v>45929</v>
      </c>
      <c r="F500">
        <v>2</v>
      </c>
      <c r="G500">
        <v>2340</v>
      </c>
      <c r="H500">
        <v>69800</v>
      </c>
      <c r="I500">
        <v>0</v>
      </c>
      <c r="J500">
        <f t="shared" si="14"/>
        <v>69800</v>
      </c>
      <c r="K500" t="s">
        <v>1640</v>
      </c>
      <c r="L500">
        <v>2340</v>
      </c>
      <c r="M500" s="1">
        <f t="shared" si="15"/>
        <v>45929</v>
      </c>
      <c r="N500" t="s">
        <v>1641</v>
      </c>
      <c r="O500">
        <v>0</v>
      </c>
    </row>
    <row r="501" spans="1:15">
      <c r="A501" s="6" t="s">
        <v>14</v>
      </c>
      <c r="B501" t="s">
        <v>15</v>
      </c>
      <c r="C501" t="s">
        <v>197</v>
      </c>
      <c r="D501" t="s">
        <v>198</v>
      </c>
      <c r="E501" s="1">
        <v>45929</v>
      </c>
      <c r="F501">
        <v>2</v>
      </c>
      <c r="G501">
        <v>2730</v>
      </c>
      <c r="H501">
        <v>84220</v>
      </c>
      <c r="I501">
        <v>0</v>
      </c>
      <c r="J501">
        <f t="shared" si="14"/>
        <v>84220</v>
      </c>
      <c r="K501" t="s">
        <v>1640</v>
      </c>
      <c r="L501">
        <v>2730</v>
      </c>
      <c r="M501" s="1">
        <f t="shared" si="15"/>
        <v>45929</v>
      </c>
      <c r="N501" t="s">
        <v>1641</v>
      </c>
      <c r="O501">
        <v>0</v>
      </c>
    </row>
    <row r="502" spans="1:15">
      <c r="A502" s="6" t="s">
        <v>14</v>
      </c>
      <c r="B502" t="s">
        <v>15</v>
      </c>
      <c r="C502" t="s">
        <v>199</v>
      </c>
      <c r="D502" t="s">
        <v>200</v>
      </c>
      <c r="E502" s="1">
        <v>45929</v>
      </c>
      <c r="F502">
        <v>2</v>
      </c>
      <c r="G502">
        <v>4080</v>
      </c>
      <c r="H502">
        <v>79275</v>
      </c>
      <c r="I502">
        <v>0</v>
      </c>
      <c r="J502">
        <f t="shared" si="14"/>
        <v>79275</v>
      </c>
      <c r="K502" t="s">
        <v>1640</v>
      </c>
      <c r="L502">
        <v>4080</v>
      </c>
      <c r="M502" s="1">
        <f t="shared" si="15"/>
        <v>45929</v>
      </c>
      <c r="N502" t="s">
        <v>1641</v>
      </c>
      <c r="O502">
        <v>0</v>
      </c>
    </row>
    <row r="503" spans="1:15">
      <c r="A503" s="6" t="s">
        <v>14</v>
      </c>
      <c r="B503" t="s">
        <v>15</v>
      </c>
      <c r="C503" t="s">
        <v>201</v>
      </c>
      <c r="D503" t="s">
        <v>202</v>
      </c>
      <c r="E503" s="1">
        <v>45929</v>
      </c>
      <c r="F503">
        <v>2</v>
      </c>
      <c r="G503">
        <v>2814</v>
      </c>
      <c r="H503">
        <v>81975</v>
      </c>
      <c r="I503">
        <v>0</v>
      </c>
      <c r="J503">
        <f t="shared" si="14"/>
        <v>81975</v>
      </c>
      <c r="K503" t="s">
        <v>1640</v>
      </c>
      <c r="L503">
        <v>2814</v>
      </c>
      <c r="M503" s="1">
        <f t="shared" si="15"/>
        <v>45929</v>
      </c>
      <c r="N503" t="s">
        <v>1641</v>
      </c>
      <c r="O503">
        <v>0</v>
      </c>
    </row>
    <row r="504" spans="1:15">
      <c r="A504" s="6" t="s">
        <v>14</v>
      </c>
      <c r="B504" t="s">
        <v>15</v>
      </c>
      <c r="C504" t="s">
        <v>203</v>
      </c>
      <c r="D504" t="s">
        <v>204</v>
      </c>
      <c r="E504" s="1">
        <v>45929</v>
      </c>
      <c r="F504">
        <v>2</v>
      </c>
      <c r="G504">
        <v>2460</v>
      </c>
      <c r="H504">
        <v>74625</v>
      </c>
      <c r="I504">
        <v>0</v>
      </c>
      <c r="J504">
        <f t="shared" si="14"/>
        <v>74625</v>
      </c>
      <c r="K504" t="s">
        <v>1640</v>
      </c>
      <c r="L504">
        <v>2460</v>
      </c>
      <c r="M504" s="1">
        <f t="shared" si="15"/>
        <v>45929</v>
      </c>
      <c r="N504" t="s">
        <v>1641</v>
      </c>
      <c r="O504">
        <v>0</v>
      </c>
    </row>
    <row r="505" spans="1:15">
      <c r="A505" s="6" t="s">
        <v>14</v>
      </c>
      <c r="B505" t="s">
        <v>15</v>
      </c>
      <c r="C505" t="s">
        <v>205</v>
      </c>
      <c r="D505" t="s">
        <v>206</v>
      </c>
      <c r="E505" s="1">
        <v>45929</v>
      </c>
      <c r="F505">
        <v>2</v>
      </c>
      <c r="G505">
        <v>5805</v>
      </c>
      <c r="H505">
        <v>172980</v>
      </c>
      <c r="I505">
        <v>0</v>
      </c>
      <c r="J505">
        <f t="shared" si="14"/>
        <v>172980</v>
      </c>
      <c r="K505" t="s">
        <v>1640</v>
      </c>
      <c r="L505">
        <v>5805</v>
      </c>
      <c r="M505" s="1">
        <f t="shared" si="15"/>
        <v>45929</v>
      </c>
      <c r="N505" t="s">
        <v>1641</v>
      </c>
      <c r="O505">
        <v>0</v>
      </c>
    </row>
    <row r="506" spans="1:15">
      <c r="A506" s="6" t="s">
        <v>14</v>
      </c>
      <c r="B506" t="s">
        <v>15</v>
      </c>
      <c r="C506" t="s">
        <v>207</v>
      </c>
      <c r="D506" t="s">
        <v>208</v>
      </c>
      <c r="E506" s="1">
        <v>45929</v>
      </c>
      <c r="F506">
        <v>2</v>
      </c>
      <c r="G506">
        <v>2360</v>
      </c>
      <c r="H506">
        <v>73000</v>
      </c>
      <c r="I506">
        <v>0</v>
      </c>
      <c r="J506">
        <f t="shared" si="14"/>
        <v>73000</v>
      </c>
      <c r="K506" t="s">
        <v>1640</v>
      </c>
      <c r="L506">
        <v>2360</v>
      </c>
      <c r="M506" s="1">
        <f t="shared" si="15"/>
        <v>45929</v>
      </c>
      <c r="N506" t="s">
        <v>1641</v>
      </c>
      <c r="O506">
        <v>0</v>
      </c>
    </row>
    <row r="507" spans="1:15">
      <c r="A507" s="6" t="s">
        <v>14</v>
      </c>
      <c r="B507" t="s">
        <v>15</v>
      </c>
      <c r="C507" t="s">
        <v>209</v>
      </c>
      <c r="D507" t="s">
        <v>210</v>
      </c>
      <c r="E507" s="1">
        <v>45929</v>
      </c>
      <c r="F507">
        <v>2</v>
      </c>
      <c r="G507">
        <v>5760</v>
      </c>
      <c r="H507">
        <v>187000</v>
      </c>
      <c r="I507">
        <v>0</v>
      </c>
      <c r="J507">
        <f t="shared" si="14"/>
        <v>187000</v>
      </c>
      <c r="K507" t="s">
        <v>1640</v>
      </c>
      <c r="L507">
        <v>5760</v>
      </c>
      <c r="M507" s="1">
        <f t="shared" si="15"/>
        <v>45929</v>
      </c>
      <c r="N507" t="s">
        <v>1641</v>
      </c>
      <c r="O507">
        <v>0</v>
      </c>
    </row>
    <row r="508" spans="1:15">
      <c r="A508" s="6" t="s">
        <v>14</v>
      </c>
      <c r="B508" t="s">
        <v>15</v>
      </c>
      <c r="C508" t="s">
        <v>211</v>
      </c>
      <c r="D508" t="s">
        <v>212</v>
      </c>
      <c r="E508" s="1">
        <v>45929</v>
      </c>
      <c r="F508">
        <v>2</v>
      </c>
      <c r="G508">
        <v>2000</v>
      </c>
      <c r="H508">
        <v>55200</v>
      </c>
      <c r="I508">
        <v>0</v>
      </c>
      <c r="J508">
        <f t="shared" si="14"/>
        <v>55200</v>
      </c>
      <c r="K508" t="s">
        <v>1640</v>
      </c>
      <c r="L508">
        <v>2000</v>
      </c>
      <c r="M508" s="1">
        <f t="shared" si="15"/>
        <v>45929</v>
      </c>
      <c r="N508" t="s">
        <v>1641</v>
      </c>
      <c r="O508">
        <v>0</v>
      </c>
    </row>
    <row r="509" spans="1:15">
      <c r="A509" s="6" t="s">
        <v>14</v>
      </c>
      <c r="B509" t="s">
        <v>15</v>
      </c>
      <c r="C509" t="s">
        <v>213</v>
      </c>
      <c r="D509" t="s">
        <v>214</v>
      </c>
      <c r="E509" s="1">
        <v>45929</v>
      </c>
      <c r="F509">
        <v>2</v>
      </c>
      <c r="G509">
        <v>2940</v>
      </c>
      <c r="H509">
        <v>86200</v>
      </c>
      <c r="I509">
        <v>0</v>
      </c>
      <c r="J509">
        <f t="shared" si="14"/>
        <v>86200</v>
      </c>
      <c r="K509" t="s">
        <v>1640</v>
      </c>
      <c r="L509">
        <v>2940</v>
      </c>
      <c r="M509" s="1">
        <f t="shared" si="15"/>
        <v>45929</v>
      </c>
      <c r="N509" t="s">
        <v>1641</v>
      </c>
      <c r="O509">
        <v>0</v>
      </c>
    </row>
    <row r="510" spans="1:15">
      <c r="A510" s="6" t="s">
        <v>14</v>
      </c>
      <c r="B510" t="s">
        <v>15</v>
      </c>
      <c r="C510" t="s">
        <v>215</v>
      </c>
      <c r="D510" t="s">
        <v>216</v>
      </c>
      <c r="E510" s="1">
        <v>45929</v>
      </c>
      <c r="F510">
        <v>2</v>
      </c>
      <c r="G510">
        <v>2640</v>
      </c>
      <c r="H510">
        <v>78314</v>
      </c>
      <c r="I510">
        <v>0</v>
      </c>
      <c r="J510">
        <f t="shared" si="14"/>
        <v>78314</v>
      </c>
      <c r="K510" t="s">
        <v>1640</v>
      </c>
      <c r="L510">
        <v>2640</v>
      </c>
      <c r="M510" s="1">
        <f t="shared" si="15"/>
        <v>45929</v>
      </c>
      <c r="N510" t="s">
        <v>1641</v>
      </c>
      <c r="O510">
        <v>0</v>
      </c>
    </row>
    <row r="511" spans="1:15">
      <c r="A511" s="6" t="s">
        <v>14</v>
      </c>
      <c r="B511" t="s">
        <v>15</v>
      </c>
      <c r="C511" t="s">
        <v>217</v>
      </c>
      <c r="D511" t="s">
        <v>218</v>
      </c>
      <c r="E511" s="1">
        <v>45929</v>
      </c>
      <c r="F511">
        <v>2</v>
      </c>
      <c r="G511">
        <v>3036</v>
      </c>
      <c r="H511">
        <v>90000</v>
      </c>
      <c r="I511">
        <v>0</v>
      </c>
      <c r="J511">
        <f t="shared" si="14"/>
        <v>90000</v>
      </c>
      <c r="K511" t="s">
        <v>1640</v>
      </c>
      <c r="L511">
        <v>3036</v>
      </c>
      <c r="M511" s="1">
        <f t="shared" si="15"/>
        <v>45929</v>
      </c>
      <c r="N511" t="s">
        <v>1641</v>
      </c>
      <c r="O511">
        <v>0</v>
      </c>
    </row>
    <row r="512" spans="1:15">
      <c r="A512" s="6" t="s">
        <v>14</v>
      </c>
      <c r="B512" t="s">
        <v>15</v>
      </c>
      <c r="C512" t="s">
        <v>219</v>
      </c>
      <c r="D512" t="s">
        <v>220</v>
      </c>
      <c r="E512" s="1">
        <v>45929</v>
      </c>
      <c r="F512">
        <v>2</v>
      </c>
      <c r="G512">
        <v>3914</v>
      </c>
      <c r="H512">
        <v>73000</v>
      </c>
      <c r="I512">
        <v>0</v>
      </c>
      <c r="J512">
        <f t="shared" si="14"/>
        <v>73000</v>
      </c>
      <c r="K512" t="s">
        <v>1640</v>
      </c>
      <c r="L512">
        <v>3914</v>
      </c>
      <c r="M512" s="1">
        <f t="shared" si="15"/>
        <v>45929</v>
      </c>
      <c r="N512" t="s">
        <v>1641</v>
      </c>
      <c r="O512">
        <v>0</v>
      </c>
    </row>
    <row r="513" spans="1:15">
      <c r="A513" s="6" t="s">
        <v>14</v>
      </c>
      <c r="B513" t="s">
        <v>15</v>
      </c>
      <c r="C513" t="s">
        <v>221</v>
      </c>
      <c r="D513" t="s">
        <v>222</v>
      </c>
      <c r="E513" s="1">
        <v>45929</v>
      </c>
      <c r="F513">
        <v>2</v>
      </c>
      <c r="G513">
        <v>2420</v>
      </c>
      <c r="H513">
        <v>73000</v>
      </c>
      <c r="I513">
        <v>0</v>
      </c>
      <c r="J513">
        <f t="shared" si="14"/>
        <v>73000</v>
      </c>
      <c r="K513" t="s">
        <v>1640</v>
      </c>
      <c r="L513">
        <v>2420</v>
      </c>
      <c r="M513" s="1">
        <f t="shared" si="15"/>
        <v>45929</v>
      </c>
      <c r="N513" t="s">
        <v>1641</v>
      </c>
      <c r="O513">
        <v>0</v>
      </c>
    </row>
    <row r="514" spans="1:15">
      <c r="A514" s="6" t="s">
        <v>14</v>
      </c>
      <c r="B514" t="s">
        <v>15</v>
      </c>
      <c r="C514" t="s">
        <v>223</v>
      </c>
      <c r="D514" t="s">
        <v>224</v>
      </c>
      <c r="E514" s="1">
        <v>45929</v>
      </c>
      <c r="F514">
        <v>2</v>
      </c>
      <c r="G514">
        <v>2800</v>
      </c>
      <c r="H514">
        <v>83560</v>
      </c>
      <c r="I514">
        <v>0</v>
      </c>
      <c r="J514">
        <f t="shared" si="14"/>
        <v>83560</v>
      </c>
      <c r="K514" t="s">
        <v>1640</v>
      </c>
      <c r="L514">
        <v>2800</v>
      </c>
      <c r="M514" s="1">
        <f t="shared" si="15"/>
        <v>45929</v>
      </c>
      <c r="N514" t="s">
        <v>1641</v>
      </c>
      <c r="O514">
        <v>0</v>
      </c>
    </row>
    <row r="515" spans="1:15">
      <c r="A515" s="6" t="s">
        <v>14</v>
      </c>
      <c r="B515" t="s">
        <v>15</v>
      </c>
      <c r="C515" t="s">
        <v>225</v>
      </c>
      <c r="D515" t="s">
        <v>226</v>
      </c>
      <c r="E515" s="1">
        <v>45929</v>
      </c>
      <c r="F515">
        <v>2</v>
      </c>
      <c r="G515">
        <v>4860</v>
      </c>
      <c r="H515">
        <v>92000</v>
      </c>
      <c r="I515">
        <v>0</v>
      </c>
      <c r="J515">
        <f t="shared" ref="J515:J578" si="16">H515-I515</f>
        <v>92000</v>
      </c>
      <c r="K515" t="s">
        <v>1640</v>
      </c>
      <c r="L515">
        <v>4860</v>
      </c>
      <c r="M515" s="1">
        <f t="shared" ref="M515:M578" si="17">E515</f>
        <v>45929</v>
      </c>
      <c r="N515" t="s">
        <v>1641</v>
      </c>
      <c r="O515">
        <v>0</v>
      </c>
    </row>
    <row r="516" spans="1:15">
      <c r="A516" s="6" t="s">
        <v>14</v>
      </c>
      <c r="B516" t="s">
        <v>15</v>
      </c>
      <c r="C516" t="s">
        <v>227</v>
      </c>
      <c r="D516" t="s">
        <v>228</v>
      </c>
      <c r="E516" s="1">
        <v>45929</v>
      </c>
      <c r="F516">
        <v>2</v>
      </c>
      <c r="G516">
        <v>2652</v>
      </c>
      <c r="H516">
        <v>79976</v>
      </c>
      <c r="I516">
        <v>0</v>
      </c>
      <c r="J516">
        <f t="shared" si="16"/>
        <v>79976</v>
      </c>
      <c r="K516" t="s">
        <v>1640</v>
      </c>
      <c r="L516">
        <v>2652</v>
      </c>
      <c r="M516" s="1">
        <f t="shared" si="17"/>
        <v>45929</v>
      </c>
      <c r="N516" t="s">
        <v>1641</v>
      </c>
      <c r="O516">
        <v>0</v>
      </c>
    </row>
    <row r="517" spans="1:15">
      <c r="A517" s="6" t="s">
        <v>14</v>
      </c>
      <c r="B517" t="s">
        <v>15</v>
      </c>
      <c r="C517" t="s">
        <v>229</v>
      </c>
      <c r="D517" t="s">
        <v>230</v>
      </c>
      <c r="E517" s="1">
        <v>45929</v>
      </c>
      <c r="F517">
        <v>2</v>
      </c>
      <c r="G517">
        <v>4200</v>
      </c>
      <c r="H517">
        <v>77000</v>
      </c>
      <c r="I517">
        <v>0</v>
      </c>
      <c r="J517">
        <f t="shared" si="16"/>
        <v>77000</v>
      </c>
      <c r="K517" t="s">
        <v>1640</v>
      </c>
      <c r="L517">
        <v>4200</v>
      </c>
      <c r="M517" s="1">
        <f t="shared" si="17"/>
        <v>45929</v>
      </c>
      <c r="N517" t="s">
        <v>1641</v>
      </c>
      <c r="O517">
        <v>0</v>
      </c>
    </row>
    <row r="518" spans="1:15">
      <c r="A518" s="6" t="s">
        <v>14</v>
      </c>
      <c r="B518" t="s">
        <v>15</v>
      </c>
      <c r="C518" t="s">
        <v>231</v>
      </c>
      <c r="D518" t="s">
        <v>232</v>
      </c>
      <c r="E518" s="1">
        <v>45929</v>
      </c>
      <c r="F518">
        <v>2</v>
      </c>
      <c r="G518">
        <v>3920</v>
      </c>
      <c r="H518">
        <v>75800</v>
      </c>
      <c r="I518">
        <v>0</v>
      </c>
      <c r="J518">
        <f t="shared" si="16"/>
        <v>75800</v>
      </c>
      <c r="K518" t="s">
        <v>1640</v>
      </c>
      <c r="L518">
        <v>3920</v>
      </c>
      <c r="M518" s="1">
        <f t="shared" si="17"/>
        <v>45929</v>
      </c>
      <c r="N518" t="s">
        <v>1641</v>
      </c>
      <c r="O518">
        <v>0</v>
      </c>
    </row>
    <row r="519" spans="1:15">
      <c r="A519" s="6" t="s">
        <v>14</v>
      </c>
      <c r="B519" t="s">
        <v>15</v>
      </c>
      <c r="C519" t="s">
        <v>233</v>
      </c>
      <c r="D519" t="s">
        <v>1645</v>
      </c>
      <c r="E519" s="1">
        <v>45929</v>
      </c>
      <c r="F519">
        <v>2</v>
      </c>
      <c r="G519">
        <v>4320</v>
      </c>
      <c r="H519">
        <v>80000</v>
      </c>
      <c r="I519">
        <v>0</v>
      </c>
      <c r="J519">
        <f t="shared" si="16"/>
        <v>80000</v>
      </c>
      <c r="K519" t="s">
        <v>1640</v>
      </c>
      <c r="L519">
        <v>4320</v>
      </c>
      <c r="M519" s="1">
        <f t="shared" si="17"/>
        <v>45929</v>
      </c>
      <c r="N519" t="s">
        <v>1641</v>
      </c>
      <c r="O519">
        <v>0</v>
      </c>
    </row>
    <row r="520" spans="1:15">
      <c r="A520" s="6" t="s">
        <v>14</v>
      </c>
      <c r="B520" t="s">
        <v>15</v>
      </c>
      <c r="C520" t="s">
        <v>234</v>
      </c>
      <c r="D520" t="s">
        <v>235</v>
      </c>
      <c r="E520" s="1">
        <v>45929</v>
      </c>
      <c r="F520">
        <v>2</v>
      </c>
      <c r="G520">
        <v>2850</v>
      </c>
      <c r="H520">
        <v>85800</v>
      </c>
      <c r="I520">
        <v>0</v>
      </c>
      <c r="J520">
        <f t="shared" si="16"/>
        <v>85800</v>
      </c>
      <c r="K520" t="s">
        <v>1640</v>
      </c>
      <c r="L520">
        <v>2850</v>
      </c>
      <c r="M520" s="1">
        <f t="shared" si="17"/>
        <v>45929</v>
      </c>
      <c r="N520" t="s">
        <v>1641</v>
      </c>
      <c r="O520">
        <v>0</v>
      </c>
    </row>
    <row r="521" spans="1:15">
      <c r="A521" s="6" t="s">
        <v>14</v>
      </c>
      <c r="B521" t="s">
        <v>15</v>
      </c>
      <c r="C521" t="s">
        <v>236</v>
      </c>
      <c r="D521" t="s">
        <v>237</v>
      </c>
      <c r="E521" s="1">
        <v>45929</v>
      </c>
      <c r="F521">
        <v>2</v>
      </c>
      <c r="G521">
        <v>2430</v>
      </c>
      <c r="H521">
        <v>73000</v>
      </c>
      <c r="I521">
        <v>0</v>
      </c>
      <c r="J521">
        <f t="shared" si="16"/>
        <v>73000</v>
      </c>
      <c r="K521" t="s">
        <v>1640</v>
      </c>
      <c r="L521">
        <v>2430</v>
      </c>
      <c r="M521" s="1">
        <f t="shared" si="17"/>
        <v>45929</v>
      </c>
      <c r="N521" t="s">
        <v>1641</v>
      </c>
      <c r="O521">
        <v>0</v>
      </c>
    </row>
    <row r="522" spans="1:15">
      <c r="A522" s="6" t="s">
        <v>14</v>
      </c>
      <c r="B522" t="s">
        <v>15</v>
      </c>
      <c r="C522" t="s">
        <v>238</v>
      </c>
      <c r="D522" t="s">
        <v>239</v>
      </c>
      <c r="E522" s="1">
        <v>45929</v>
      </c>
      <c r="F522">
        <v>2</v>
      </c>
      <c r="G522">
        <v>4060</v>
      </c>
      <c r="H522">
        <v>74625</v>
      </c>
      <c r="I522">
        <v>0</v>
      </c>
      <c r="J522">
        <f t="shared" si="16"/>
        <v>74625</v>
      </c>
      <c r="K522" t="s">
        <v>1640</v>
      </c>
      <c r="L522">
        <v>4060</v>
      </c>
      <c r="M522" s="1">
        <f t="shared" si="17"/>
        <v>45929</v>
      </c>
      <c r="N522" t="s">
        <v>1641</v>
      </c>
      <c r="O522">
        <v>0</v>
      </c>
    </row>
    <row r="523" spans="1:15">
      <c r="A523" s="6" t="s">
        <v>14</v>
      </c>
      <c r="B523" t="s">
        <v>15</v>
      </c>
      <c r="C523" t="s">
        <v>240</v>
      </c>
      <c r="D523" t="s">
        <v>241</v>
      </c>
      <c r="E523" s="1">
        <v>45929</v>
      </c>
      <c r="F523">
        <v>2</v>
      </c>
      <c r="G523">
        <v>3080</v>
      </c>
      <c r="H523">
        <v>100000</v>
      </c>
      <c r="I523">
        <v>0</v>
      </c>
      <c r="J523">
        <f t="shared" si="16"/>
        <v>100000</v>
      </c>
      <c r="K523" t="s">
        <v>1640</v>
      </c>
      <c r="L523">
        <v>3080</v>
      </c>
      <c r="M523" s="1">
        <f t="shared" si="17"/>
        <v>45929</v>
      </c>
      <c r="N523" t="s">
        <v>1641</v>
      </c>
      <c r="O523">
        <v>0</v>
      </c>
    </row>
    <row r="524" spans="1:15">
      <c r="A524" s="6" t="s">
        <v>14</v>
      </c>
      <c r="B524" t="s">
        <v>15</v>
      </c>
      <c r="C524" t="s">
        <v>242</v>
      </c>
      <c r="D524" t="s">
        <v>243</v>
      </c>
      <c r="E524" s="1">
        <v>45929</v>
      </c>
      <c r="F524">
        <v>2</v>
      </c>
      <c r="G524">
        <v>2886</v>
      </c>
      <c r="H524">
        <v>84677</v>
      </c>
      <c r="I524">
        <v>0</v>
      </c>
      <c r="J524">
        <f t="shared" si="16"/>
        <v>84677</v>
      </c>
      <c r="K524" t="s">
        <v>1640</v>
      </c>
      <c r="L524">
        <v>2886</v>
      </c>
      <c r="M524" s="1">
        <f t="shared" si="17"/>
        <v>45929</v>
      </c>
      <c r="N524" t="s">
        <v>1641</v>
      </c>
      <c r="O524">
        <v>0</v>
      </c>
    </row>
    <row r="525" spans="1:15">
      <c r="A525" s="6" t="s">
        <v>14</v>
      </c>
      <c r="B525" t="s">
        <v>15</v>
      </c>
      <c r="C525" t="s">
        <v>244</v>
      </c>
      <c r="D525" t="s">
        <v>245</v>
      </c>
      <c r="E525" s="1">
        <v>45929</v>
      </c>
      <c r="F525">
        <v>2</v>
      </c>
      <c r="G525">
        <v>6952</v>
      </c>
      <c r="H525">
        <v>120000</v>
      </c>
      <c r="I525">
        <v>0</v>
      </c>
      <c r="J525">
        <f t="shared" si="16"/>
        <v>120000</v>
      </c>
      <c r="K525" t="s">
        <v>1640</v>
      </c>
      <c r="L525">
        <v>6952</v>
      </c>
      <c r="M525" s="1">
        <f t="shared" si="17"/>
        <v>45929</v>
      </c>
      <c r="N525" t="s">
        <v>1641</v>
      </c>
      <c r="O525">
        <v>0</v>
      </c>
    </row>
    <row r="526" spans="1:15">
      <c r="A526" s="6" t="s">
        <v>14</v>
      </c>
      <c r="B526" t="s">
        <v>15</v>
      </c>
      <c r="C526" t="s">
        <v>246</v>
      </c>
      <c r="D526" t="s">
        <v>247</v>
      </c>
      <c r="E526" s="1">
        <v>45929</v>
      </c>
      <c r="F526">
        <v>2</v>
      </c>
      <c r="G526">
        <v>2756</v>
      </c>
      <c r="H526">
        <v>83985</v>
      </c>
      <c r="I526">
        <v>0</v>
      </c>
      <c r="J526">
        <f t="shared" si="16"/>
        <v>83985</v>
      </c>
      <c r="K526" t="s">
        <v>1640</v>
      </c>
      <c r="L526">
        <v>2756</v>
      </c>
      <c r="M526" s="1">
        <f t="shared" si="17"/>
        <v>45929</v>
      </c>
      <c r="N526" t="s">
        <v>1641</v>
      </c>
      <c r="O526">
        <v>0</v>
      </c>
    </row>
    <row r="527" spans="1:15">
      <c r="A527" s="6" t="s">
        <v>14</v>
      </c>
      <c r="B527" t="s">
        <v>15</v>
      </c>
      <c r="C527" t="s">
        <v>248</v>
      </c>
      <c r="D527" t="s">
        <v>249</v>
      </c>
      <c r="E527" s="1">
        <v>45929</v>
      </c>
      <c r="F527">
        <v>2</v>
      </c>
      <c r="G527">
        <v>2940</v>
      </c>
      <c r="H527">
        <v>77000</v>
      </c>
      <c r="I527">
        <v>0</v>
      </c>
      <c r="J527">
        <f t="shared" si="16"/>
        <v>77000</v>
      </c>
      <c r="K527" t="s">
        <v>1640</v>
      </c>
      <c r="L527">
        <v>2940</v>
      </c>
      <c r="M527" s="1">
        <f t="shared" si="17"/>
        <v>45929</v>
      </c>
      <c r="N527" t="s">
        <v>1641</v>
      </c>
      <c r="O527">
        <v>0</v>
      </c>
    </row>
    <row r="528" spans="1:15">
      <c r="A528" s="6" t="s">
        <v>14</v>
      </c>
      <c r="B528" t="s">
        <v>15</v>
      </c>
      <c r="C528" t="s">
        <v>250</v>
      </c>
      <c r="D528" t="s">
        <v>251</v>
      </c>
      <c r="E528" s="1">
        <v>45929</v>
      </c>
      <c r="F528">
        <v>2</v>
      </c>
      <c r="G528">
        <v>3432</v>
      </c>
      <c r="H528">
        <v>120000</v>
      </c>
      <c r="I528">
        <v>0</v>
      </c>
      <c r="J528">
        <f t="shared" si="16"/>
        <v>120000</v>
      </c>
      <c r="K528" t="s">
        <v>1640</v>
      </c>
      <c r="L528">
        <v>3432</v>
      </c>
      <c r="M528" s="1">
        <f t="shared" si="17"/>
        <v>45929</v>
      </c>
      <c r="N528" t="s">
        <v>1641</v>
      </c>
      <c r="O528">
        <v>0</v>
      </c>
    </row>
    <row r="529" spans="1:15">
      <c r="A529" s="6" t="s">
        <v>14</v>
      </c>
      <c r="B529" t="s">
        <v>15</v>
      </c>
      <c r="C529" t="s">
        <v>252</v>
      </c>
      <c r="D529" t="s">
        <v>253</v>
      </c>
      <c r="E529" s="1">
        <v>45929</v>
      </c>
      <c r="F529">
        <v>2</v>
      </c>
      <c r="G529">
        <v>2409</v>
      </c>
      <c r="H529">
        <v>74625</v>
      </c>
      <c r="I529">
        <v>0</v>
      </c>
      <c r="J529">
        <f t="shared" si="16"/>
        <v>74625</v>
      </c>
      <c r="K529" t="s">
        <v>1640</v>
      </c>
      <c r="L529">
        <v>2409</v>
      </c>
      <c r="M529" s="1">
        <f t="shared" si="17"/>
        <v>45929</v>
      </c>
      <c r="N529" t="s">
        <v>1641</v>
      </c>
      <c r="O529">
        <v>0</v>
      </c>
    </row>
    <row r="530" spans="1:15">
      <c r="A530" s="6" t="s">
        <v>14</v>
      </c>
      <c r="B530" t="s">
        <v>15</v>
      </c>
      <c r="C530" t="s">
        <v>254</v>
      </c>
      <c r="D530" t="s">
        <v>255</v>
      </c>
      <c r="E530" s="1">
        <v>45929</v>
      </c>
      <c r="F530">
        <v>2</v>
      </c>
      <c r="G530">
        <v>3840</v>
      </c>
      <c r="H530">
        <v>115413</v>
      </c>
      <c r="I530">
        <v>0</v>
      </c>
      <c r="J530">
        <f t="shared" si="16"/>
        <v>115413</v>
      </c>
      <c r="K530" t="s">
        <v>1640</v>
      </c>
      <c r="L530">
        <v>3840</v>
      </c>
      <c r="M530" s="1">
        <f t="shared" si="17"/>
        <v>45929</v>
      </c>
      <c r="N530" t="s">
        <v>1641</v>
      </c>
      <c r="O530">
        <v>0</v>
      </c>
    </row>
    <row r="531" spans="1:15">
      <c r="A531" s="6" t="s">
        <v>14</v>
      </c>
      <c r="B531" t="s">
        <v>15</v>
      </c>
      <c r="C531" t="s">
        <v>256</v>
      </c>
      <c r="D531" t="s">
        <v>257</v>
      </c>
      <c r="E531" s="1">
        <v>45929</v>
      </c>
      <c r="F531">
        <v>2</v>
      </c>
      <c r="G531">
        <v>3375</v>
      </c>
      <c r="H531">
        <v>105000</v>
      </c>
      <c r="I531">
        <v>0</v>
      </c>
      <c r="J531">
        <f t="shared" si="16"/>
        <v>105000</v>
      </c>
      <c r="K531" t="s">
        <v>1640</v>
      </c>
      <c r="L531">
        <v>3375</v>
      </c>
      <c r="M531" s="1">
        <f t="shared" si="17"/>
        <v>45929</v>
      </c>
      <c r="N531" t="s">
        <v>1641</v>
      </c>
      <c r="O531">
        <v>0</v>
      </c>
    </row>
    <row r="532" spans="1:15">
      <c r="A532" s="6" t="s">
        <v>14</v>
      </c>
      <c r="B532" t="s">
        <v>15</v>
      </c>
      <c r="C532" t="s">
        <v>258</v>
      </c>
      <c r="D532" t="s">
        <v>259</v>
      </c>
      <c r="E532" s="1">
        <v>45929</v>
      </c>
      <c r="F532">
        <v>2</v>
      </c>
      <c r="G532">
        <v>4307</v>
      </c>
      <c r="H532">
        <v>79553</v>
      </c>
      <c r="I532">
        <v>0</v>
      </c>
      <c r="J532">
        <f t="shared" si="16"/>
        <v>79553</v>
      </c>
      <c r="K532" t="s">
        <v>1640</v>
      </c>
      <c r="L532">
        <v>4307</v>
      </c>
      <c r="M532" s="1">
        <f t="shared" si="17"/>
        <v>45929</v>
      </c>
      <c r="N532" t="s">
        <v>1641</v>
      </c>
      <c r="O532">
        <v>0</v>
      </c>
    </row>
    <row r="533" spans="1:15">
      <c r="A533" s="6" t="s">
        <v>14</v>
      </c>
      <c r="B533" t="s">
        <v>15</v>
      </c>
      <c r="C533" t="s">
        <v>260</v>
      </c>
      <c r="D533" t="s">
        <v>261</v>
      </c>
      <c r="E533" s="1">
        <v>45929</v>
      </c>
      <c r="F533">
        <v>2</v>
      </c>
      <c r="G533">
        <v>2660</v>
      </c>
      <c r="H533">
        <v>78299</v>
      </c>
      <c r="I533">
        <v>0</v>
      </c>
      <c r="J533">
        <f t="shared" si="16"/>
        <v>78299</v>
      </c>
      <c r="K533" t="s">
        <v>1640</v>
      </c>
      <c r="L533">
        <v>2660</v>
      </c>
      <c r="M533" s="1">
        <f t="shared" si="17"/>
        <v>45929</v>
      </c>
      <c r="N533" t="s">
        <v>1641</v>
      </c>
      <c r="O533">
        <v>0</v>
      </c>
    </row>
    <row r="534" spans="1:15">
      <c r="A534" s="6" t="s">
        <v>14</v>
      </c>
      <c r="B534" t="s">
        <v>15</v>
      </c>
      <c r="C534" t="s">
        <v>262</v>
      </c>
      <c r="D534" t="s">
        <v>263</v>
      </c>
      <c r="E534" s="1">
        <v>45929</v>
      </c>
      <c r="F534">
        <v>2</v>
      </c>
      <c r="G534">
        <v>2592</v>
      </c>
      <c r="H534">
        <v>78645</v>
      </c>
      <c r="I534">
        <v>0</v>
      </c>
      <c r="J534">
        <f t="shared" si="16"/>
        <v>78645</v>
      </c>
      <c r="K534" t="s">
        <v>1640</v>
      </c>
      <c r="L534">
        <v>2592</v>
      </c>
      <c r="M534" s="1">
        <f t="shared" si="17"/>
        <v>45929</v>
      </c>
      <c r="N534" t="s">
        <v>1641</v>
      </c>
      <c r="O534">
        <v>0</v>
      </c>
    </row>
    <row r="535" spans="1:15">
      <c r="A535" s="6" t="s">
        <v>14</v>
      </c>
      <c r="B535" t="s">
        <v>15</v>
      </c>
      <c r="C535" t="s">
        <v>264</v>
      </c>
      <c r="D535" t="s">
        <v>265</v>
      </c>
      <c r="E535" s="1">
        <v>45929</v>
      </c>
      <c r="F535">
        <v>2</v>
      </c>
      <c r="G535">
        <v>3850</v>
      </c>
      <c r="H535">
        <v>115960</v>
      </c>
      <c r="I535">
        <v>0</v>
      </c>
      <c r="J535">
        <f t="shared" si="16"/>
        <v>115960</v>
      </c>
      <c r="K535" t="s">
        <v>1640</v>
      </c>
      <c r="L535">
        <v>3850</v>
      </c>
      <c r="M535" s="1">
        <f t="shared" si="17"/>
        <v>45929</v>
      </c>
      <c r="N535" t="s">
        <v>1641</v>
      </c>
      <c r="O535">
        <v>0</v>
      </c>
    </row>
    <row r="536" spans="1:15">
      <c r="A536" s="6" t="s">
        <v>14</v>
      </c>
      <c r="B536" t="s">
        <v>15</v>
      </c>
      <c r="C536" t="s">
        <v>266</v>
      </c>
      <c r="D536" t="s">
        <v>267</v>
      </c>
      <c r="E536" s="1">
        <v>45929</v>
      </c>
      <c r="F536">
        <v>2</v>
      </c>
      <c r="G536">
        <v>2300</v>
      </c>
      <c r="H536">
        <v>43500</v>
      </c>
      <c r="I536">
        <v>0</v>
      </c>
      <c r="J536">
        <f t="shared" si="16"/>
        <v>43500</v>
      </c>
      <c r="K536" t="s">
        <v>1640</v>
      </c>
      <c r="L536">
        <v>2300</v>
      </c>
      <c r="M536" s="1">
        <f t="shared" si="17"/>
        <v>45929</v>
      </c>
      <c r="N536" t="s">
        <v>1641</v>
      </c>
      <c r="O536">
        <v>0</v>
      </c>
    </row>
    <row r="537" spans="1:15">
      <c r="A537" s="6" t="s">
        <v>14</v>
      </c>
      <c r="B537" t="s">
        <v>15</v>
      </c>
      <c r="C537" t="s">
        <v>268</v>
      </c>
      <c r="D537" t="s">
        <v>269</v>
      </c>
      <c r="E537" s="1">
        <v>45929</v>
      </c>
      <c r="F537">
        <v>2</v>
      </c>
      <c r="G537">
        <v>3990</v>
      </c>
      <c r="H537">
        <v>73000</v>
      </c>
      <c r="I537">
        <v>0</v>
      </c>
      <c r="J537">
        <f t="shared" si="16"/>
        <v>73000</v>
      </c>
      <c r="K537" t="s">
        <v>1640</v>
      </c>
      <c r="L537">
        <v>3990</v>
      </c>
      <c r="M537" s="1">
        <f t="shared" si="17"/>
        <v>45929</v>
      </c>
      <c r="N537" t="s">
        <v>1641</v>
      </c>
      <c r="O537">
        <v>0</v>
      </c>
    </row>
    <row r="538" spans="1:15">
      <c r="A538" s="6" t="s">
        <v>14</v>
      </c>
      <c r="B538" t="s">
        <v>15</v>
      </c>
      <c r="C538" t="s">
        <v>270</v>
      </c>
      <c r="D538" t="s">
        <v>271</v>
      </c>
      <c r="E538" s="1">
        <v>45929</v>
      </c>
      <c r="F538">
        <v>2</v>
      </c>
      <c r="G538">
        <v>4872</v>
      </c>
      <c r="H538">
        <v>121733</v>
      </c>
      <c r="I538">
        <v>0</v>
      </c>
      <c r="J538">
        <f t="shared" si="16"/>
        <v>121733</v>
      </c>
      <c r="K538" t="s">
        <v>1640</v>
      </c>
      <c r="L538">
        <v>4872</v>
      </c>
      <c r="M538" s="1">
        <f t="shared" si="17"/>
        <v>45929</v>
      </c>
      <c r="N538" t="s">
        <v>1641</v>
      </c>
      <c r="O538">
        <v>0</v>
      </c>
    </row>
    <row r="539" spans="1:15">
      <c r="A539" s="6" t="s">
        <v>14</v>
      </c>
      <c r="B539" t="s">
        <v>15</v>
      </c>
      <c r="C539" t="s">
        <v>274</v>
      </c>
      <c r="D539" t="s">
        <v>275</v>
      </c>
      <c r="E539" s="1">
        <v>45929</v>
      </c>
      <c r="F539">
        <v>2</v>
      </c>
      <c r="G539">
        <v>2400</v>
      </c>
      <c r="H539">
        <v>73000</v>
      </c>
      <c r="I539">
        <v>0</v>
      </c>
      <c r="J539">
        <f t="shared" si="16"/>
        <v>73000</v>
      </c>
      <c r="K539" t="s">
        <v>1640</v>
      </c>
      <c r="L539">
        <v>2400</v>
      </c>
      <c r="M539" s="1">
        <f t="shared" si="17"/>
        <v>45929</v>
      </c>
      <c r="N539" t="s">
        <v>1641</v>
      </c>
      <c r="O539">
        <v>0</v>
      </c>
    </row>
    <row r="540" spans="1:15">
      <c r="A540" s="6" t="s">
        <v>14</v>
      </c>
      <c r="B540" t="s">
        <v>15</v>
      </c>
      <c r="C540" t="s">
        <v>276</v>
      </c>
      <c r="D540" t="s">
        <v>277</v>
      </c>
      <c r="E540" s="1">
        <v>45929</v>
      </c>
      <c r="F540">
        <v>2</v>
      </c>
      <c r="G540">
        <v>2960</v>
      </c>
      <c r="H540">
        <v>82751</v>
      </c>
      <c r="I540">
        <v>0</v>
      </c>
      <c r="J540">
        <f t="shared" si="16"/>
        <v>82751</v>
      </c>
      <c r="K540" t="s">
        <v>1640</v>
      </c>
      <c r="L540">
        <v>2960</v>
      </c>
      <c r="M540" s="1">
        <f t="shared" si="17"/>
        <v>45929</v>
      </c>
      <c r="N540" t="s">
        <v>1641</v>
      </c>
      <c r="O540">
        <v>0</v>
      </c>
    </row>
    <row r="541" spans="1:15">
      <c r="A541" s="6" t="s">
        <v>14</v>
      </c>
      <c r="B541" t="s">
        <v>15</v>
      </c>
      <c r="C541" t="s">
        <v>278</v>
      </c>
      <c r="D541" t="s">
        <v>279</v>
      </c>
      <c r="E541" s="1">
        <v>45929</v>
      </c>
      <c r="F541">
        <v>2</v>
      </c>
      <c r="G541">
        <v>4608</v>
      </c>
      <c r="H541">
        <v>84625</v>
      </c>
      <c r="I541">
        <v>0</v>
      </c>
      <c r="J541">
        <f t="shared" si="16"/>
        <v>84625</v>
      </c>
      <c r="K541" t="s">
        <v>1640</v>
      </c>
      <c r="L541">
        <v>4608</v>
      </c>
      <c r="M541" s="1">
        <f t="shared" si="17"/>
        <v>45929</v>
      </c>
      <c r="N541" t="s">
        <v>1641</v>
      </c>
      <c r="O541">
        <v>0</v>
      </c>
    </row>
    <row r="542" spans="1:15">
      <c r="A542" s="6" t="s">
        <v>14</v>
      </c>
      <c r="B542" t="s">
        <v>15</v>
      </c>
      <c r="C542" t="s">
        <v>280</v>
      </c>
      <c r="D542" t="s">
        <v>281</v>
      </c>
      <c r="E542" s="1">
        <v>45929</v>
      </c>
      <c r="F542">
        <v>2</v>
      </c>
      <c r="G542">
        <v>3180</v>
      </c>
      <c r="H542">
        <v>95000</v>
      </c>
      <c r="I542">
        <v>0</v>
      </c>
      <c r="J542">
        <f t="shared" si="16"/>
        <v>95000</v>
      </c>
      <c r="K542" t="s">
        <v>1640</v>
      </c>
      <c r="L542">
        <v>3180</v>
      </c>
      <c r="M542" s="1">
        <f t="shared" si="17"/>
        <v>45929</v>
      </c>
      <c r="N542" t="s">
        <v>1641</v>
      </c>
      <c r="O542">
        <v>0</v>
      </c>
    </row>
    <row r="543" spans="1:15">
      <c r="A543" s="6" t="s">
        <v>14</v>
      </c>
      <c r="B543" t="s">
        <v>15</v>
      </c>
      <c r="C543" t="s">
        <v>282</v>
      </c>
      <c r="D543" t="s">
        <v>283</v>
      </c>
      <c r="E543" s="1">
        <v>45929</v>
      </c>
      <c r="F543">
        <v>2</v>
      </c>
      <c r="G543">
        <v>2432</v>
      </c>
      <c r="H543">
        <v>73000</v>
      </c>
      <c r="I543">
        <v>0</v>
      </c>
      <c r="J543">
        <f t="shared" si="16"/>
        <v>73000</v>
      </c>
      <c r="K543" t="s">
        <v>1640</v>
      </c>
      <c r="L543">
        <v>2432</v>
      </c>
      <c r="M543" s="1">
        <f t="shared" si="17"/>
        <v>45929</v>
      </c>
      <c r="N543" t="s">
        <v>1641</v>
      </c>
      <c r="O543">
        <v>0</v>
      </c>
    </row>
    <row r="544" spans="1:15">
      <c r="A544" s="6" t="s">
        <v>14</v>
      </c>
      <c r="B544" t="s">
        <v>15</v>
      </c>
      <c r="C544" t="s">
        <v>284</v>
      </c>
      <c r="D544" t="s">
        <v>285</v>
      </c>
      <c r="E544" s="1">
        <v>45929</v>
      </c>
      <c r="F544">
        <v>2</v>
      </c>
      <c r="G544">
        <v>6020</v>
      </c>
      <c r="H544">
        <v>111290</v>
      </c>
      <c r="I544">
        <v>0</v>
      </c>
      <c r="J544">
        <f t="shared" si="16"/>
        <v>111290</v>
      </c>
      <c r="K544" t="s">
        <v>1640</v>
      </c>
      <c r="L544">
        <v>6020</v>
      </c>
      <c r="M544" s="1">
        <f t="shared" si="17"/>
        <v>45929</v>
      </c>
      <c r="N544" t="s">
        <v>1641</v>
      </c>
      <c r="O544">
        <v>0</v>
      </c>
    </row>
    <row r="545" spans="1:15">
      <c r="A545" s="6" t="s">
        <v>14</v>
      </c>
      <c r="B545" t="s">
        <v>15</v>
      </c>
      <c r="C545" t="s">
        <v>286</v>
      </c>
      <c r="D545" t="s">
        <v>287</v>
      </c>
      <c r="E545" s="1">
        <v>45929</v>
      </c>
      <c r="F545">
        <v>2</v>
      </c>
      <c r="G545">
        <v>2835</v>
      </c>
      <c r="H545">
        <v>85900</v>
      </c>
      <c r="I545">
        <v>0</v>
      </c>
      <c r="J545">
        <f t="shared" si="16"/>
        <v>85900</v>
      </c>
      <c r="K545" t="s">
        <v>1640</v>
      </c>
      <c r="L545">
        <v>2835</v>
      </c>
      <c r="M545" s="1">
        <f t="shared" si="17"/>
        <v>45929</v>
      </c>
      <c r="N545" t="s">
        <v>1641</v>
      </c>
      <c r="O545">
        <v>0</v>
      </c>
    </row>
    <row r="546" spans="1:15">
      <c r="A546" s="6" t="s">
        <v>14</v>
      </c>
      <c r="B546" t="s">
        <v>15</v>
      </c>
      <c r="C546" t="s">
        <v>288</v>
      </c>
      <c r="D546" t="s">
        <v>289</v>
      </c>
      <c r="E546" s="1">
        <v>45929</v>
      </c>
      <c r="F546">
        <v>2</v>
      </c>
      <c r="G546">
        <v>4692</v>
      </c>
      <c r="H546">
        <v>85000</v>
      </c>
      <c r="I546">
        <v>0</v>
      </c>
      <c r="J546">
        <f t="shared" si="16"/>
        <v>85000</v>
      </c>
      <c r="K546" t="s">
        <v>1640</v>
      </c>
      <c r="L546">
        <v>4692</v>
      </c>
      <c r="M546" s="1">
        <f t="shared" si="17"/>
        <v>45929</v>
      </c>
      <c r="N546" t="s">
        <v>1641</v>
      </c>
      <c r="O546">
        <v>0</v>
      </c>
    </row>
    <row r="547" spans="1:15">
      <c r="A547" s="6" t="s">
        <v>14</v>
      </c>
      <c r="B547" t="s">
        <v>15</v>
      </c>
      <c r="C547" t="s">
        <v>290</v>
      </c>
      <c r="D547" t="s">
        <v>291</v>
      </c>
      <c r="E547" s="1">
        <v>45929</v>
      </c>
      <c r="F547">
        <v>2</v>
      </c>
      <c r="G547">
        <v>2520</v>
      </c>
      <c r="H547">
        <v>79600</v>
      </c>
      <c r="I547">
        <v>0</v>
      </c>
      <c r="J547">
        <f t="shared" si="16"/>
        <v>79600</v>
      </c>
      <c r="K547" t="s">
        <v>1640</v>
      </c>
      <c r="L547">
        <v>2520</v>
      </c>
      <c r="M547" s="1">
        <f t="shared" si="17"/>
        <v>45929</v>
      </c>
      <c r="N547" t="s">
        <v>1641</v>
      </c>
      <c r="O547">
        <v>0</v>
      </c>
    </row>
    <row r="548" spans="1:15">
      <c r="A548" s="6" t="s">
        <v>14</v>
      </c>
      <c r="B548" t="s">
        <v>15</v>
      </c>
      <c r="C548" t="s">
        <v>292</v>
      </c>
      <c r="D548" t="s">
        <v>293</v>
      </c>
      <c r="E548" s="1">
        <v>45929</v>
      </c>
      <c r="F548">
        <v>2</v>
      </c>
      <c r="G548">
        <v>2250</v>
      </c>
      <c r="H548">
        <v>78580</v>
      </c>
      <c r="I548">
        <v>0</v>
      </c>
      <c r="J548">
        <f t="shared" si="16"/>
        <v>78580</v>
      </c>
      <c r="K548" t="s">
        <v>1640</v>
      </c>
      <c r="L548">
        <v>2250</v>
      </c>
      <c r="M548" s="1">
        <f t="shared" si="17"/>
        <v>45929</v>
      </c>
      <c r="N548" t="s">
        <v>1641</v>
      </c>
      <c r="O548">
        <v>0</v>
      </c>
    </row>
    <row r="549" spans="1:15">
      <c r="A549" s="6" t="s">
        <v>14</v>
      </c>
      <c r="B549" t="s">
        <v>15</v>
      </c>
      <c r="C549" t="s">
        <v>294</v>
      </c>
      <c r="D549" t="s">
        <v>295</v>
      </c>
      <c r="E549" s="1">
        <v>45929</v>
      </c>
      <c r="F549">
        <v>2</v>
      </c>
      <c r="G549">
        <v>4824</v>
      </c>
      <c r="H549">
        <v>89000</v>
      </c>
      <c r="I549">
        <v>0</v>
      </c>
      <c r="J549">
        <f t="shared" si="16"/>
        <v>89000</v>
      </c>
      <c r="K549" t="s">
        <v>1640</v>
      </c>
      <c r="L549">
        <v>4824</v>
      </c>
      <c r="M549" s="1">
        <f t="shared" si="17"/>
        <v>45929</v>
      </c>
      <c r="N549" t="s">
        <v>1641</v>
      </c>
      <c r="O549">
        <v>0</v>
      </c>
    </row>
    <row r="550" spans="1:15">
      <c r="A550" s="6" t="s">
        <v>14</v>
      </c>
      <c r="B550" t="s">
        <v>15</v>
      </c>
      <c r="C550" t="s">
        <v>296</v>
      </c>
      <c r="D550" t="s">
        <v>297</v>
      </c>
      <c r="E550" s="1">
        <v>45929</v>
      </c>
      <c r="F550">
        <v>2</v>
      </c>
      <c r="G550">
        <v>2970</v>
      </c>
      <c r="H550">
        <v>82153</v>
      </c>
      <c r="I550">
        <v>0</v>
      </c>
      <c r="J550">
        <f t="shared" si="16"/>
        <v>82153</v>
      </c>
      <c r="K550" t="s">
        <v>1640</v>
      </c>
      <c r="L550">
        <v>2970</v>
      </c>
      <c r="M550" s="1">
        <f t="shared" si="17"/>
        <v>45929</v>
      </c>
      <c r="N550" t="s">
        <v>1641</v>
      </c>
      <c r="O550">
        <v>0</v>
      </c>
    </row>
    <row r="551" spans="1:15">
      <c r="A551" s="6" t="s">
        <v>14</v>
      </c>
      <c r="B551" t="s">
        <v>15</v>
      </c>
      <c r="C551" t="s">
        <v>298</v>
      </c>
      <c r="D551" t="s">
        <v>299</v>
      </c>
      <c r="E551" s="1">
        <v>45929</v>
      </c>
      <c r="F551">
        <v>2</v>
      </c>
      <c r="G551">
        <v>2856</v>
      </c>
      <c r="H551">
        <v>85872</v>
      </c>
      <c r="I551">
        <v>0</v>
      </c>
      <c r="J551">
        <f t="shared" si="16"/>
        <v>85872</v>
      </c>
      <c r="K551" t="s">
        <v>1640</v>
      </c>
      <c r="L551">
        <v>2856</v>
      </c>
      <c r="M551" s="1">
        <f t="shared" si="17"/>
        <v>45929</v>
      </c>
      <c r="N551" t="s">
        <v>1641</v>
      </c>
      <c r="O551">
        <v>0</v>
      </c>
    </row>
    <row r="552" spans="1:15">
      <c r="A552" s="6" t="s">
        <v>14</v>
      </c>
      <c r="B552" t="s">
        <v>15</v>
      </c>
      <c r="C552" t="s">
        <v>300</v>
      </c>
      <c r="D552" t="s">
        <v>301</v>
      </c>
      <c r="E552" s="1">
        <v>45929</v>
      </c>
      <c r="F552">
        <v>2</v>
      </c>
      <c r="G552">
        <v>2520</v>
      </c>
      <c r="H552">
        <v>75800</v>
      </c>
      <c r="I552">
        <v>0</v>
      </c>
      <c r="J552">
        <f t="shared" si="16"/>
        <v>75800</v>
      </c>
      <c r="K552" t="s">
        <v>1640</v>
      </c>
      <c r="L552">
        <v>2520</v>
      </c>
      <c r="M552" s="1">
        <f t="shared" si="17"/>
        <v>45929</v>
      </c>
      <c r="N552" t="s">
        <v>1641</v>
      </c>
      <c r="O552">
        <v>0</v>
      </c>
    </row>
    <row r="553" spans="1:15">
      <c r="A553" s="6" t="s">
        <v>14</v>
      </c>
      <c r="B553" t="s">
        <v>15</v>
      </c>
      <c r="C553" t="s">
        <v>302</v>
      </c>
      <c r="D553" t="s">
        <v>303</v>
      </c>
      <c r="E553" s="1">
        <v>45929</v>
      </c>
      <c r="F553">
        <v>2</v>
      </c>
      <c r="G553">
        <v>2850</v>
      </c>
      <c r="H553">
        <v>84946</v>
      </c>
      <c r="I553">
        <v>0</v>
      </c>
      <c r="J553">
        <f t="shared" si="16"/>
        <v>84946</v>
      </c>
      <c r="K553" t="s">
        <v>1640</v>
      </c>
      <c r="L553">
        <v>2850</v>
      </c>
      <c r="M553" s="1">
        <f t="shared" si="17"/>
        <v>45929</v>
      </c>
      <c r="N553" t="s">
        <v>1641</v>
      </c>
      <c r="O553">
        <v>0</v>
      </c>
    </row>
    <row r="554" spans="1:15">
      <c r="A554" s="6" t="s">
        <v>14</v>
      </c>
      <c r="B554" t="s">
        <v>15</v>
      </c>
      <c r="C554" t="s">
        <v>304</v>
      </c>
      <c r="D554" t="s">
        <v>305</v>
      </c>
      <c r="E554" s="1">
        <v>45929</v>
      </c>
      <c r="F554">
        <v>2</v>
      </c>
      <c r="G554">
        <v>2470</v>
      </c>
      <c r="H554">
        <v>74000</v>
      </c>
      <c r="I554">
        <v>0</v>
      </c>
      <c r="J554">
        <f t="shared" si="16"/>
        <v>74000</v>
      </c>
      <c r="K554" t="s">
        <v>1640</v>
      </c>
      <c r="L554">
        <v>2470</v>
      </c>
      <c r="M554" s="1">
        <f t="shared" si="17"/>
        <v>45929</v>
      </c>
      <c r="N554" t="s">
        <v>1641</v>
      </c>
      <c r="O554">
        <v>0</v>
      </c>
    </row>
    <row r="555" spans="1:15">
      <c r="A555" s="6" t="s">
        <v>14</v>
      </c>
      <c r="B555" t="s">
        <v>15</v>
      </c>
      <c r="C555" t="s">
        <v>306</v>
      </c>
      <c r="D555" t="s">
        <v>307</v>
      </c>
      <c r="E555" s="1">
        <v>45929</v>
      </c>
      <c r="F555">
        <v>2</v>
      </c>
      <c r="G555">
        <v>2728</v>
      </c>
      <c r="H555">
        <v>77921</v>
      </c>
      <c r="I555">
        <v>0</v>
      </c>
      <c r="J555">
        <f t="shared" si="16"/>
        <v>77921</v>
      </c>
      <c r="K555" t="s">
        <v>1640</v>
      </c>
      <c r="L555">
        <v>2728</v>
      </c>
      <c r="M555" s="1">
        <f t="shared" si="17"/>
        <v>45929</v>
      </c>
      <c r="N555" t="s">
        <v>1641</v>
      </c>
      <c r="O555">
        <v>0</v>
      </c>
    </row>
    <row r="556" spans="1:15">
      <c r="A556" s="6" t="s">
        <v>14</v>
      </c>
      <c r="B556" t="s">
        <v>15</v>
      </c>
      <c r="C556" t="s">
        <v>308</v>
      </c>
      <c r="D556" t="s">
        <v>309</v>
      </c>
      <c r="E556" s="1">
        <v>45929</v>
      </c>
      <c r="F556">
        <v>2</v>
      </c>
      <c r="G556">
        <v>2808</v>
      </c>
      <c r="H556">
        <v>88414</v>
      </c>
      <c r="I556">
        <v>0</v>
      </c>
      <c r="J556">
        <f t="shared" si="16"/>
        <v>88414</v>
      </c>
      <c r="K556" t="s">
        <v>1640</v>
      </c>
      <c r="L556">
        <v>2808</v>
      </c>
      <c r="M556" s="1">
        <f t="shared" si="17"/>
        <v>45929</v>
      </c>
      <c r="N556" t="s">
        <v>1641</v>
      </c>
      <c r="O556">
        <v>0</v>
      </c>
    </row>
    <row r="557" spans="1:15">
      <c r="A557" s="6" t="s">
        <v>14</v>
      </c>
      <c r="B557" t="s">
        <v>15</v>
      </c>
      <c r="C557" t="s">
        <v>310</v>
      </c>
      <c r="D557" t="s">
        <v>311</v>
      </c>
      <c r="E557" s="1">
        <v>45929</v>
      </c>
      <c r="F557">
        <v>2</v>
      </c>
      <c r="G557">
        <v>2754</v>
      </c>
      <c r="H557">
        <v>98000</v>
      </c>
      <c r="I557">
        <v>0</v>
      </c>
      <c r="J557">
        <f t="shared" si="16"/>
        <v>98000</v>
      </c>
      <c r="K557" t="s">
        <v>1640</v>
      </c>
      <c r="L557">
        <v>2754</v>
      </c>
      <c r="M557" s="1">
        <f t="shared" si="17"/>
        <v>45929</v>
      </c>
      <c r="N557" t="s">
        <v>1641</v>
      </c>
      <c r="O557">
        <v>0</v>
      </c>
    </row>
    <row r="558" spans="1:15">
      <c r="A558" s="6" t="s">
        <v>14</v>
      </c>
      <c r="B558" t="s">
        <v>15</v>
      </c>
      <c r="C558" t="s">
        <v>312</v>
      </c>
      <c r="D558" t="s">
        <v>313</v>
      </c>
      <c r="E558" s="1">
        <v>45929</v>
      </c>
      <c r="F558">
        <v>2</v>
      </c>
      <c r="G558">
        <v>1782</v>
      </c>
      <c r="H558">
        <v>52000</v>
      </c>
      <c r="I558">
        <v>0</v>
      </c>
      <c r="J558">
        <f t="shared" si="16"/>
        <v>52000</v>
      </c>
      <c r="K558" t="s">
        <v>1640</v>
      </c>
      <c r="L558">
        <v>1782</v>
      </c>
      <c r="M558" s="1">
        <f t="shared" si="17"/>
        <v>45929</v>
      </c>
      <c r="N558" t="s">
        <v>1641</v>
      </c>
      <c r="O558">
        <v>0</v>
      </c>
    </row>
    <row r="559" spans="1:15">
      <c r="A559" s="6" t="s">
        <v>14</v>
      </c>
      <c r="B559" t="s">
        <v>15</v>
      </c>
      <c r="C559" t="s">
        <v>314</v>
      </c>
      <c r="D559" t="s">
        <v>315</v>
      </c>
      <c r="E559" s="1">
        <v>45929</v>
      </c>
      <c r="F559">
        <v>2</v>
      </c>
      <c r="G559">
        <v>3710</v>
      </c>
      <c r="H559">
        <v>106791.67</v>
      </c>
      <c r="I559">
        <v>0</v>
      </c>
      <c r="J559">
        <f t="shared" si="16"/>
        <v>106791.67</v>
      </c>
      <c r="K559" t="s">
        <v>1640</v>
      </c>
      <c r="L559">
        <v>3710</v>
      </c>
      <c r="M559" s="1">
        <f t="shared" si="17"/>
        <v>45929</v>
      </c>
      <c r="N559" t="s">
        <v>1641</v>
      </c>
      <c r="O559">
        <v>0</v>
      </c>
    </row>
    <row r="560" spans="1:15">
      <c r="A560" s="6" t="s">
        <v>14</v>
      </c>
      <c r="B560" t="s">
        <v>15</v>
      </c>
      <c r="C560" t="s">
        <v>316</v>
      </c>
      <c r="D560" t="s">
        <v>317</v>
      </c>
      <c r="E560" s="1">
        <v>45929</v>
      </c>
      <c r="F560">
        <v>2</v>
      </c>
      <c r="G560">
        <v>0</v>
      </c>
      <c r="H560">
        <v>77507.5</v>
      </c>
      <c r="I560">
        <v>0</v>
      </c>
      <c r="J560">
        <f t="shared" si="16"/>
        <v>77507.5</v>
      </c>
      <c r="K560" t="s">
        <v>1640</v>
      </c>
      <c r="L560">
        <v>0</v>
      </c>
      <c r="M560" s="1">
        <f t="shared" si="17"/>
        <v>45929</v>
      </c>
      <c r="N560" t="s">
        <v>1641</v>
      </c>
      <c r="O560">
        <v>0</v>
      </c>
    </row>
    <row r="561" spans="1:15">
      <c r="A561" s="6" t="s">
        <v>14</v>
      </c>
      <c r="B561" t="s">
        <v>15</v>
      </c>
      <c r="C561" t="s">
        <v>318</v>
      </c>
      <c r="D561" t="s">
        <v>319</v>
      </c>
      <c r="E561" s="1">
        <v>45929</v>
      </c>
      <c r="F561">
        <v>2</v>
      </c>
      <c r="G561">
        <v>3330</v>
      </c>
      <c r="H561">
        <v>80000</v>
      </c>
      <c r="I561">
        <v>0</v>
      </c>
      <c r="J561">
        <f t="shared" si="16"/>
        <v>80000</v>
      </c>
      <c r="K561" t="s">
        <v>1640</v>
      </c>
      <c r="L561">
        <v>3330</v>
      </c>
      <c r="M561" s="1">
        <f t="shared" si="17"/>
        <v>45929</v>
      </c>
      <c r="N561" t="s">
        <v>1641</v>
      </c>
      <c r="O561">
        <v>0</v>
      </c>
    </row>
    <row r="562" spans="1:15">
      <c r="A562" s="6" t="s">
        <v>14</v>
      </c>
      <c r="B562" t="s">
        <v>15</v>
      </c>
      <c r="C562" t="s">
        <v>320</v>
      </c>
      <c r="D562" t="s">
        <v>321</v>
      </c>
      <c r="E562" s="1">
        <v>45929</v>
      </c>
      <c r="F562">
        <v>2</v>
      </c>
      <c r="G562">
        <v>2850</v>
      </c>
      <c r="H562">
        <v>85000</v>
      </c>
      <c r="I562">
        <v>0</v>
      </c>
      <c r="J562">
        <f t="shared" si="16"/>
        <v>85000</v>
      </c>
      <c r="K562" t="s">
        <v>1640</v>
      </c>
      <c r="L562">
        <v>2850</v>
      </c>
      <c r="M562" s="1">
        <f t="shared" si="17"/>
        <v>45929</v>
      </c>
      <c r="N562" t="s">
        <v>1641</v>
      </c>
      <c r="O562">
        <v>0</v>
      </c>
    </row>
    <row r="563" spans="1:15">
      <c r="A563" s="6" t="s">
        <v>14</v>
      </c>
      <c r="B563" t="s">
        <v>15</v>
      </c>
      <c r="C563" t="s">
        <v>322</v>
      </c>
      <c r="D563" t="s">
        <v>323</v>
      </c>
      <c r="E563" s="1">
        <v>45929</v>
      </c>
      <c r="F563">
        <v>2</v>
      </c>
      <c r="G563">
        <v>1105</v>
      </c>
      <c r="H563">
        <v>19454</v>
      </c>
      <c r="I563">
        <v>0</v>
      </c>
      <c r="J563">
        <f t="shared" si="16"/>
        <v>19454</v>
      </c>
      <c r="K563" t="s">
        <v>1640</v>
      </c>
      <c r="L563">
        <v>1105</v>
      </c>
      <c r="M563" s="1">
        <f t="shared" si="17"/>
        <v>45929</v>
      </c>
      <c r="N563" t="s">
        <v>1641</v>
      </c>
      <c r="O563">
        <v>0</v>
      </c>
    </row>
    <row r="564" spans="1:15">
      <c r="A564" s="6" t="s">
        <v>14</v>
      </c>
      <c r="B564" t="s">
        <v>15</v>
      </c>
      <c r="C564" t="s">
        <v>324</v>
      </c>
      <c r="D564" t="s">
        <v>325</v>
      </c>
      <c r="E564" s="1">
        <v>45929</v>
      </c>
      <c r="F564">
        <v>2</v>
      </c>
      <c r="G564">
        <v>1500</v>
      </c>
      <c r="H564">
        <v>69260</v>
      </c>
      <c r="I564">
        <v>0</v>
      </c>
      <c r="J564">
        <f t="shared" si="16"/>
        <v>69260</v>
      </c>
      <c r="K564" t="s">
        <v>1640</v>
      </c>
      <c r="L564">
        <v>1500</v>
      </c>
      <c r="M564" s="1">
        <f t="shared" si="17"/>
        <v>45929</v>
      </c>
      <c r="N564" t="s">
        <v>1641</v>
      </c>
      <c r="O564">
        <v>0</v>
      </c>
    </row>
    <row r="565" spans="1:15">
      <c r="A565" s="6" t="s">
        <v>14</v>
      </c>
      <c r="B565" t="s">
        <v>15</v>
      </c>
      <c r="C565" t="s">
        <v>326</v>
      </c>
      <c r="D565" t="s">
        <v>327</v>
      </c>
      <c r="E565" s="1">
        <v>45929</v>
      </c>
      <c r="F565">
        <v>2</v>
      </c>
      <c r="G565">
        <v>4092</v>
      </c>
      <c r="H565">
        <v>122717</v>
      </c>
      <c r="I565">
        <v>0</v>
      </c>
      <c r="J565">
        <f t="shared" si="16"/>
        <v>122717</v>
      </c>
      <c r="K565" t="s">
        <v>1640</v>
      </c>
      <c r="L565">
        <v>4092</v>
      </c>
      <c r="M565" s="1">
        <f t="shared" si="17"/>
        <v>45929</v>
      </c>
      <c r="N565" t="s">
        <v>1641</v>
      </c>
      <c r="O565">
        <v>0</v>
      </c>
    </row>
    <row r="566" spans="1:15">
      <c r="A566" s="6" t="s">
        <v>14</v>
      </c>
      <c r="B566" t="s">
        <v>15</v>
      </c>
      <c r="C566" t="s">
        <v>328</v>
      </c>
      <c r="D566" t="s">
        <v>329</v>
      </c>
      <c r="E566" s="1">
        <v>45929</v>
      </c>
      <c r="F566">
        <v>2</v>
      </c>
      <c r="G566">
        <v>3780</v>
      </c>
      <c r="H566">
        <v>114888</v>
      </c>
      <c r="I566">
        <v>0</v>
      </c>
      <c r="J566">
        <f t="shared" si="16"/>
        <v>114888</v>
      </c>
      <c r="K566" t="s">
        <v>1640</v>
      </c>
      <c r="L566">
        <v>3780</v>
      </c>
      <c r="M566" s="1">
        <f t="shared" si="17"/>
        <v>45929</v>
      </c>
      <c r="N566" t="s">
        <v>1641</v>
      </c>
      <c r="O566">
        <v>0</v>
      </c>
    </row>
    <row r="567" spans="1:15">
      <c r="A567" s="6" t="s">
        <v>14</v>
      </c>
      <c r="B567" t="s">
        <v>15</v>
      </c>
      <c r="C567" t="s">
        <v>330</v>
      </c>
      <c r="D567" t="s">
        <v>331</v>
      </c>
      <c r="E567" s="1">
        <v>45929</v>
      </c>
      <c r="F567">
        <v>2</v>
      </c>
      <c r="G567">
        <v>3519</v>
      </c>
      <c r="H567">
        <v>102530</v>
      </c>
      <c r="I567">
        <v>0</v>
      </c>
      <c r="J567">
        <f t="shared" si="16"/>
        <v>102530</v>
      </c>
      <c r="K567" t="s">
        <v>1640</v>
      </c>
      <c r="L567">
        <v>3519</v>
      </c>
      <c r="M567" s="1">
        <f t="shared" si="17"/>
        <v>45929</v>
      </c>
      <c r="N567" t="s">
        <v>1641</v>
      </c>
      <c r="O567">
        <v>0</v>
      </c>
    </row>
    <row r="568" spans="1:15">
      <c r="A568" s="6" t="s">
        <v>14</v>
      </c>
      <c r="B568" t="s">
        <v>15</v>
      </c>
      <c r="C568" t="s">
        <v>332</v>
      </c>
      <c r="D568" t="s">
        <v>333</v>
      </c>
      <c r="E568" s="1">
        <v>45929</v>
      </c>
      <c r="F568">
        <v>2</v>
      </c>
      <c r="G568">
        <v>3840</v>
      </c>
      <c r="H568">
        <v>130500</v>
      </c>
      <c r="I568">
        <v>0</v>
      </c>
      <c r="J568">
        <f t="shared" si="16"/>
        <v>130500</v>
      </c>
      <c r="K568" t="s">
        <v>1640</v>
      </c>
      <c r="L568">
        <v>3840</v>
      </c>
      <c r="M568" s="1">
        <f t="shared" si="17"/>
        <v>45929</v>
      </c>
      <c r="N568" t="s">
        <v>1641</v>
      </c>
      <c r="O568">
        <v>0</v>
      </c>
    </row>
    <row r="569" spans="1:15">
      <c r="A569" s="6" t="s">
        <v>14</v>
      </c>
      <c r="B569" t="s">
        <v>15</v>
      </c>
      <c r="C569" t="s">
        <v>334</v>
      </c>
      <c r="D569" t="s">
        <v>335</v>
      </c>
      <c r="E569" s="1">
        <v>45929</v>
      </c>
      <c r="F569">
        <v>2</v>
      </c>
      <c r="G569">
        <v>4060</v>
      </c>
      <c r="H569">
        <v>119788</v>
      </c>
      <c r="I569">
        <v>0</v>
      </c>
      <c r="J569">
        <f t="shared" si="16"/>
        <v>119788</v>
      </c>
      <c r="K569" t="s">
        <v>1640</v>
      </c>
      <c r="L569">
        <v>4060</v>
      </c>
      <c r="M569" s="1">
        <f t="shared" si="17"/>
        <v>45929</v>
      </c>
      <c r="N569" t="s">
        <v>1641</v>
      </c>
      <c r="O569">
        <v>0</v>
      </c>
    </row>
    <row r="570" spans="1:15">
      <c r="A570" s="6" t="s">
        <v>14</v>
      </c>
      <c r="B570" t="s">
        <v>15</v>
      </c>
      <c r="C570" t="s">
        <v>336</v>
      </c>
      <c r="D570" t="s">
        <v>337</v>
      </c>
      <c r="E570" s="1">
        <v>45929</v>
      </c>
      <c r="F570">
        <v>2</v>
      </c>
      <c r="G570">
        <v>2400</v>
      </c>
      <c r="H570">
        <v>44000</v>
      </c>
      <c r="I570">
        <v>0</v>
      </c>
      <c r="J570">
        <f t="shared" si="16"/>
        <v>44000</v>
      </c>
      <c r="K570" t="s">
        <v>1640</v>
      </c>
      <c r="L570">
        <v>2400</v>
      </c>
      <c r="M570" s="1">
        <f t="shared" si="17"/>
        <v>45929</v>
      </c>
      <c r="N570" t="s">
        <v>1641</v>
      </c>
      <c r="O570">
        <v>0</v>
      </c>
    </row>
    <row r="571" spans="1:15">
      <c r="A571" s="6" t="s">
        <v>14</v>
      </c>
      <c r="B571" t="s">
        <v>15</v>
      </c>
      <c r="C571" t="s">
        <v>338</v>
      </c>
      <c r="D571" t="s">
        <v>339</v>
      </c>
      <c r="E571" s="1">
        <v>45929</v>
      </c>
      <c r="F571">
        <v>2</v>
      </c>
      <c r="G571">
        <v>3060</v>
      </c>
      <c r="H571">
        <v>92000</v>
      </c>
      <c r="I571">
        <v>0</v>
      </c>
      <c r="J571">
        <f t="shared" si="16"/>
        <v>92000</v>
      </c>
      <c r="K571" t="s">
        <v>1640</v>
      </c>
      <c r="L571">
        <v>3060</v>
      </c>
      <c r="M571" s="1">
        <f t="shared" si="17"/>
        <v>45929</v>
      </c>
      <c r="N571" t="s">
        <v>1641</v>
      </c>
      <c r="O571">
        <v>0</v>
      </c>
    </row>
    <row r="572" spans="1:15">
      <c r="A572" s="6" t="s">
        <v>14</v>
      </c>
      <c r="B572" t="s">
        <v>15</v>
      </c>
      <c r="C572" t="s">
        <v>340</v>
      </c>
      <c r="D572" t="s">
        <v>341</v>
      </c>
      <c r="E572" s="1">
        <v>45929</v>
      </c>
      <c r="F572">
        <v>2</v>
      </c>
      <c r="G572">
        <v>3835</v>
      </c>
      <c r="H572">
        <v>118000</v>
      </c>
      <c r="I572">
        <v>0</v>
      </c>
      <c r="J572">
        <f t="shared" si="16"/>
        <v>118000</v>
      </c>
      <c r="K572" t="s">
        <v>1640</v>
      </c>
      <c r="L572">
        <v>3835</v>
      </c>
      <c r="M572" s="1">
        <f t="shared" si="17"/>
        <v>45929</v>
      </c>
      <c r="N572" t="s">
        <v>1641</v>
      </c>
      <c r="O572">
        <v>0</v>
      </c>
    </row>
    <row r="573" spans="1:15">
      <c r="A573" s="6" t="s">
        <v>14</v>
      </c>
      <c r="B573" t="s">
        <v>15</v>
      </c>
      <c r="C573" t="s">
        <v>342</v>
      </c>
      <c r="D573" t="s">
        <v>343</v>
      </c>
      <c r="E573" s="1">
        <v>45929</v>
      </c>
      <c r="F573">
        <v>2</v>
      </c>
      <c r="G573">
        <v>5760</v>
      </c>
      <c r="H573">
        <v>173888</v>
      </c>
      <c r="I573">
        <v>0</v>
      </c>
      <c r="J573">
        <f t="shared" si="16"/>
        <v>173888</v>
      </c>
      <c r="K573" t="s">
        <v>1640</v>
      </c>
      <c r="L573">
        <v>5760</v>
      </c>
      <c r="M573" s="1">
        <f t="shared" si="17"/>
        <v>45929</v>
      </c>
      <c r="N573" t="s">
        <v>1641</v>
      </c>
      <c r="O573">
        <v>0</v>
      </c>
    </row>
    <row r="574" spans="1:15">
      <c r="A574" s="6" t="s">
        <v>14</v>
      </c>
      <c r="B574" t="s">
        <v>15</v>
      </c>
      <c r="C574" t="s">
        <v>344</v>
      </c>
      <c r="D574" t="s">
        <v>345</v>
      </c>
      <c r="E574" s="1">
        <v>45929</v>
      </c>
      <c r="F574">
        <v>2</v>
      </c>
      <c r="G574">
        <v>4230</v>
      </c>
      <c r="H574">
        <v>119000</v>
      </c>
      <c r="I574">
        <v>0</v>
      </c>
      <c r="J574">
        <f t="shared" si="16"/>
        <v>119000</v>
      </c>
      <c r="K574" t="s">
        <v>1640</v>
      </c>
      <c r="L574">
        <v>4230</v>
      </c>
      <c r="M574" s="1">
        <f t="shared" si="17"/>
        <v>45929</v>
      </c>
      <c r="N574" t="s">
        <v>1641</v>
      </c>
      <c r="O574">
        <v>0</v>
      </c>
    </row>
    <row r="575" spans="1:15">
      <c r="A575" s="6" t="s">
        <v>14</v>
      </c>
      <c r="B575" t="s">
        <v>15</v>
      </c>
      <c r="C575" t="s">
        <v>346</v>
      </c>
      <c r="D575" t="s">
        <v>347</v>
      </c>
      <c r="E575" s="1">
        <v>45929</v>
      </c>
      <c r="F575">
        <v>2</v>
      </c>
      <c r="G575">
        <v>3420</v>
      </c>
      <c r="H575">
        <v>109415</v>
      </c>
      <c r="I575">
        <v>0</v>
      </c>
      <c r="J575">
        <f t="shared" si="16"/>
        <v>109415</v>
      </c>
      <c r="K575" t="s">
        <v>1640</v>
      </c>
      <c r="L575">
        <v>3420</v>
      </c>
      <c r="M575" s="1">
        <f t="shared" si="17"/>
        <v>45929</v>
      </c>
      <c r="N575" t="s">
        <v>1641</v>
      </c>
      <c r="O575">
        <v>0</v>
      </c>
    </row>
    <row r="576" spans="1:15">
      <c r="A576" s="6" t="s">
        <v>14</v>
      </c>
      <c r="B576" t="s">
        <v>15</v>
      </c>
      <c r="C576" t="s">
        <v>348</v>
      </c>
      <c r="D576" t="s">
        <v>349</v>
      </c>
      <c r="E576" s="1">
        <v>45929</v>
      </c>
      <c r="F576">
        <v>2</v>
      </c>
      <c r="G576">
        <v>3120</v>
      </c>
      <c r="H576">
        <v>99693</v>
      </c>
      <c r="I576">
        <v>0</v>
      </c>
      <c r="J576">
        <f t="shared" si="16"/>
        <v>99693</v>
      </c>
      <c r="K576" t="s">
        <v>1640</v>
      </c>
      <c r="L576">
        <v>3120</v>
      </c>
      <c r="M576" s="1">
        <f t="shared" si="17"/>
        <v>45929</v>
      </c>
      <c r="N576" t="s">
        <v>1641</v>
      </c>
      <c r="O576">
        <v>0</v>
      </c>
    </row>
    <row r="577" spans="1:15">
      <c r="A577" s="6" t="s">
        <v>14</v>
      </c>
      <c r="B577" t="s">
        <v>15</v>
      </c>
      <c r="C577" t="s">
        <v>350</v>
      </c>
      <c r="D577" t="s">
        <v>351</v>
      </c>
      <c r="E577" s="1">
        <v>45929</v>
      </c>
      <c r="F577">
        <v>2</v>
      </c>
      <c r="G577">
        <v>2940</v>
      </c>
      <c r="H577">
        <v>90777</v>
      </c>
      <c r="I577">
        <v>0</v>
      </c>
      <c r="J577">
        <f t="shared" si="16"/>
        <v>90777</v>
      </c>
      <c r="K577" t="s">
        <v>1640</v>
      </c>
      <c r="L577">
        <v>2940</v>
      </c>
      <c r="M577" s="1">
        <f t="shared" si="17"/>
        <v>45929</v>
      </c>
      <c r="N577" t="s">
        <v>1641</v>
      </c>
      <c r="O577">
        <v>0</v>
      </c>
    </row>
    <row r="578" spans="1:15">
      <c r="A578" s="6" t="s">
        <v>14</v>
      </c>
      <c r="B578" t="s">
        <v>15</v>
      </c>
      <c r="C578" t="s">
        <v>352</v>
      </c>
      <c r="D578" t="s">
        <v>353</v>
      </c>
      <c r="E578" s="1">
        <v>45929</v>
      </c>
      <c r="F578">
        <v>2</v>
      </c>
      <c r="G578">
        <v>3250</v>
      </c>
      <c r="H578">
        <v>97686</v>
      </c>
      <c r="I578">
        <v>0</v>
      </c>
      <c r="J578">
        <f t="shared" si="16"/>
        <v>97686</v>
      </c>
      <c r="K578" t="s">
        <v>1640</v>
      </c>
      <c r="L578">
        <v>3250</v>
      </c>
      <c r="M578" s="1">
        <f t="shared" si="17"/>
        <v>45929</v>
      </c>
      <c r="N578" t="s">
        <v>1641</v>
      </c>
      <c r="O578">
        <v>0</v>
      </c>
    </row>
    <row r="579" spans="1:15">
      <c r="A579" s="6" t="s">
        <v>14</v>
      </c>
      <c r="B579" t="s">
        <v>15</v>
      </c>
      <c r="C579" t="s">
        <v>354</v>
      </c>
      <c r="D579" t="s">
        <v>355</v>
      </c>
      <c r="E579" s="1">
        <v>45929</v>
      </c>
      <c r="F579">
        <v>2</v>
      </c>
      <c r="G579">
        <v>3976</v>
      </c>
      <c r="H579">
        <v>117000</v>
      </c>
      <c r="I579">
        <v>0</v>
      </c>
      <c r="J579">
        <f t="shared" ref="J579:J642" si="18">H579-I579</f>
        <v>117000</v>
      </c>
      <c r="K579" t="s">
        <v>1640</v>
      </c>
      <c r="L579">
        <v>3976</v>
      </c>
      <c r="M579" s="1">
        <f t="shared" ref="M579:M642" si="19">E579</f>
        <v>45929</v>
      </c>
      <c r="N579" t="s">
        <v>1641</v>
      </c>
      <c r="O579">
        <v>0</v>
      </c>
    </row>
    <row r="580" spans="1:15">
      <c r="A580" s="6" t="s">
        <v>14</v>
      </c>
      <c r="B580" t="s">
        <v>15</v>
      </c>
      <c r="C580" t="s">
        <v>356</v>
      </c>
      <c r="D580" t="s">
        <v>357</v>
      </c>
      <c r="E580" s="1">
        <v>45929</v>
      </c>
      <c r="F580">
        <v>2</v>
      </c>
      <c r="G580">
        <v>4176</v>
      </c>
      <c r="H580">
        <v>126800</v>
      </c>
      <c r="I580">
        <v>0</v>
      </c>
      <c r="J580">
        <f t="shared" si="18"/>
        <v>126800</v>
      </c>
      <c r="K580" t="s">
        <v>1640</v>
      </c>
      <c r="L580">
        <v>4176</v>
      </c>
      <c r="M580" s="1">
        <f t="shared" si="19"/>
        <v>45929</v>
      </c>
      <c r="N580" t="s">
        <v>1641</v>
      </c>
      <c r="O580">
        <v>0</v>
      </c>
    </row>
    <row r="581" spans="1:15">
      <c r="A581" s="6" t="s">
        <v>14</v>
      </c>
      <c r="B581" t="s">
        <v>15</v>
      </c>
      <c r="C581" t="s">
        <v>358</v>
      </c>
      <c r="D581" t="s">
        <v>359</v>
      </c>
      <c r="E581" s="1">
        <v>45929</v>
      </c>
      <c r="F581">
        <v>2</v>
      </c>
      <c r="G581">
        <v>3360</v>
      </c>
      <c r="H581">
        <v>121800</v>
      </c>
      <c r="I581">
        <v>0</v>
      </c>
      <c r="J581">
        <f t="shared" si="18"/>
        <v>121800</v>
      </c>
      <c r="K581" t="s">
        <v>1640</v>
      </c>
      <c r="L581">
        <v>3360</v>
      </c>
      <c r="M581" s="1">
        <f t="shared" si="19"/>
        <v>45929</v>
      </c>
      <c r="N581" t="s">
        <v>1641</v>
      </c>
      <c r="O581">
        <v>0</v>
      </c>
    </row>
    <row r="582" spans="1:15">
      <c r="A582" s="6" t="s">
        <v>14</v>
      </c>
      <c r="B582" t="s">
        <v>15</v>
      </c>
      <c r="C582" t="s">
        <v>360</v>
      </c>
      <c r="D582" t="s">
        <v>361</v>
      </c>
      <c r="E582" s="1">
        <v>45929</v>
      </c>
      <c r="F582">
        <v>2</v>
      </c>
      <c r="G582">
        <v>2696.1</v>
      </c>
      <c r="H582">
        <v>80000</v>
      </c>
      <c r="I582">
        <v>0</v>
      </c>
      <c r="J582">
        <f t="shared" si="18"/>
        <v>80000</v>
      </c>
      <c r="K582" t="s">
        <v>1640</v>
      </c>
      <c r="L582">
        <v>2696.1</v>
      </c>
      <c r="M582" s="1">
        <f t="shared" si="19"/>
        <v>45929</v>
      </c>
      <c r="N582" t="s">
        <v>1641</v>
      </c>
      <c r="O582">
        <v>0</v>
      </c>
    </row>
    <row r="583" spans="1:15">
      <c r="A583" s="6" t="s">
        <v>14</v>
      </c>
      <c r="B583" t="s">
        <v>15</v>
      </c>
      <c r="C583" t="s">
        <v>362</v>
      </c>
      <c r="D583" t="s">
        <v>363</v>
      </c>
      <c r="E583" s="1">
        <v>45929</v>
      </c>
      <c r="F583">
        <v>2</v>
      </c>
      <c r="G583">
        <v>2035.5</v>
      </c>
      <c r="H583">
        <v>59000</v>
      </c>
      <c r="I583">
        <v>0</v>
      </c>
      <c r="J583">
        <f t="shared" si="18"/>
        <v>59000</v>
      </c>
      <c r="K583" t="s">
        <v>1640</v>
      </c>
      <c r="L583">
        <v>2035.5</v>
      </c>
      <c r="M583" s="1">
        <f t="shared" si="19"/>
        <v>45929</v>
      </c>
      <c r="N583" t="s">
        <v>1641</v>
      </c>
      <c r="O583">
        <v>0</v>
      </c>
    </row>
    <row r="584" spans="1:15">
      <c r="A584" s="6" t="s">
        <v>14</v>
      </c>
      <c r="B584" t="s">
        <v>15</v>
      </c>
      <c r="C584" t="s">
        <v>364</v>
      </c>
      <c r="D584" t="s">
        <v>365</v>
      </c>
      <c r="E584" s="1">
        <v>45929</v>
      </c>
      <c r="F584">
        <v>2</v>
      </c>
      <c r="G584">
        <v>2795</v>
      </c>
      <c r="H584">
        <v>83042</v>
      </c>
      <c r="I584">
        <v>0</v>
      </c>
      <c r="J584">
        <f t="shared" si="18"/>
        <v>83042</v>
      </c>
      <c r="K584" t="s">
        <v>1640</v>
      </c>
      <c r="L584">
        <v>2795</v>
      </c>
      <c r="M584" s="1">
        <f t="shared" si="19"/>
        <v>45929</v>
      </c>
      <c r="N584" t="s">
        <v>1641</v>
      </c>
      <c r="O584">
        <v>0</v>
      </c>
    </row>
    <row r="585" spans="1:15">
      <c r="A585" s="6" t="s">
        <v>14</v>
      </c>
      <c r="B585" t="s">
        <v>15</v>
      </c>
      <c r="C585" t="s">
        <v>366</v>
      </c>
      <c r="D585" t="s">
        <v>367</v>
      </c>
      <c r="E585" s="1">
        <v>45929</v>
      </c>
      <c r="F585">
        <v>2</v>
      </c>
      <c r="G585">
        <v>3016</v>
      </c>
      <c r="H585">
        <v>104008</v>
      </c>
      <c r="I585">
        <v>0</v>
      </c>
      <c r="J585">
        <f t="shared" si="18"/>
        <v>104008</v>
      </c>
      <c r="K585" t="s">
        <v>1640</v>
      </c>
      <c r="L585">
        <v>3016</v>
      </c>
      <c r="M585" s="1">
        <f t="shared" si="19"/>
        <v>45929</v>
      </c>
      <c r="N585" t="s">
        <v>1641</v>
      </c>
      <c r="O585">
        <v>0</v>
      </c>
    </row>
    <row r="586" spans="1:15">
      <c r="A586" s="6" t="s">
        <v>14</v>
      </c>
      <c r="B586" t="s">
        <v>15</v>
      </c>
      <c r="C586" t="s">
        <v>368</v>
      </c>
      <c r="D586" t="s">
        <v>369</v>
      </c>
      <c r="E586" s="1">
        <v>45929</v>
      </c>
      <c r="F586">
        <v>2</v>
      </c>
      <c r="G586">
        <v>1615</v>
      </c>
      <c r="H586">
        <v>28553</v>
      </c>
      <c r="I586">
        <v>0</v>
      </c>
      <c r="J586">
        <f t="shared" si="18"/>
        <v>28553</v>
      </c>
      <c r="K586" t="s">
        <v>1640</v>
      </c>
      <c r="L586">
        <v>1615</v>
      </c>
      <c r="M586" s="1">
        <f t="shared" si="19"/>
        <v>45929</v>
      </c>
      <c r="N586" t="s">
        <v>1641</v>
      </c>
      <c r="O586">
        <v>0</v>
      </c>
    </row>
    <row r="587" spans="1:15">
      <c r="A587" s="6" t="s">
        <v>14</v>
      </c>
      <c r="B587" t="s">
        <v>15</v>
      </c>
      <c r="C587" t="s">
        <v>370</v>
      </c>
      <c r="D587" t="s">
        <v>371</v>
      </c>
      <c r="E587" s="1">
        <v>45929</v>
      </c>
      <c r="F587">
        <v>2</v>
      </c>
      <c r="G587">
        <v>2597</v>
      </c>
      <c r="H587">
        <v>77700</v>
      </c>
      <c r="I587">
        <v>0</v>
      </c>
      <c r="J587">
        <f t="shared" si="18"/>
        <v>77700</v>
      </c>
      <c r="K587" t="s">
        <v>1640</v>
      </c>
      <c r="L587">
        <v>2597</v>
      </c>
      <c r="M587" s="1">
        <f t="shared" si="19"/>
        <v>45929</v>
      </c>
      <c r="N587" t="s">
        <v>1641</v>
      </c>
      <c r="O587">
        <v>0</v>
      </c>
    </row>
    <row r="588" spans="1:15">
      <c r="A588" s="6" t="s">
        <v>14</v>
      </c>
      <c r="B588" t="s">
        <v>15</v>
      </c>
      <c r="C588" t="s">
        <v>372</v>
      </c>
      <c r="D588" t="s">
        <v>1646</v>
      </c>
      <c r="E588" s="1">
        <v>45929</v>
      </c>
      <c r="F588">
        <v>2</v>
      </c>
      <c r="G588">
        <v>4015</v>
      </c>
      <c r="H588">
        <v>121169</v>
      </c>
      <c r="I588">
        <v>0</v>
      </c>
      <c r="J588">
        <f t="shared" si="18"/>
        <v>121169</v>
      </c>
      <c r="K588" t="s">
        <v>1640</v>
      </c>
      <c r="L588">
        <v>4015</v>
      </c>
      <c r="M588" s="1">
        <f t="shared" si="19"/>
        <v>45929</v>
      </c>
      <c r="N588" t="s">
        <v>1641</v>
      </c>
      <c r="O588">
        <v>0</v>
      </c>
    </row>
    <row r="589" spans="1:15">
      <c r="A589" s="6" t="s">
        <v>14</v>
      </c>
      <c r="B589" t="s">
        <v>15</v>
      </c>
      <c r="C589" t="s">
        <v>373</v>
      </c>
      <c r="D589" t="s">
        <v>374</v>
      </c>
      <c r="E589" s="1">
        <v>45929</v>
      </c>
      <c r="F589">
        <v>2</v>
      </c>
      <c r="G589">
        <v>7370</v>
      </c>
      <c r="H589">
        <v>220995</v>
      </c>
      <c r="I589">
        <v>0</v>
      </c>
      <c r="J589">
        <f t="shared" si="18"/>
        <v>220995</v>
      </c>
      <c r="K589" t="s">
        <v>1640</v>
      </c>
      <c r="L589">
        <v>7370</v>
      </c>
      <c r="M589" s="1">
        <f t="shared" si="19"/>
        <v>45929</v>
      </c>
      <c r="N589" t="s">
        <v>1641</v>
      </c>
      <c r="O589">
        <v>0</v>
      </c>
    </row>
    <row r="590" spans="1:15">
      <c r="A590" s="6" t="s">
        <v>14</v>
      </c>
      <c r="B590" t="s">
        <v>15</v>
      </c>
      <c r="C590" t="s">
        <v>375</v>
      </c>
      <c r="D590" t="s">
        <v>376</v>
      </c>
      <c r="E590" s="1">
        <v>45929</v>
      </c>
      <c r="F590">
        <v>2</v>
      </c>
      <c r="G590">
        <v>2652</v>
      </c>
      <c r="H590">
        <v>77033</v>
      </c>
      <c r="I590">
        <v>0</v>
      </c>
      <c r="J590">
        <f t="shared" si="18"/>
        <v>77033</v>
      </c>
      <c r="K590" t="s">
        <v>1640</v>
      </c>
      <c r="L590">
        <v>2652</v>
      </c>
      <c r="M590" s="1">
        <f t="shared" si="19"/>
        <v>45929</v>
      </c>
      <c r="N590" t="s">
        <v>1641</v>
      </c>
      <c r="O590">
        <v>0</v>
      </c>
    </row>
    <row r="591" spans="1:15">
      <c r="A591" s="6" t="s">
        <v>14</v>
      </c>
      <c r="B591" t="s">
        <v>15</v>
      </c>
      <c r="C591" t="s">
        <v>377</v>
      </c>
      <c r="D591" t="s">
        <v>378</v>
      </c>
      <c r="E591" s="1">
        <v>45929</v>
      </c>
      <c r="F591">
        <v>2</v>
      </c>
      <c r="G591">
        <v>2200</v>
      </c>
      <c r="H591">
        <v>66000</v>
      </c>
      <c r="I591">
        <v>0</v>
      </c>
      <c r="J591">
        <f t="shared" si="18"/>
        <v>66000</v>
      </c>
      <c r="K591" t="s">
        <v>1640</v>
      </c>
      <c r="L591">
        <v>2200</v>
      </c>
      <c r="M591" s="1">
        <f t="shared" si="19"/>
        <v>45929</v>
      </c>
      <c r="N591" t="s">
        <v>1641</v>
      </c>
      <c r="O591">
        <v>0</v>
      </c>
    </row>
    <row r="592" spans="1:15">
      <c r="A592" s="6" t="s">
        <v>14</v>
      </c>
      <c r="B592" t="s">
        <v>15</v>
      </c>
      <c r="C592" t="s">
        <v>379</v>
      </c>
      <c r="D592" t="s">
        <v>380</v>
      </c>
      <c r="E592" s="1">
        <v>45929</v>
      </c>
      <c r="F592">
        <v>2</v>
      </c>
      <c r="G592">
        <v>2000</v>
      </c>
      <c r="H592">
        <v>33828</v>
      </c>
      <c r="I592">
        <v>0</v>
      </c>
      <c r="J592">
        <f t="shared" si="18"/>
        <v>33828</v>
      </c>
      <c r="K592" t="s">
        <v>1640</v>
      </c>
      <c r="L592">
        <v>2000</v>
      </c>
      <c r="M592" s="1">
        <f t="shared" si="19"/>
        <v>45929</v>
      </c>
      <c r="N592" t="s">
        <v>1641</v>
      </c>
      <c r="O592">
        <v>0</v>
      </c>
    </row>
    <row r="593" spans="1:15">
      <c r="A593" s="6" t="s">
        <v>14</v>
      </c>
      <c r="B593" t="s">
        <v>15</v>
      </c>
      <c r="C593" t="s">
        <v>381</v>
      </c>
      <c r="D593" t="s">
        <v>382</v>
      </c>
      <c r="E593" s="1">
        <v>45929</v>
      </c>
      <c r="F593">
        <v>2</v>
      </c>
      <c r="G593">
        <v>4234</v>
      </c>
      <c r="H593">
        <v>129002</v>
      </c>
      <c r="I593">
        <v>0</v>
      </c>
      <c r="J593">
        <f t="shared" si="18"/>
        <v>129002</v>
      </c>
      <c r="K593" t="s">
        <v>1640</v>
      </c>
      <c r="L593">
        <v>4234</v>
      </c>
      <c r="M593" s="1">
        <f t="shared" si="19"/>
        <v>45929</v>
      </c>
      <c r="N593" t="s">
        <v>1641</v>
      </c>
      <c r="O593">
        <v>0</v>
      </c>
    </row>
    <row r="594" spans="1:15">
      <c r="A594" s="6" t="s">
        <v>14</v>
      </c>
      <c r="B594" t="s">
        <v>15</v>
      </c>
      <c r="C594" t="s">
        <v>383</v>
      </c>
      <c r="D594" t="s">
        <v>384</v>
      </c>
      <c r="E594" s="1">
        <v>45929</v>
      </c>
      <c r="F594">
        <v>2</v>
      </c>
      <c r="G594">
        <v>1540</v>
      </c>
      <c r="H594">
        <v>44340</v>
      </c>
      <c r="I594">
        <v>0</v>
      </c>
      <c r="J594">
        <f t="shared" si="18"/>
        <v>44340</v>
      </c>
      <c r="K594" t="s">
        <v>1640</v>
      </c>
      <c r="L594">
        <v>1540</v>
      </c>
      <c r="M594" s="1">
        <f t="shared" si="19"/>
        <v>45929</v>
      </c>
      <c r="N594" t="s">
        <v>1641</v>
      </c>
      <c r="O594">
        <v>0</v>
      </c>
    </row>
    <row r="595" spans="1:15">
      <c r="A595" s="6" t="s">
        <v>14</v>
      </c>
      <c r="B595" t="s">
        <v>15</v>
      </c>
      <c r="C595" t="s">
        <v>385</v>
      </c>
      <c r="D595" t="s">
        <v>386</v>
      </c>
      <c r="E595" s="1">
        <v>45929</v>
      </c>
      <c r="F595">
        <v>2</v>
      </c>
      <c r="G595">
        <v>2914</v>
      </c>
      <c r="H595">
        <v>87624</v>
      </c>
      <c r="I595">
        <v>0</v>
      </c>
      <c r="J595">
        <f t="shared" si="18"/>
        <v>87624</v>
      </c>
      <c r="K595" t="s">
        <v>1640</v>
      </c>
      <c r="L595">
        <v>2914</v>
      </c>
      <c r="M595" s="1">
        <f t="shared" si="19"/>
        <v>45929</v>
      </c>
      <c r="N595" t="s">
        <v>1641</v>
      </c>
      <c r="O595">
        <v>0</v>
      </c>
    </row>
    <row r="596" spans="1:15">
      <c r="A596" s="6" t="s">
        <v>14</v>
      </c>
      <c r="B596" t="s">
        <v>15</v>
      </c>
      <c r="C596" t="s">
        <v>387</v>
      </c>
      <c r="D596" t="s">
        <v>388</v>
      </c>
      <c r="E596" s="1">
        <v>45929</v>
      </c>
      <c r="F596">
        <v>2</v>
      </c>
      <c r="G596">
        <v>2584</v>
      </c>
      <c r="H596">
        <v>78213</v>
      </c>
      <c r="I596">
        <v>0</v>
      </c>
      <c r="J596">
        <f t="shared" si="18"/>
        <v>78213</v>
      </c>
      <c r="K596" t="s">
        <v>1640</v>
      </c>
      <c r="L596">
        <v>2584</v>
      </c>
      <c r="M596" s="1">
        <f t="shared" si="19"/>
        <v>45929</v>
      </c>
      <c r="N596" t="s">
        <v>1641</v>
      </c>
      <c r="O596">
        <v>0</v>
      </c>
    </row>
    <row r="597" spans="1:15">
      <c r="A597" s="6" t="s">
        <v>14</v>
      </c>
      <c r="B597" t="s">
        <v>15</v>
      </c>
      <c r="C597" t="s">
        <v>389</v>
      </c>
      <c r="D597" t="s">
        <v>390</v>
      </c>
      <c r="E597" s="1">
        <v>45929</v>
      </c>
      <c r="F597">
        <v>2</v>
      </c>
      <c r="G597">
        <v>2397</v>
      </c>
      <c r="H597">
        <v>86683</v>
      </c>
      <c r="I597">
        <v>0</v>
      </c>
      <c r="J597">
        <f t="shared" si="18"/>
        <v>86683</v>
      </c>
      <c r="K597" t="s">
        <v>1640</v>
      </c>
      <c r="L597">
        <v>2397</v>
      </c>
      <c r="M597" s="1">
        <f t="shared" si="19"/>
        <v>45929</v>
      </c>
      <c r="N597" t="s">
        <v>1641</v>
      </c>
      <c r="O597">
        <v>0</v>
      </c>
    </row>
    <row r="598" spans="1:15">
      <c r="A598" s="6" t="s">
        <v>14</v>
      </c>
      <c r="B598" t="s">
        <v>15</v>
      </c>
      <c r="C598" t="s">
        <v>391</v>
      </c>
      <c r="D598" t="s">
        <v>392</v>
      </c>
      <c r="E598" s="1">
        <v>45929</v>
      </c>
      <c r="F598">
        <v>2</v>
      </c>
      <c r="G598">
        <v>4242.12</v>
      </c>
      <c r="H598">
        <v>124469</v>
      </c>
      <c r="I598">
        <v>0</v>
      </c>
      <c r="J598">
        <f t="shared" si="18"/>
        <v>124469</v>
      </c>
      <c r="K598" t="s">
        <v>1640</v>
      </c>
      <c r="L598">
        <v>4242.12</v>
      </c>
      <c r="M598" s="1">
        <f t="shared" si="19"/>
        <v>45929</v>
      </c>
      <c r="N598" t="s">
        <v>1641</v>
      </c>
      <c r="O598">
        <v>0</v>
      </c>
    </row>
    <row r="599" spans="1:15">
      <c r="A599" s="6" t="s">
        <v>14</v>
      </c>
      <c r="B599" t="s">
        <v>15</v>
      </c>
      <c r="C599" t="s">
        <v>393</v>
      </c>
      <c r="D599" t="s">
        <v>394</v>
      </c>
      <c r="E599" s="1">
        <v>45929</v>
      </c>
      <c r="F599">
        <v>2</v>
      </c>
      <c r="G599">
        <v>2585</v>
      </c>
      <c r="H599">
        <v>93000</v>
      </c>
      <c r="I599">
        <v>0</v>
      </c>
      <c r="J599">
        <f t="shared" si="18"/>
        <v>93000</v>
      </c>
      <c r="K599" t="s">
        <v>1640</v>
      </c>
      <c r="L599">
        <v>2585</v>
      </c>
      <c r="M599" s="1">
        <f t="shared" si="19"/>
        <v>45929</v>
      </c>
      <c r="N599" t="s">
        <v>1641</v>
      </c>
      <c r="O599">
        <v>0</v>
      </c>
    </row>
    <row r="600" spans="1:15">
      <c r="A600" s="6" t="s">
        <v>14</v>
      </c>
      <c r="B600" t="s">
        <v>15</v>
      </c>
      <c r="C600" t="s">
        <v>395</v>
      </c>
      <c r="D600" t="s">
        <v>396</v>
      </c>
      <c r="E600" s="1">
        <v>45929</v>
      </c>
      <c r="F600">
        <v>2</v>
      </c>
      <c r="G600">
        <v>1512</v>
      </c>
      <c r="H600">
        <v>27000</v>
      </c>
      <c r="I600">
        <v>0</v>
      </c>
      <c r="J600">
        <f t="shared" si="18"/>
        <v>27000</v>
      </c>
      <c r="K600" t="s">
        <v>1640</v>
      </c>
      <c r="L600">
        <v>1512</v>
      </c>
      <c r="M600" s="1">
        <f t="shared" si="19"/>
        <v>45929</v>
      </c>
      <c r="N600" t="s">
        <v>1641</v>
      </c>
      <c r="O600">
        <v>0</v>
      </c>
    </row>
    <row r="601" spans="1:15">
      <c r="A601" s="6" t="s">
        <v>14</v>
      </c>
      <c r="B601" t="s">
        <v>15</v>
      </c>
      <c r="C601" t="s">
        <v>397</v>
      </c>
      <c r="D601" t="s">
        <v>398</v>
      </c>
      <c r="E601" s="1">
        <v>45929</v>
      </c>
      <c r="F601">
        <v>2</v>
      </c>
      <c r="G601">
        <v>2800</v>
      </c>
      <c r="H601">
        <v>84713</v>
      </c>
      <c r="I601">
        <v>0</v>
      </c>
      <c r="J601">
        <f t="shared" si="18"/>
        <v>84713</v>
      </c>
      <c r="K601" t="s">
        <v>1640</v>
      </c>
      <c r="L601">
        <v>2800</v>
      </c>
      <c r="M601" s="1">
        <f t="shared" si="19"/>
        <v>45929</v>
      </c>
      <c r="N601" t="s">
        <v>1641</v>
      </c>
      <c r="O601">
        <v>0</v>
      </c>
    </row>
    <row r="602" spans="1:15">
      <c r="A602" s="6" t="s">
        <v>14</v>
      </c>
      <c r="B602" t="s">
        <v>15</v>
      </c>
      <c r="C602" t="s">
        <v>399</v>
      </c>
      <c r="D602" t="s">
        <v>400</v>
      </c>
      <c r="E602" s="1">
        <v>45929</v>
      </c>
      <c r="F602">
        <v>2</v>
      </c>
      <c r="G602">
        <v>3080</v>
      </c>
      <c r="H602">
        <v>91000</v>
      </c>
      <c r="I602">
        <v>0</v>
      </c>
      <c r="J602">
        <f t="shared" si="18"/>
        <v>91000</v>
      </c>
      <c r="K602" t="s">
        <v>1640</v>
      </c>
      <c r="L602">
        <v>3080</v>
      </c>
      <c r="M602" s="1">
        <f t="shared" si="19"/>
        <v>45929</v>
      </c>
      <c r="N602" t="s">
        <v>1641</v>
      </c>
      <c r="O602">
        <v>0</v>
      </c>
    </row>
    <row r="603" spans="1:15">
      <c r="A603" s="6" t="s">
        <v>14</v>
      </c>
      <c r="B603" t="s">
        <v>15</v>
      </c>
      <c r="C603" t="s">
        <v>401</v>
      </c>
      <c r="D603" t="s">
        <v>402</v>
      </c>
      <c r="E603" s="1">
        <v>45929</v>
      </c>
      <c r="F603">
        <v>2</v>
      </c>
      <c r="G603">
        <v>3536</v>
      </c>
      <c r="H603">
        <v>121325</v>
      </c>
      <c r="I603">
        <v>0</v>
      </c>
      <c r="J603">
        <f t="shared" si="18"/>
        <v>121325</v>
      </c>
      <c r="K603" t="s">
        <v>1640</v>
      </c>
      <c r="L603">
        <v>3536</v>
      </c>
      <c r="M603" s="1">
        <f t="shared" si="19"/>
        <v>45929</v>
      </c>
      <c r="N603" t="s">
        <v>1641</v>
      </c>
      <c r="O603">
        <v>0</v>
      </c>
    </row>
    <row r="604" spans="1:15">
      <c r="A604" s="6" t="s">
        <v>14</v>
      </c>
      <c r="B604" t="s">
        <v>15</v>
      </c>
      <c r="C604" t="s">
        <v>403</v>
      </c>
      <c r="D604" t="s">
        <v>404</v>
      </c>
      <c r="E604" s="1">
        <v>45929</v>
      </c>
      <c r="F604">
        <v>2</v>
      </c>
      <c r="G604">
        <v>2990</v>
      </c>
      <c r="H604">
        <v>107000</v>
      </c>
      <c r="I604">
        <v>0</v>
      </c>
      <c r="J604">
        <f t="shared" si="18"/>
        <v>107000</v>
      </c>
      <c r="K604" t="s">
        <v>1640</v>
      </c>
      <c r="L604">
        <v>2990</v>
      </c>
      <c r="M604" s="1">
        <f t="shared" si="19"/>
        <v>45929</v>
      </c>
      <c r="N604" t="s">
        <v>1641</v>
      </c>
      <c r="O604">
        <v>0</v>
      </c>
    </row>
    <row r="605" spans="1:15">
      <c r="A605" s="6" t="s">
        <v>14</v>
      </c>
      <c r="B605" t="s">
        <v>15</v>
      </c>
      <c r="C605" t="s">
        <v>405</v>
      </c>
      <c r="D605" t="s">
        <v>406</v>
      </c>
      <c r="E605" s="1">
        <v>45929</v>
      </c>
      <c r="F605">
        <v>2</v>
      </c>
      <c r="G605">
        <v>3075</v>
      </c>
      <c r="H605">
        <v>89337</v>
      </c>
      <c r="I605">
        <v>0</v>
      </c>
      <c r="J605">
        <f t="shared" si="18"/>
        <v>89337</v>
      </c>
      <c r="K605" t="s">
        <v>1640</v>
      </c>
      <c r="L605">
        <v>3075</v>
      </c>
      <c r="M605" s="1">
        <f t="shared" si="19"/>
        <v>45929</v>
      </c>
      <c r="N605" t="s">
        <v>1641</v>
      </c>
      <c r="O605">
        <v>0</v>
      </c>
    </row>
    <row r="606" spans="1:15">
      <c r="A606" s="6" t="s">
        <v>14</v>
      </c>
      <c r="B606" t="s">
        <v>15</v>
      </c>
      <c r="C606" t="s">
        <v>407</v>
      </c>
      <c r="D606" t="s">
        <v>408</v>
      </c>
      <c r="E606" s="1">
        <v>45929</v>
      </c>
      <c r="F606">
        <v>2</v>
      </c>
      <c r="G606">
        <v>405</v>
      </c>
      <c r="H606">
        <v>98000</v>
      </c>
      <c r="I606">
        <v>0</v>
      </c>
      <c r="J606">
        <f t="shared" si="18"/>
        <v>98000</v>
      </c>
      <c r="K606" t="s">
        <v>1640</v>
      </c>
      <c r="L606">
        <v>405</v>
      </c>
      <c r="M606" s="1">
        <f t="shared" si="19"/>
        <v>45929</v>
      </c>
      <c r="N606" t="s">
        <v>1641</v>
      </c>
      <c r="O606">
        <v>0</v>
      </c>
    </row>
    <row r="607" spans="1:15">
      <c r="A607" s="6" t="s">
        <v>14</v>
      </c>
      <c r="B607" t="s">
        <v>15</v>
      </c>
      <c r="C607" t="s">
        <v>409</v>
      </c>
      <c r="D607" t="s">
        <v>410</v>
      </c>
      <c r="E607" s="1">
        <v>45929</v>
      </c>
      <c r="F607">
        <v>2</v>
      </c>
      <c r="G607">
        <v>2898</v>
      </c>
      <c r="H607">
        <v>88101</v>
      </c>
      <c r="I607">
        <v>0</v>
      </c>
      <c r="J607">
        <f t="shared" si="18"/>
        <v>88101</v>
      </c>
      <c r="K607" t="s">
        <v>1640</v>
      </c>
      <c r="L607">
        <v>2898</v>
      </c>
      <c r="M607" s="1">
        <f t="shared" si="19"/>
        <v>45929</v>
      </c>
      <c r="N607" t="s">
        <v>1641</v>
      </c>
      <c r="O607">
        <v>0</v>
      </c>
    </row>
    <row r="608" spans="1:15">
      <c r="A608" s="6" t="s">
        <v>14</v>
      </c>
      <c r="B608" t="s">
        <v>15</v>
      </c>
      <c r="C608" t="s">
        <v>411</v>
      </c>
      <c r="D608" t="s">
        <v>412</v>
      </c>
      <c r="E608" s="1">
        <v>45929</v>
      </c>
      <c r="F608">
        <v>2</v>
      </c>
      <c r="G608">
        <v>1058</v>
      </c>
      <c r="H608">
        <v>9216</v>
      </c>
      <c r="I608">
        <v>0</v>
      </c>
      <c r="J608">
        <f t="shared" si="18"/>
        <v>9216</v>
      </c>
      <c r="K608" t="s">
        <v>1640</v>
      </c>
      <c r="L608">
        <v>1058</v>
      </c>
      <c r="M608" s="1">
        <f t="shared" si="19"/>
        <v>45929</v>
      </c>
      <c r="N608" t="s">
        <v>1641</v>
      </c>
      <c r="O608">
        <v>0</v>
      </c>
    </row>
    <row r="609" spans="1:15">
      <c r="A609" s="6" t="s">
        <v>14</v>
      </c>
      <c r="B609" t="s">
        <v>15</v>
      </c>
      <c r="C609" t="s">
        <v>413</v>
      </c>
      <c r="D609" t="s">
        <v>414</v>
      </c>
      <c r="E609" s="1">
        <v>45929</v>
      </c>
      <c r="F609">
        <v>2</v>
      </c>
      <c r="G609">
        <v>1734</v>
      </c>
      <c r="H609">
        <v>50000</v>
      </c>
      <c r="I609">
        <v>0</v>
      </c>
      <c r="J609">
        <f t="shared" si="18"/>
        <v>50000</v>
      </c>
      <c r="K609" t="s">
        <v>1640</v>
      </c>
      <c r="L609">
        <v>1734</v>
      </c>
      <c r="M609" s="1">
        <f t="shared" si="19"/>
        <v>45929</v>
      </c>
      <c r="N609" t="s">
        <v>1641</v>
      </c>
      <c r="O609">
        <v>0</v>
      </c>
    </row>
    <row r="610" spans="1:15">
      <c r="A610" s="6" t="s">
        <v>14</v>
      </c>
      <c r="B610" t="s">
        <v>15</v>
      </c>
      <c r="C610" t="s">
        <v>415</v>
      </c>
      <c r="D610" t="s">
        <v>416</v>
      </c>
      <c r="E610" s="1">
        <v>45929</v>
      </c>
      <c r="F610">
        <v>2</v>
      </c>
      <c r="G610">
        <v>1632</v>
      </c>
      <c r="H610">
        <v>46731</v>
      </c>
      <c r="I610">
        <v>0</v>
      </c>
      <c r="J610">
        <f t="shared" si="18"/>
        <v>46731</v>
      </c>
      <c r="K610" t="s">
        <v>1640</v>
      </c>
      <c r="L610">
        <v>1632</v>
      </c>
      <c r="M610" s="1">
        <f t="shared" si="19"/>
        <v>45929</v>
      </c>
      <c r="N610" t="s">
        <v>1641</v>
      </c>
      <c r="O610">
        <v>0</v>
      </c>
    </row>
    <row r="611" spans="1:15">
      <c r="A611" s="6" t="s">
        <v>14</v>
      </c>
      <c r="B611" t="s">
        <v>15</v>
      </c>
      <c r="C611" t="s">
        <v>417</v>
      </c>
      <c r="D611" t="s">
        <v>418</v>
      </c>
      <c r="E611" s="1">
        <v>45929</v>
      </c>
      <c r="F611">
        <v>2</v>
      </c>
      <c r="G611">
        <v>1500</v>
      </c>
      <c r="H611">
        <v>26749</v>
      </c>
      <c r="I611">
        <v>0</v>
      </c>
      <c r="J611">
        <f t="shared" si="18"/>
        <v>26749</v>
      </c>
      <c r="K611" t="s">
        <v>1640</v>
      </c>
      <c r="L611">
        <v>1500</v>
      </c>
      <c r="M611" s="1">
        <f t="shared" si="19"/>
        <v>45929</v>
      </c>
      <c r="N611" t="s">
        <v>1641</v>
      </c>
      <c r="O611">
        <v>0</v>
      </c>
    </row>
    <row r="612" spans="1:15">
      <c r="A612" s="6" t="s">
        <v>14</v>
      </c>
      <c r="B612" t="s">
        <v>15</v>
      </c>
      <c r="C612" t="s">
        <v>419</v>
      </c>
      <c r="D612" t="s">
        <v>420</v>
      </c>
      <c r="E612" s="1">
        <v>45929</v>
      </c>
      <c r="F612">
        <v>2</v>
      </c>
      <c r="G612">
        <v>476</v>
      </c>
      <c r="H612">
        <v>8410</v>
      </c>
      <c r="I612">
        <v>0</v>
      </c>
      <c r="J612">
        <f t="shared" si="18"/>
        <v>8410</v>
      </c>
      <c r="K612" t="s">
        <v>1640</v>
      </c>
      <c r="L612">
        <v>476</v>
      </c>
      <c r="M612" s="1">
        <f t="shared" si="19"/>
        <v>45929</v>
      </c>
      <c r="N612" t="s">
        <v>1641</v>
      </c>
      <c r="O612">
        <v>0</v>
      </c>
    </row>
    <row r="613" spans="1:15">
      <c r="A613" s="6" t="s">
        <v>14</v>
      </c>
      <c r="B613" t="s">
        <v>15</v>
      </c>
      <c r="C613" t="s">
        <v>421</v>
      </c>
      <c r="D613" t="s">
        <v>422</v>
      </c>
      <c r="E613" s="1">
        <v>45929</v>
      </c>
      <c r="F613">
        <v>2</v>
      </c>
      <c r="G613">
        <v>2100</v>
      </c>
      <c r="H613">
        <v>70000</v>
      </c>
      <c r="I613">
        <v>0</v>
      </c>
      <c r="J613">
        <f t="shared" si="18"/>
        <v>70000</v>
      </c>
      <c r="K613" t="s">
        <v>1640</v>
      </c>
      <c r="L613">
        <v>2100</v>
      </c>
      <c r="M613" s="1">
        <f t="shared" si="19"/>
        <v>45929</v>
      </c>
      <c r="N613" t="s">
        <v>1641</v>
      </c>
      <c r="O613">
        <v>0</v>
      </c>
    </row>
    <row r="614" spans="1:15">
      <c r="A614" s="6" t="s">
        <v>14</v>
      </c>
      <c r="B614" t="s">
        <v>15</v>
      </c>
      <c r="C614" t="s">
        <v>423</v>
      </c>
      <c r="D614" t="s">
        <v>424</v>
      </c>
      <c r="E614" s="1">
        <v>45929</v>
      </c>
      <c r="F614">
        <v>2</v>
      </c>
      <c r="G614">
        <v>2160</v>
      </c>
      <c r="H614">
        <v>75570</v>
      </c>
      <c r="I614">
        <v>0</v>
      </c>
      <c r="J614">
        <f t="shared" si="18"/>
        <v>75570</v>
      </c>
      <c r="K614" t="s">
        <v>1640</v>
      </c>
      <c r="L614">
        <v>2160</v>
      </c>
      <c r="M614" s="1">
        <f t="shared" si="19"/>
        <v>45929</v>
      </c>
      <c r="N614" t="s">
        <v>1641</v>
      </c>
      <c r="O614">
        <v>0</v>
      </c>
    </row>
    <row r="615" spans="1:15">
      <c r="A615" s="6" t="s">
        <v>14</v>
      </c>
      <c r="B615" t="s">
        <v>15</v>
      </c>
      <c r="C615" t="s">
        <v>425</v>
      </c>
      <c r="D615" t="s">
        <v>426</v>
      </c>
      <c r="E615" s="1">
        <v>45929</v>
      </c>
      <c r="F615">
        <v>2</v>
      </c>
      <c r="G615">
        <v>2714</v>
      </c>
      <c r="H615">
        <v>89000</v>
      </c>
      <c r="I615">
        <v>0</v>
      </c>
      <c r="J615">
        <f t="shared" si="18"/>
        <v>89000</v>
      </c>
      <c r="K615" t="s">
        <v>1640</v>
      </c>
      <c r="L615">
        <v>2714</v>
      </c>
      <c r="M615" s="1">
        <f t="shared" si="19"/>
        <v>45929</v>
      </c>
      <c r="N615" t="s">
        <v>1641</v>
      </c>
      <c r="O615">
        <v>0</v>
      </c>
    </row>
    <row r="616" spans="1:15">
      <c r="A616" s="6" t="s">
        <v>14</v>
      </c>
      <c r="B616" t="s">
        <v>15</v>
      </c>
      <c r="C616" t="s">
        <v>427</v>
      </c>
      <c r="D616" t="s">
        <v>428</v>
      </c>
      <c r="E616" s="1">
        <v>45929</v>
      </c>
      <c r="F616">
        <v>2</v>
      </c>
      <c r="G616">
        <v>4200</v>
      </c>
      <c r="H616">
        <v>151204</v>
      </c>
      <c r="I616">
        <v>0</v>
      </c>
      <c r="J616">
        <f t="shared" si="18"/>
        <v>151204</v>
      </c>
      <c r="K616" t="s">
        <v>1640</v>
      </c>
      <c r="L616">
        <v>4200</v>
      </c>
      <c r="M616" s="1">
        <f t="shared" si="19"/>
        <v>45929</v>
      </c>
      <c r="N616" t="s">
        <v>1641</v>
      </c>
      <c r="O616">
        <v>0</v>
      </c>
    </row>
    <row r="617" spans="1:15">
      <c r="A617" s="6" t="s">
        <v>14</v>
      </c>
      <c r="B617" t="s">
        <v>15</v>
      </c>
      <c r="C617" t="s">
        <v>429</v>
      </c>
      <c r="D617" t="s">
        <v>430</v>
      </c>
      <c r="E617" s="1">
        <v>45929</v>
      </c>
      <c r="F617">
        <v>2</v>
      </c>
      <c r="G617">
        <v>3213</v>
      </c>
      <c r="H617">
        <v>120000</v>
      </c>
      <c r="I617">
        <v>0</v>
      </c>
      <c r="J617">
        <f t="shared" si="18"/>
        <v>120000</v>
      </c>
      <c r="K617" t="s">
        <v>1640</v>
      </c>
      <c r="L617">
        <v>3213</v>
      </c>
      <c r="M617" s="1">
        <f t="shared" si="19"/>
        <v>45929</v>
      </c>
      <c r="N617" t="s">
        <v>1641</v>
      </c>
      <c r="O617">
        <v>0</v>
      </c>
    </row>
    <row r="618" spans="1:15">
      <c r="A618" s="6" t="s">
        <v>14</v>
      </c>
      <c r="B618" t="s">
        <v>15</v>
      </c>
      <c r="C618" t="s">
        <v>431</v>
      </c>
      <c r="D618" t="s">
        <v>432</v>
      </c>
      <c r="E618" s="1">
        <v>45929</v>
      </c>
      <c r="F618">
        <v>2</v>
      </c>
      <c r="G618">
        <v>4400</v>
      </c>
      <c r="H618">
        <v>159619</v>
      </c>
      <c r="I618">
        <v>0</v>
      </c>
      <c r="J618">
        <f t="shared" si="18"/>
        <v>159619</v>
      </c>
      <c r="K618" t="s">
        <v>1640</v>
      </c>
      <c r="L618">
        <v>4400</v>
      </c>
      <c r="M618" s="1">
        <f t="shared" si="19"/>
        <v>45929</v>
      </c>
      <c r="N618" t="s">
        <v>1641</v>
      </c>
      <c r="O618">
        <v>0</v>
      </c>
    </row>
    <row r="619" spans="1:15">
      <c r="A619" s="6" t="s">
        <v>14</v>
      </c>
      <c r="B619" t="s">
        <v>15</v>
      </c>
      <c r="C619" t="s">
        <v>433</v>
      </c>
      <c r="D619" t="s">
        <v>434</v>
      </c>
      <c r="E619" s="1">
        <v>45929</v>
      </c>
      <c r="F619">
        <v>2</v>
      </c>
      <c r="G619">
        <v>2542</v>
      </c>
      <c r="H619">
        <v>76000</v>
      </c>
      <c r="I619">
        <v>0</v>
      </c>
      <c r="J619">
        <f t="shared" si="18"/>
        <v>76000</v>
      </c>
      <c r="K619" t="s">
        <v>1640</v>
      </c>
      <c r="L619">
        <v>2542</v>
      </c>
      <c r="M619" s="1">
        <f t="shared" si="19"/>
        <v>45929</v>
      </c>
      <c r="N619" t="s">
        <v>1641</v>
      </c>
      <c r="O619">
        <v>0</v>
      </c>
    </row>
    <row r="620" spans="1:15">
      <c r="A620" s="6" t="s">
        <v>14</v>
      </c>
      <c r="B620" t="s">
        <v>15</v>
      </c>
      <c r="C620" t="s">
        <v>435</v>
      </c>
      <c r="D620" t="s">
        <v>436</v>
      </c>
      <c r="E620" s="1">
        <v>45929</v>
      </c>
      <c r="F620">
        <v>2</v>
      </c>
      <c r="G620">
        <v>826</v>
      </c>
      <c r="H620">
        <v>22053</v>
      </c>
      <c r="I620">
        <v>0</v>
      </c>
      <c r="J620">
        <f t="shared" si="18"/>
        <v>22053</v>
      </c>
      <c r="K620" t="s">
        <v>1640</v>
      </c>
      <c r="L620">
        <v>826</v>
      </c>
      <c r="M620" s="1">
        <f t="shared" si="19"/>
        <v>45929</v>
      </c>
      <c r="N620" t="s">
        <v>1641</v>
      </c>
      <c r="O620">
        <v>0</v>
      </c>
    </row>
    <row r="621" spans="1:15">
      <c r="A621" s="6" t="s">
        <v>14</v>
      </c>
      <c r="B621" t="s">
        <v>15</v>
      </c>
      <c r="C621" t="s">
        <v>437</v>
      </c>
      <c r="D621" t="s">
        <v>438</v>
      </c>
      <c r="E621" s="1">
        <v>45929</v>
      </c>
      <c r="F621">
        <v>2</v>
      </c>
      <c r="G621">
        <v>3525</v>
      </c>
      <c r="H621">
        <v>105878</v>
      </c>
      <c r="I621">
        <v>0</v>
      </c>
      <c r="J621">
        <f t="shared" si="18"/>
        <v>105878</v>
      </c>
      <c r="K621" t="s">
        <v>1640</v>
      </c>
      <c r="L621">
        <v>3525</v>
      </c>
      <c r="M621" s="1">
        <f t="shared" si="19"/>
        <v>45929</v>
      </c>
      <c r="N621" t="s">
        <v>1641</v>
      </c>
      <c r="O621">
        <v>0</v>
      </c>
    </row>
    <row r="622" spans="1:15">
      <c r="A622" s="6" t="s">
        <v>14</v>
      </c>
      <c r="B622" t="s">
        <v>15</v>
      </c>
      <c r="C622" t="s">
        <v>439</v>
      </c>
      <c r="D622" t="s">
        <v>440</v>
      </c>
      <c r="E622" s="1">
        <v>45929</v>
      </c>
      <c r="F622">
        <v>2</v>
      </c>
      <c r="G622">
        <v>1083</v>
      </c>
      <c r="H622">
        <v>20000</v>
      </c>
      <c r="I622">
        <v>0</v>
      </c>
      <c r="J622">
        <f t="shared" si="18"/>
        <v>20000</v>
      </c>
      <c r="K622" t="s">
        <v>1640</v>
      </c>
      <c r="L622">
        <v>1083</v>
      </c>
      <c r="M622" s="1">
        <f t="shared" si="19"/>
        <v>45929</v>
      </c>
      <c r="N622" t="s">
        <v>1641</v>
      </c>
      <c r="O622">
        <v>0</v>
      </c>
    </row>
    <row r="623" spans="1:15">
      <c r="A623" s="6" t="s">
        <v>14</v>
      </c>
      <c r="B623" t="s">
        <v>15</v>
      </c>
      <c r="C623" t="s">
        <v>441</v>
      </c>
      <c r="D623" t="s">
        <v>442</v>
      </c>
      <c r="E623" s="1">
        <v>45929</v>
      </c>
      <c r="F623">
        <v>2</v>
      </c>
      <c r="G623">
        <v>2448</v>
      </c>
      <c r="H623">
        <v>79554</v>
      </c>
      <c r="I623">
        <v>0</v>
      </c>
      <c r="J623">
        <f t="shared" si="18"/>
        <v>79554</v>
      </c>
      <c r="K623" t="s">
        <v>1640</v>
      </c>
      <c r="L623">
        <v>2448</v>
      </c>
      <c r="M623" s="1">
        <f t="shared" si="19"/>
        <v>45929</v>
      </c>
      <c r="N623" t="s">
        <v>1641</v>
      </c>
      <c r="O623">
        <v>0</v>
      </c>
    </row>
    <row r="624" spans="1:15">
      <c r="A624" s="6" t="s">
        <v>14</v>
      </c>
      <c r="B624" t="s">
        <v>15</v>
      </c>
      <c r="C624" t="s">
        <v>443</v>
      </c>
      <c r="D624" t="s">
        <v>444</v>
      </c>
      <c r="E624" s="1">
        <v>45929</v>
      </c>
      <c r="F624">
        <v>2</v>
      </c>
      <c r="G624">
        <v>2914</v>
      </c>
      <c r="H624">
        <v>84000</v>
      </c>
      <c r="I624">
        <v>0</v>
      </c>
      <c r="J624">
        <f t="shared" si="18"/>
        <v>84000</v>
      </c>
      <c r="K624" t="s">
        <v>1640</v>
      </c>
      <c r="L624">
        <v>2914</v>
      </c>
      <c r="M624" s="1">
        <f t="shared" si="19"/>
        <v>45929</v>
      </c>
      <c r="N624" t="s">
        <v>1641</v>
      </c>
      <c r="O624">
        <v>0</v>
      </c>
    </row>
    <row r="625" spans="1:15">
      <c r="A625" s="6" t="s">
        <v>14</v>
      </c>
      <c r="B625" t="s">
        <v>15</v>
      </c>
      <c r="C625" t="s">
        <v>445</v>
      </c>
      <c r="D625" t="s">
        <v>446</v>
      </c>
      <c r="E625" s="1">
        <v>45929</v>
      </c>
      <c r="F625">
        <v>2</v>
      </c>
      <c r="G625">
        <v>2520</v>
      </c>
      <c r="H625">
        <v>76666</v>
      </c>
      <c r="I625">
        <v>0</v>
      </c>
      <c r="J625">
        <f t="shared" si="18"/>
        <v>76666</v>
      </c>
      <c r="K625" t="s">
        <v>1640</v>
      </c>
      <c r="L625">
        <v>2520</v>
      </c>
      <c r="M625" s="1">
        <f t="shared" si="19"/>
        <v>45929</v>
      </c>
      <c r="N625" t="s">
        <v>1641</v>
      </c>
      <c r="O625">
        <v>0</v>
      </c>
    </row>
    <row r="626" spans="1:15">
      <c r="A626" s="6" t="s">
        <v>14</v>
      </c>
      <c r="B626" t="s">
        <v>15</v>
      </c>
      <c r="C626" t="s">
        <v>447</v>
      </c>
      <c r="D626" t="s">
        <v>448</v>
      </c>
      <c r="E626" s="1">
        <v>45929</v>
      </c>
      <c r="F626">
        <v>2</v>
      </c>
      <c r="G626">
        <v>2385</v>
      </c>
      <c r="H626">
        <v>71000</v>
      </c>
      <c r="I626">
        <v>0</v>
      </c>
      <c r="J626">
        <f t="shared" si="18"/>
        <v>71000</v>
      </c>
      <c r="K626" t="s">
        <v>1640</v>
      </c>
      <c r="L626">
        <v>2385</v>
      </c>
      <c r="M626" s="1">
        <f t="shared" si="19"/>
        <v>45929</v>
      </c>
      <c r="N626" t="s">
        <v>1641</v>
      </c>
      <c r="O626">
        <v>0</v>
      </c>
    </row>
    <row r="627" spans="1:15">
      <c r="A627" s="6" t="s">
        <v>14</v>
      </c>
      <c r="B627" t="s">
        <v>15</v>
      </c>
      <c r="C627" t="s">
        <v>449</v>
      </c>
      <c r="D627" t="s">
        <v>450</v>
      </c>
      <c r="E627" s="1">
        <v>45929</v>
      </c>
      <c r="F627">
        <v>2</v>
      </c>
      <c r="G627">
        <v>1920</v>
      </c>
      <c r="H627">
        <v>69900</v>
      </c>
      <c r="I627">
        <v>0</v>
      </c>
      <c r="J627">
        <f t="shared" si="18"/>
        <v>69900</v>
      </c>
      <c r="K627" t="s">
        <v>1640</v>
      </c>
      <c r="L627">
        <v>1920</v>
      </c>
      <c r="M627" s="1">
        <f t="shared" si="19"/>
        <v>45929</v>
      </c>
      <c r="N627" t="s">
        <v>1641</v>
      </c>
      <c r="O627">
        <v>0</v>
      </c>
    </row>
    <row r="628" spans="1:15">
      <c r="A628" s="6" t="s">
        <v>14</v>
      </c>
      <c r="B628" t="s">
        <v>15</v>
      </c>
      <c r="C628" t="s">
        <v>451</v>
      </c>
      <c r="D628" t="s">
        <v>452</v>
      </c>
      <c r="E628" s="1">
        <v>45929</v>
      </c>
      <c r="F628">
        <v>2</v>
      </c>
      <c r="G628">
        <v>2960</v>
      </c>
      <c r="H628">
        <v>106836</v>
      </c>
      <c r="I628">
        <v>0</v>
      </c>
      <c r="J628">
        <f t="shared" si="18"/>
        <v>106836</v>
      </c>
      <c r="K628" t="s">
        <v>1640</v>
      </c>
      <c r="L628">
        <v>2960</v>
      </c>
      <c r="M628" s="1">
        <f t="shared" si="19"/>
        <v>45929</v>
      </c>
      <c r="N628" t="s">
        <v>1641</v>
      </c>
      <c r="O628">
        <v>0</v>
      </c>
    </row>
    <row r="629" spans="1:15">
      <c r="A629" s="6" t="s">
        <v>14</v>
      </c>
      <c r="B629" t="s">
        <v>15</v>
      </c>
      <c r="C629" t="s">
        <v>455</v>
      </c>
      <c r="D629" t="s">
        <v>456</v>
      </c>
      <c r="E629" s="1">
        <v>45929</v>
      </c>
      <c r="F629">
        <v>2</v>
      </c>
      <c r="G629">
        <v>2665</v>
      </c>
      <c r="H629">
        <v>96000</v>
      </c>
      <c r="I629">
        <v>0</v>
      </c>
      <c r="J629">
        <f t="shared" si="18"/>
        <v>96000</v>
      </c>
      <c r="K629" t="s">
        <v>1640</v>
      </c>
      <c r="L629">
        <v>2665</v>
      </c>
      <c r="M629" s="1">
        <f t="shared" si="19"/>
        <v>45929</v>
      </c>
      <c r="N629" t="s">
        <v>1641</v>
      </c>
      <c r="O629">
        <v>0</v>
      </c>
    </row>
    <row r="630" spans="1:15">
      <c r="A630" s="6" t="s">
        <v>14</v>
      </c>
      <c r="B630" t="s">
        <v>15</v>
      </c>
      <c r="C630" t="s">
        <v>457</v>
      </c>
      <c r="D630" t="s">
        <v>458</v>
      </c>
      <c r="E630" s="1">
        <v>45929</v>
      </c>
      <c r="F630">
        <v>2</v>
      </c>
      <c r="G630">
        <v>1763</v>
      </c>
      <c r="H630">
        <v>66238</v>
      </c>
      <c r="I630">
        <v>0</v>
      </c>
      <c r="J630">
        <f t="shared" si="18"/>
        <v>66238</v>
      </c>
      <c r="K630" t="s">
        <v>1640</v>
      </c>
      <c r="L630">
        <v>1763</v>
      </c>
      <c r="M630" s="1">
        <f t="shared" si="19"/>
        <v>45929</v>
      </c>
      <c r="N630" t="s">
        <v>1641</v>
      </c>
      <c r="O630">
        <v>0</v>
      </c>
    </row>
    <row r="631" spans="1:15">
      <c r="A631" s="6" t="s">
        <v>14</v>
      </c>
      <c r="B631" t="s">
        <v>15</v>
      </c>
      <c r="C631" t="s">
        <v>459</v>
      </c>
      <c r="D631" t="s">
        <v>460</v>
      </c>
      <c r="E631" s="1">
        <v>45929</v>
      </c>
      <c r="F631">
        <v>2</v>
      </c>
      <c r="G631">
        <v>4018</v>
      </c>
      <c r="H631">
        <v>118888</v>
      </c>
      <c r="I631">
        <v>0</v>
      </c>
      <c r="J631">
        <f t="shared" si="18"/>
        <v>118888</v>
      </c>
      <c r="K631" t="s">
        <v>1640</v>
      </c>
      <c r="L631">
        <v>4018</v>
      </c>
      <c r="M631" s="1">
        <f t="shared" si="19"/>
        <v>45929</v>
      </c>
      <c r="N631" t="s">
        <v>1641</v>
      </c>
      <c r="O631">
        <v>0</v>
      </c>
    </row>
    <row r="632" spans="1:15">
      <c r="A632" s="6" t="s">
        <v>14</v>
      </c>
      <c r="B632" t="s">
        <v>15</v>
      </c>
      <c r="C632" t="s">
        <v>461</v>
      </c>
      <c r="D632" t="s">
        <v>462</v>
      </c>
      <c r="E632" s="1">
        <v>45929</v>
      </c>
      <c r="F632">
        <v>2</v>
      </c>
      <c r="G632">
        <v>2700</v>
      </c>
      <c r="H632">
        <v>78259</v>
      </c>
      <c r="I632">
        <v>0</v>
      </c>
      <c r="J632">
        <f t="shared" si="18"/>
        <v>78259</v>
      </c>
      <c r="K632" t="s">
        <v>1640</v>
      </c>
      <c r="L632">
        <v>2700</v>
      </c>
      <c r="M632" s="1">
        <f t="shared" si="19"/>
        <v>45929</v>
      </c>
      <c r="N632" t="s">
        <v>1641</v>
      </c>
      <c r="O632">
        <v>0</v>
      </c>
    </row>
    <row r="633" spans="1:15">
      <c r="A633" s="6" t="s">
        <v>14</v>
      </c>
      <c r="B633" t="s">
        <v>15</v>
      </c>
      <c r="C633" t="s">
        <v>463</v>
      </c>
      <c r="D633" t="s">
        <v>464</v>
      </c>
      <c r="E633" s="1">
        <v>45929</v>
      </c>
      <c r="F633">
        <v>2</v>
      </c>
      <c r="G633">
        <v>3692</v>
      </c>
      <c r="H633">
        <v>112197</v>
      </c>
      <c r="I633">
        <v>0</v>
      </c>
      <c r="J633">
        <f t="shared" si="18"/>
        <v>112197</v>
      </c>
      <c r="K633" t="s">
        <v>1640</v>
      </c>
      <c r="L633">
        <v>3692</v>
      </c>
      <c r="M633" s="1">
        <f t="shared" si="19"/>
        <v>45929</v>
      </c>
      <c r="N633" t="s">
        <v>1641</v>
      </c>
      <c r="O633">
        <v>0</v>
      </c>
    </row>
    <row r="634" spans="1:15">
      <c r="A634" s="6" t="s">
        <v>14</v>
      </c>
      <c r="B634" t="s">
        <v>15</v>
      </c>
      <c r="C634" t="s">
        <v>465</v>
      </c>
      <c r="D634" t="s">
        <v>466</v>
      </c>
      <c r="E634" s="1">
        <v>45929</v>
      </c>
      <c r="F634">
        <v>2</v>
      </c>
      <c r="G634">
        <v>3705</v>
      </c>
      <c r="H634">
        <v>112715</v>
      </c>
      <c r="I634">
        <v>0</v>
      </c>
      <c r="J634">
        <f t="shared" si="18"/>
        <v>112715</v>
      </c>
      <c r="K634" t="s">
        <v>1640</v>
      </c>
      <c r="L634">
        <v>3705</v>
      </c>
      <c r="M634" s="1">
        <f t="shared" si="19"/>
        <v>45929</v>
      </c>
      <c r="N634" t="s">
        <v>1641</v>
      </c>
      <c r="O634">
        <v>0</v>
      </c>
    </row>
    <row r="635" spans="1:15">
      <c r="A635" s="6" t="s">
        <v>14</v>
      </c>
      <c r="B635" t="s">
        <v>15</v>
      </c>
      <c r="C635" t="s">
        <v>467</v>
      </c>
      <c r="D635" t="s">
        <v>468</v>
      </c>
      <c r="E635" s="1">
        <v>45929</v>
      </c>
      <c r="F635">
        <v>2</v>
      </c>
      <c r="G635">
        <v>1320</v>
      </c>
      <c r="H635">
        <v>22853</v>
      </c>
      <c r="I635">
        <v>0</v>
      </c>
      <c r="J635">
        <f t="shared" si="18"/>
        <v>22853</v>
      </c>
      <c r="K635" t="s">
        <v>1640</v>
      </c>
      <c r="L635">
        <v>1320</v>
      </c>
      <c r="M635" s="1">
        <f t="shared" si="19"/>
        <v>45929</v>
      </c>
      <c r="N635" t="s">
        <v>1641</v>
      </c>
      <c r="O635">
        <v>0</v>
      </c>
    </row>
    <row r="636" spans="1:15">
      <c r="A636" s="6" t="s">
        <v>14</v>
      </c>
      <c r="B636" t="s">
        <v>15</v>
      </c>
      <c r="C636" t="s">
        <v>469</v>
      </c>
      <c r="D636" t="s">
        <v>470</v>
      </c>
      <c r="E636" s="1">
        <v>45929</v>
      </c>
      <c r="F636">
        <v>2</v>
      </c>
      <c r="G636">
        <v>2964</v>
      </c>
      <c r="H636">
        <v>89000</v>
      </c>
      <c r="I636">
        <v>0</v>
      </c>
      <c r="J636">
        <f t="shared" si="18"/>
        <v>89000</v>
      </c>
      <c r="K636" t="s">
        <v>1640</v>
      </c>
      <c r="L636">
        <v>2964</v>
      </c>
      <c r="M636" s="1">
        <f t="shared" si="19"/>
        <v>45929</v>
      </c>
      <c r="N636" t="s">
        <v>1641</v>
      </c>
      <c r="O636">
        <v>0</v>
      </c>
    </row>
    <row r="637" spans="1:15">
      <c r="A637" s="6" t="s">
        <v>14</v>
      </c>
      <c r="B637" t="s">
        <v>15</v>
      </c>
      <c r="C637" t="s">
        <v>471</v>
      </c>
      <c r="D637" t="s">
        <v>472</v>
      </c>
      <c r="E637" s="1">
        <v>45929</v>
      </c>
      <c r="F637">
        <v>2</v>
      </c>
      <c r="G637">
        <v>3870</v>
      </c>
      <c r="H637">
        <v>118000</v>
      </c>
      <c r="I637">
        <v>0</v>
      </c>
      <c r="J637">
        <f t="shared" si="18"/>
        <v>118000</v>
      </c>
      <c r="K637" t="s">
        <v>1640</v>
      </c>
      <c r="L637">
        <v>3870</v>
      </c>
      <c r="M637" s="1">
        <f t="shared" si="19"/>
        <v>45929</v>
      </c>
      <c r="N637" t="s">
        <v>1641</v>
      </c>
      <c r="O637">
        <v>0</v>
      </c>
    </row>
    <row r="638" spans="1:15">
      <c r="A638" s="6" t="s">
        <v>14</v>
      </c>
      <c r="B638" t="s">
        <v>15</v>
      </c>
      <c r="C638" t="s">
        <v>473</v>
      </c>
      <c r="D638" t="s">
        <v>474</v>
      </c>
      <c r="E638" s="1">
        <v>45929</v>
      </c>
      <c r="F638">
        <v>2</v>
      </c>
      <c r="G638">
        <v>1311</v>
      </c>
      <c r="H638">
        <v>23863</v>
      </c>
      <c r="I638">
        <v>0</v>
      </c>
      <c r="J638">
        <f t="shared" si="18"/>
        <v>23863</v>
      </c>
      <c r="K638" t="s">
        <v>1640</v>
      </c>
      <c r="L638">
        <v>1311</v>
      </c>
      <c r="M638" s="1">
        <f t="shared" si="19"/>
        <v>45929</v>
      </c>
      <c r="N638" t="s">
        <v>1641</v>
      </c>
      <c r="O638">
        <v>0</v>
      </c>
    </row>
    <row r="639" spans="1:15">
      <c r="A639" s="6" t="s">
        <v>14</v>
      </c>
      <c r="B639" t="s">
        <v>15</v>
      </c>
      <c r="C639" t="s">
        <v>475</v>
      </c>
      <c r="D639" t="s">
        <v>476</v>
      </c>
      <c r="E639" s="1">
        <v>45929</v>
      </c>
      <c r="F639">
        <v>2</v>
      </c>
      <c r="G639">
        <v>1566</v>
      </c>
      <c r="H639">
        <v>29297</v>
      </c>
      <c r="I639">
        <v>0</v>
      </c>
      <c r="J639">
        <f t="shared" si="18"/>
        <v>29297</v>
      </c>
      <c r="K639" t="s">
        <v>1640</v>
      </c>
      <c r="L639">
        <v>1566</v>
      </c>
      <c r="M639" s="1">
        <f t="shared" si="19"/>
        <v>45929</v>
      </c>
      <c r="N639" t="s">
        <v>1641</v>
      </c>
      <c r="O639">
        <v>0</v>
      </c>
    </row>
    <row r="640" spans="1:15">
      <c r="A640" s="6" t="s">
        <v>14</v>
      </c>
      <c r="B640" t="s">
        <v>15</v>
      </c>
      <c r="C640" t="s">
        <v>477</v>
      </c>
      <c r="D640" t="s">
        <v>478</v>
      </c>
      <c r="E640" s="1">
        <v>45929</v>
      </c>
      <c r="F640">
        <v>2</v>
      </c>
      <c r="G640">
        <v>2880</v>
      </c>
      <c r="H640">
        <v>90000</v>
      </c>
      <c r="I640">
        <v>0</v>
      </c>
      <c r="J640">
        <f t="shared" si="18"/>
        <v>90000</v>
      </c>
      <c r="K640" t="s">
        <v>1640</v>
      </c>
      <c r="L640">
        <v>2880</v>
      </c>
      <c r="M640" s="1">
        <f t="shared" si="19"/>
        <v>45929</v>
      </c>
      <c r="N640" t="s">
        <v>1641</v>
      </c>
      <c r="O640">
        <v>0</v>
      </c>
    </row>
    <row r="641" spans="1:15">
      <c r="A641" s="6" t="s">
        <v>14</v>
      </c>
      <c r="B641" t="s">
        <v>15</v>
      </c>
      <c r="C641" t="s">
        <v>481</v>
      </c>
      <c r="D641" t="s">
        <v>482</v>
      </c>
      <c r="E641" s="1">
        <v>45929</v>
      </c>
      <c r="F641">
        <v>2</v>
      </c>
      <c r="G641">
        <v>4636</v>
      </c>
      <c r="H641">
        <v>141000</v>
      </c>
      <c r="I641">
        <v>0</v>
      </c>
      <c r="J641">
        <f t="shared" si="18"/>
        <v>141000</v>
      </c>
      <c r="K641" t="s">
        <v>1640</v>
      </c>
      <c r="L641">
        <v>4636</v>
      </c>
      <c r="M641" s="1">
        <f t="shared" si="19"/>
        <v>45929</v>
      </c>
      <c r="N641" t="s">
        <v>1641</v>
      </c>
      <c r="O641">
        <v>0</v>
      </c>
    </row>
    <row r="642" spans="1:15">
      <c r="A642" s="6" t="s">
        <v>14</v>
      </c>
      <c r="B642" t="s">
        <v>15</v>
      </c>
      <c r="C642" t="s">
        <v>483</v>
      </c>
      <c r="D642" t="s">
        <v>484</v>
      </c>
      <c r="E642" s="1">
        <v>45929</v>
      </c>
      <c r="F642">
        <v>2</v>
      </c>
      <c r="G642">
        <v>4280</v>
      </c>
      <c r="H642">
        <v>137380</v>
      </c>
      <c r="I642">
        <v>0</v>
      </c>
      <c r="J642">
        <f t="shared" si="18"/>
        <v>137380</v>
      </c>
      <c r="K642" t="s">
        <v>1640</v>
      </c>
      <c r="L642">
        <v>4280</v>
      </c>
      <c r="M642" s="1">
        <f t="shared" si="19"/>
        <v>45929</v>
      </c>
      <c r="N642" t="s">
        <v>1641</v>
      </c>
      <c r="O642">
        <v>0</v>
      </c>
    </row>
    <row r="643" spans="1:15">
      <c r="A643" s="6" t="s">
        <v>14</v>
      </c>
      <c r="B643" t="s">
        <v>15</v>
      </c>
      <c r="C643" t="s">
        <v>485</v>
      </c>
      <c r="D643" t="s">
        <v>486</v>
      </c>
      <c r="E643" s="1">
        <v>45929</v>
      </c>
      <c r="F643">
        <v>2</v>
      </c>
      <c r="G643">
        <v>3135</v>
      </c>
      <c r="H643">
        <v>93980</v>
      </c>
      <c r="I643">
        <v>0</v>
      </c>
      <c r="J643">
        <f t="shared" ref="J643:J706" si="20">H643-I643</f>
        <v>93980</v>
      </c>
      <c r="K643" t="s">
        <v>1640</v>
      </c>
      <c r="L643">
        <v>3135</v>
      </c>
      <c r="M643" s="1">
        <f t="shared" ref="M643:M706" si="21">E643</f>
        <v>45929</v>
      </c>
      <c r="N643" t="s">
        <v>1641</v>
      </c>
      <c r="O643">
        <v>0</v>
      </c>
    </row>
    <row r="644" spans="1:15">
      <c r="A644" s="6" t="s">
        <v>14</v>
      </c>
      <c r="B644" t="s">
        <v>15</v>
      </c>
      <c r="C644" t="s">
        <v>487</v>
      </c>
      <c r="D644" t="s">
        <v>488</v>
      </c>
      <c r="E644" s="1">
        <v>45929</v>
      </c>
      <c r="F644">
        <v>2</v>
      </c>
      <c r="G644">
        <v>2635.2</v>
      </c>
      <c r="H644">
        <v>77000</v>
      </c>
      <c r="I644">
        <v>0</v>
      </c>
      <c r="J644">
        <f t="shared" si="20"/>
        <v>77000</v>
      </c>
      <c r="K644" t="s">
        <v>1640</v>
      </c>
      <c r="L644">
        <v>2635.2</v>
      </c>
      <c r="M644" s="1">
        <f t="shared" si="21"/>
        <v>45929</v>
      </c>
      <c r="N644" t="s">
        <v>1641</v>
      </c>
      <c r="O644">
        <v>0</v>
      </c>
    </row>
    <row r="645" spans="1:15">
      <c r="A645" s="6" t="s">
        <v>14</v>
      </c>
      <c r="B645" t="s">
        <v>15</v>
      </c>
      <c r="C645" t="s">
        <v>489</v>
      </c>
      <c r="D645" t="s">
        <v>490</v>
      </c>
      <c r="E645" s="1">
        <v>45929</v>
      </c>
      <c r="F645">
        <v>2</v>
      </c>
      <c r="G645">
        <v>1650</v>
      </c>
      <c r="H645">
        <v>28225</v>
      </c>
      <c r="I645">
        <v>0</v>
      </c>
      <c r="J645">
        <f t="shared" si="20"/>
        <v>28225</v>
      </c>
      <c r="K645" t="s">
        <v>1640</v>
      </c>
      <c r="L645">
        <v>1650</v>
      </c>
      <c r="M645" s="1">
        <f t="shared" si="21"/>
        <v>45929</v>
      </c>
      <c r="N645" t="s">
        <v>1641</v>
      </c>
      <c r="O645">
        <v>0</v>
      </c>
    </row>
    <row r="646" spans="1:15">
      <c r="A646" s="6" t="s">
        <v>14</v>
      </c>
      <c r="B646" t="s">
        <v>15</v>
      </c>
      <c r="C646" t="s">
        <v>491</v>
      </c>
      <c r="D646" t="s">
        <v>492</v>
      </c>
      <c r="E646" s="1">
        <v>45929</v>
      </c>
      <c r="F646">
        <v>2</v>
      </c>
      <c r="G646">
        <v>4450</v>
      </c>
      <c r="H646">
        <v>132000</v>
      </c>
      <c r="I646">
        <v>0</v>
      </c>
      <c r="J646">
        <f t="shared" si="20"/>
        <v>132000</v>
      </c>
      <c r="K646" t="s">
        <v>1640</v>
      </c>
      <c r="L646">
        <v>4450</v>
      </c>
      <c r="M646" s="1">
        <f t="shared" si="21"/>
        <v>45929</v>
      </c>
      <c r="N646" t="s">
        <v>1641</v>
      </c>
      <c r="O646">
        <v>0</v>
      </c>
    </row>
    <row r="647" spans="1:15">
      <c r="A647" s="6" t="s">
        <v>14</v>
      </c>
      <c r="B647" t="s">
        <v>15</v>
      </c>
      <c r="C647" t="s">
        <v>493</v>
      </c>
      <c r="D647" t="s">
        <v>494</v>
      </c>
      <c r="E647" s="1">
        <v>45929</v>
      </c>
      <c r="F647">
        <v>2</v>
      </c>
      <c r="G647">
        <v>3538</v>
      </c>
      <c r="H647">
        <v>109196</v>
      </c>
      <c r="I647">
        <v>0</v>
      </c>
      <c r="J647">
        <f t="shared" si="20"/>
        <v>109196</v>
      </c>
      <c r="K647" t="s">
        <v>1640</v>
      </c>
      <c r="L647">
        <v>3538</v>
      </c>
      <c r="M647" s="1">
        <f t="shared" si="21"/>
        <v>45929</v>
      </c>
      <c r="N647" t="s">
        <v>1641</v>
      </c>
      <c r="O647">
        <v>0</v>
      </c>
    </row>
    <row r="648" spans="1:15">
      <c r="A648" s="6" t="s">
        <v>14</v>
      </c>
      <c r="B648" t="s">
        <v>15</v>
      </c>
      <c r="C648" t="s">
        <v>495</v>
      </c>
      <c r="D648" t="s">
        <v>496</v>
      </c>
      <c r="E648" s="1">
        <v>45929</v>
      </c>
      <c r="F648">
        <v>2</v>
      </c>
      <c r="G648">
        <v>1365</v>
      </c>
      <c r="H648">
        <v>24963</v>
      </c>
      <c r="I648">
        <v>0</v>
      </c>
      <c r="J648">
        <f t="shared" si="20"/>
        <v>24963</v>
      </c>
      <c r="K648" t="s">
        <v>1640</v>
      </c>
      <c r="L648">
        <v>1365</v>
      </c>
      <c r="M648" s="1">
        <f t="shared" si="21"/>
        <v>45929</v>
      </c>
      <c r="N648" t="s">
        <v>1641</v>
      </c>
      <c r="O648">
        <v>0</v>
      </c>
    </row>
    <row r="649" spans="1:15">
      <c r="A649" s="6" t="s">
        <v>14</v>
      </c>
      <c r="B649" t="s">
        <v>15</v>
      </c>
      <c r="C649" t="s">
        <v>497</v>
      </c>
      <c r="D649" t="s">
        <v>498</v>
      </c>
      <c r="E649" s="1">
        <v>45929</v>
      </c>
      <c r="F649">
        <v>2</v>
      </c>
      <c r="G649">
        <v>1679</v>
      </c>
      <c r="H649">
        <v>30363</v>
      </c>
      <c r="I649">
        <v>0</v>
      </c>
      <c r="J649">
        <f t="shared" si="20"/>
        <v>30363</v>
      </c>
      <c r="K649" t="s">
        <v>1640</v>
      </c>
      <c r="L649">
        <v>1679</v>
      </c>
      <c r="M649" s="1">
        <f t="shared" si="21"/>
        <v>45929</v>
      </c>
      <c r="N649" t="s">
        <v>1641</v>
      </c>
      <c r="O649">
        <v>0</v>
      </c>
    </row>
    <row r="650" spans="1:15">
      <c r="A650" s="6" t="s">
        <v>14</v>
      </c>
      <c r="B650" t="s">
        <v>15</v>
      </c>
      <c r="C650" t="s">
        <v>499</v>
      </c>
      <c r="D650" t="s">
        <v>500</v>
      </c>
      <c r="E650" s="1">
        <v>45929</v>
      </c>
      <c r="F650">
        <v>2</v>
      </c>
      <c r="G650">
        <v>3108</v>
      </c>
      <c r="H650">
        <v>101346</v>
      </c>
      <c r="I650">
        <v>0</v>
      </c>
      <c r="J650">
        <f t="shared" si="20"/>
        <v>101346</v>
      </c>
      <c r="K650" t="s">
        <v>1640</v>
      </c>
      <c r="L650">
        <v>3108</v>
      </c>
      <c r="M650" s="1">
        <f t="shared" si="21"/>
        <v>45929</v>
      </c>
      <c r="N650" t="s">
        <v>1641</v>
      </c>
      <c r="O650">
        <v>0</v>
      </c>
    </row>
    <row r="651" spans="1:15">
      <c r="A651" s="6" t="s">
        <v>14</v>
      </c>
      <c r="B651" t="s">
        <v>15</v>
      </c>
      <c r="C651" t="s">
        <v>501</v>
      </c>
      <c r="D651" t="s">
        <v>502</v>
      </c>
      <c r="E651" s="1">
        <v>45929</v>
      </c>
      <c r="F651">
        <v>2</v>
      </c>
      <c r="G651">
        <v>3300</v>
      </c>
      <c r="H651">
        <v>99900</v>
      </c>
      <c r="I651">
        <v>0</v>
      </c>
      <c r="J651">
        <f t="shared" si="20"/>
        <v>99900</v>
      </c>
      <c r="K651" t="s">
        <v>1640</v>
      </c>
      <c r="L651">
        <v>3300</v>
      </c>
      <c r="M651" s="1">
        <f t="shared" si="21"/>
        <v>45929</v>
      </c>
      <c r="N651" t="s">
        <v>1641</v>
      </c>
      <c r="O651">
        <v>0</v>
      </c>
    </row>
    <row r="652" spans="1:15">
      <c r="A652" s="6" t="s">
        <v>14</v>
      </c>
      <c r="B652" t="s">
        <v>15</v>
      </c>
      <c r="C652" t="s">
        <v>503</v>
      </c>
      <c r="D652" t="s">
        <v>504</v>
      </c>
      <c r="E652" s="1">
        <v>45929</v>
      </c>
      <c r="F652">
        <v>2</v>
      </c>
      <c r="G652">
        <v>2912.7</v>
      </c>
      <c r="H652">
        <v>82911</v>
      </c>
      <c r="I652">
        <v>0</v>
      </c>
      <c r="J652">
        <f t="shared" si="20"/>
        <v>82911</v>
      </c>
      <c r="K652" t="s">
        <v>1640</v>
      </c>
      <c r="L652">
        <v>2912.7</v>
      </c>
      <c r="M652" s="1">
        <f t="shared" si="21"/>
        <v>45929</v>
      </c>
      <c r="N652" t="s">
        <v>1641</v>
      </c>
      <c r="O652">
        <v>0</v>
      </c>
    </row>
    <row r="653" spans="1:15">
      <c r="A653" s="6" t="s">
        <v>14</v>
      </c>
      <c r="B653" t="s">
        <v>15</v>
      </c>
      <c r="C653" t="s">
        <v>505</v>
      </c>
      <c r="D653" t="s">
        <v>506</v>
      </c>
      <c r="E653" s="1">
        <v>45929</v>
      </c>
      <c r="F653">
        <v>2</v>
      </c>
      <c r="G653">
        <v>494</v>
      </c>
      <c r="H653">
        <v>8910</v>
      </c>
      <c r="I653">
        <v>0</v>
      </c>
      <c r="J653">
        <f t="shared" si="20"/>
        <v>8910</v>
      </c>
      <c r="K653" t="s">
        <v>1640</v>
      </c>
      <c r="L653">
        <v>494</v>
      </c>
      <c r="M653" s="1">
        <f t="shared" si="21"/>
        <v>45929</v>
      </c>
      <c r="N653" t="s">
        <v>1641</v>
      </c>
      <c r="O653">
        <v>0</v>
      </c>
    </row>
    <row r="654" spans="1:15">
      <c r="A654" s="6" t="s">
        <v>14</v>
      </c>
      <c r="B654" t="s">
        <v>15</v>
      </c>
      <c r="C654" t="s">
        <v>507</v>
      </c>
      <c r="D654" t="s">
        <v>508</v>
      </c>
      <c r="E654" s="1">
        <v>45929</v>
      </c>
      <c r="F654">
        <v>2</v>
      </c>
      <c r="G654">
        <v>3480</v>
      </c>
      <c r="H654">
        <v>105075</v>
      </c>
      <c r="I654">
        <v>0</v>
      </c>
      <c r="J654">
        <f t="shared" si="20"/>
        <v>105075</v>
      </c>
      <c r="K654" t="s">
        <v>1640</v>
      </c>
      <c r="L654">
        <v>3480</v>
      </c>
      <c r="M654" s="1">
        <f t="shared" si="21"/>
        <v>45929</v>
      </c>
      <c r="N654" t="s">
        <v>1641</v>
      </c>
      <c r="O654">
        <v>0</v>
      </c>
    </row>
    <row r="655" spans="1:15">
      <c r="A655" s="6" t="s">
        <v>14</v>
      </c>
      <c r="B655" t="s">
        <v>15</v>
      </c>
      <c r="C655" t="s">
        <v>509</v>
      </c>
      <c r="D655" t="s">
        <v>510</v>
      </c>
      <c r="E655" s="1">
        <v>45929</v>
      </c>
      <c r="F655">
        <v>2</v>
      </c>
      <c r="G655">
        <v>3922</v>
      </c>
      <c r="H655">
        <v>119603</v>
      </c>
      <c r="I655">
        <v>0</v>
      </c>
      <c r="J655">
        <f t="shared" si="20"/>
        <v>119603</v>
      </c>
      <c r="K655" t="s">
        <v>1640</v>
      </c>
      <c r="L655">
        <v>3922</v>
      </c>
      <c r="M655" s="1">
        <f t="shared" si="21"/>
        <v>45929</v>
      </c>
      <c r="N655" t="s">
        <v>1641</v>
      </c>
      <c r="O655">
        <v>0</v>
      </c>
    </row>
    <row r="656" spans="1:15">
      <c r="A656" s="6" t="s">
        <v>14</v>
      </c>
      <c r="B656" t="s">
        <v>15</v>
      </c>
      <c r="C656" t="s">
        <v>511</v>
      </c>
      <c r="D656" t="s">
        <v>512</v>
      </c>
      <c r="E656" s="1">
        <v>45929</v>
      </c>
      <c r="F656">
        <v>2</v>
      </c>
      <c r="G656">
        <v>2967</v>
      </c>
      <c r="H656">
        <v>90192</v>
      </c>
      <c r="I656">
        <v>0</v>
      </c>
      <c r="J656">
        <f t="shared" si="20"/>
        <v>90192</v>
      </c>
      <c r="K656" t="s">
        <v>1640</v>
      </c>
      <c r="L656">
        <v>2967</v>
      </c>
      <c r="M656" s="1">
        <f t="shared" si="21"/>
        <v>45929</v>
      </c>
      <c r="N656" t="s">
        <v>1641</v>
      </c>
      <c r="O656">
        <v>0</v>
      </c>
    </row>
    <row r="657" spans="1:15">
      <c r="A657" s="6" t="s">
        <v>14</v>
      </c>
      <c r="B657" t="s">
        <v>15</v>
      </c>
      <c r="C657" t="s">
        <v>513</v>
      </c>
      <c r="D657" t="s">
        <v>514</v>
      </c>
      <c r="E657" s="1">
        <v>45929</v>
      </c>
      <c r="F657">
        <v>2</v>
      </c>
      <c r="G657">
        <v>2565</v>
      </c>
      <c r="H657">
        <v>78200</v>
      </c>
      <c r="I657">
        <v>0</v>
      </c>
      <c r="J657">
        <f t="shared" si="20"/>
        <v>78200</v>
      </c>
      <c r="K657" t="s">
        <v>1640</v>
      </c>
      <c r="L657">
        <v>2565</v>
      </c>
      <c r="M657" s="1">
        <f t="shared" si="21"/>
        <v>45929</v>
      </c>
      <c r="N657" t="s">
        <v>1641</v>
      </c>
      <c r="O657">
        <v>0</v>
      </c>
    </row>
    <row r="658" spans="1:15">
      <c r="A658" s="6" t="s">
        <v>14</v>
      </c>
      <c r="B658" t="s">
        <v>15</v>
      </c>
      <c r="C658" t="s">
        <v>515</v>
      </c>
      <c r="D658" t="s">
        <v>516</v>
      </c>
      <c r="E658" s="1">
        <v>45929</v>
      </c>
      <c r="F658">
        <v>2</v>
      </c>
      <c r="G658">
        <v>2800</v>
      </c>
      <c r="H658">
        <v>50038</v>
      </c>
      <c r="I658">
        <v>0</v>
      </c>
      <c r="J658">
        <f t="shared" si="20"/>
        <v>50038</v>
      </c>
      <c r="K658" t="s">
        <v>1640</v>
      </c>
      <c r="L658">
        <v>2800</v>
      </c>
      <c r="M658" s="1">
        <f t="shared" si="21"/>
        <v>45929</v>
      </c>
      <c r="N658" t="s">
        <v>1641</v>
      </c>
      <c r="O658">
        <v>0</v>
      </c>
    </row>
    <row r="659" spans="1:15">
      <c r="A659" s="6" t="s">
        <v>14</v>
      </c>
      <c r="B659" t="s">
        <v>15</v>
      </c>
      <c r="C659" t="s">
        <v>517</v>
      </c>
      <c r="D659" t="s">
        <v>518</v>
      </c>
      <c r="E659" s="1">
        <v>45929</v>
      </c>
      <c r="F659">
        <v>2</v>
      </c>
      <c r="G659">
        <v>2500</v>
      </c>
      <c r="H659">
        <v>44480</v>
      </c>
      <c r="I659">
        <v>0</v>
      </c>
      <c r="J659">
        <f t="shared" si="20"/>
        <v>44480</v>
      </c>
      <c r="K659" t="s">
        <v>1640</v>
      </c>
      <c r="L659">
        <v>2500</v>
      </c>
      <c r="M659" s="1">
        <f t="shared" si="21"/>
        <v>45929</v>
      </c>
      <c r="N659" t="s">
        <v>1641</v>
      </c>
      <c r="O659">
        <v>0</v>
      </c>
    </row>
    <row r="660" spans="1:15">
      <c r="A660" s="6" t="s">
        <v>14</v>
      </c>
      <c r="B660" t="s">
        <v>15</v>
      </c>
      <c r="C660" t="s">
        <v>519</v>
      </c>
      <c r="D660" t="s">
        <v>520</v>
      </c>
      <c r="E660" s="1">
        <v>45929</v>
      </c>
      <c r="F660">
        <v>2</v>
      </c>
      <c r="G660">
        <v>3696</v>
      </c>
      <c r="H660">
        <v>110000</v>
      </c>
      <c r="I660">
        <v>0</v>
      </c>
      <c r="J660">
        <f t="shared" si="20"/>
        <v>110000</v>
      </c>
      <c r="K660" t="s">
        <v>1640</v>
      </c>
      <c r="L660">
        <v>3696</v>
      </c>
      <c r="M660" s="1">
        <f t="shared" si="21"/>
        <v>45929</v>
      </c>
      <c r="N660" t="s">
        <v>1641</v>
      </c>
      <c r="O660">
        <v>0</v>
      </c>
    </row>
    <row r="661" spans="1:15">
      <c r="A661" s="6" t="s">
        <v>14</v>
      </c>
      <c r="B661" t="s">
        <v>15</v>
      </c>
      <c r="C661" t="s">
        <v>521</v>
      </c>
      <c r="D661" t="s">
        <v>522</v>
      </c>
      <c r="E661" s="1">
        <v>45929</v>
      </c>
      <c r="F661">
        <v>2</v>
      </c>
      <c r="G661">
        <v>1302</v>
      </c>
      <c r="H661">
        <v>23001</v>
      </c>
      <c r="I661">
        <v>0</v>
      </c>
      <c r="J661">
        <f t="shared" si="20"/>
        <v>23001</v>
      </c>
      <c r="K661" t="s">
        <v>1640</v>
      </c>
      <c r="L661">
        <v>1302</v>
      </c>
      <c r="M661" s="1">
        <f t="shared" si="21"/>
        <v>45929</v>
      </c>
      <c r="N661" t="s">
        <v>1641</v>
      </c>
      <c r="O661">
        <v>0</v>
      </c>
    </row>
    <row r="662" spans="1:15">
      <c r="A662" s="6" t="s">
        <v>14</v>
      </c>
      <c r="B662" t="s">
        <v>15</v>
      </c>
      <c r="C662" t="s">
        <v>523</v>
      </c>
      <c r="D662" t="s">
        <v>524</v>
      </c>
      <c r="E662" s="1">
        <v>45929</v>
      </c>
      <c r="F662">
        <v>2</v>
      </c>
      <c r="G662">
        <v>1755</v>
      </c>
      <c r="H662">
        <v>31400</v>
      </c>
      <c r="I662">
        <v>0</v>
      </c>
      <c r="J662">
        <f t="shared" si="20"/>
        <v>31400</v>
      </c>
      <c r="K662" t="s">
        <v>1640</v>
      </c>
      <c r="L662">
        <v>1755</v>
      </c>
      <c r="M662" s="1">
        <f t="shared" si="21"/>
        <v>45929</v>
      </c>
      <c r="N662" t="s">
        <v>1641</v>
      </c>
      <c r="O662">
        <v>0</v>
      </c>
    </row>
    <row r="663" spans="1:15">
      <c r="A663" s="6" t="s">
        <v>14</v>
      </c>
      <c r="B663" t="s">
        <v>15</v>
      </c>
      <c r="C663" t="s">
        <v>525</v>
      </c>
      <c r="D663" t="s">
        <v>526</v>
      </c>
      <c r="E663" s="1">
        <v>45929</v>
      </c>
      <c r="F663">
        <v>2</v>
      </c>
      <c r="G663">
        <v>1540</v>
      </c>
      <c r="H663">
        <v>27578</v>
      </c>
      <c r="I663">
        <v>0</v>
      </c>
      <c r="J663">
        <f t="shared" si="20"/>
        <v>27578</v>
      </c>
      <c r="K663" t="s">
        <v>1640</v>
      </c>
      <c r="L663">
        <v>1540</v>
      </c>
      <c r="M663" s="1">
        <f t="shared" si="21"/>
        <v>45929</v>
      </c>
      <c r="N663" t="s">
        <v>1641</v>
      </c>
      <c r="O663">
        <v>0</v>
      </c>
    </row>
    <row r="664" spans="1:15">
      <c r="A664" s="6" t="s">
        <v>14</v>
      </c>
      <c r="B664" t="s">
        <v>15</v>
      </c>
      <c r="C664" t="s">
        <v>527</v>
      </c>
      <c r="D664" t="s">
        <v>528</v>
      </c>
      <c r="E664" s="1">
        <v>45929</v>
      </c>
      <c r="F664">
        <v>2</v>
      </c>
      <c r="G664">
        <v>4575</v>
      </c>
      <c r="H664">
        <v>135731</v>
      </c>
      <c r="I664">
        <v>0</v>
      </c>
      <c r="J664">
        <f t="shared" si="20"/>
        <v>135731</v>
      </c>
      <c r="K664" t="s">
        <v>1640</v>
      </c>
      <c r="L664">
        <v>4575</v>
      </c>
      <c r="M664" s="1">
        <f t="shared" si="21"/>
        <v>45929</v>
      </c>
      <c r="N664" t="s">
        <v>1641</v>
      </c>
      <c r="O664">
        <v>0</v>
      </c>
    </row>
    <row r="665" spans="1:15">
      <c r="A665" s="6" t="s">
        <v>14</v>
      </c>
      <c r="B665" t="s">
        <v>15</v>
      </c>
      <c r="C665" t="s">
        <v>529</v>
      </c>
      <c r="D665" t="s">
        <v>530</v>
      </c>
      <c r="E665" s="1">
        <v>45929</v>
      </c>
      <c r="F665">
        <v>2</v>
      </c>
      <c r="G665">
        <v>2970</v>
      </c>
      <c r="H665">
        <v>84000</v>
      </c>
      <c r="I665">
        <v>0</v>
      </c>
      <c r="J665">
        <f t="shared" si="20"/>
        <v>84000</v>
      </c>
      <c r="K665" t="s">
        <v>1640</v>
      </c>
      <c r="L665">
        <v>2970</v>
      </c>
      <c r="M665" s="1">
        <f t="shared" si="21"/>
        <v>45929</v>
      </c>
      <c r="N665" t="s">
        <v>1641</v>
      </c>
      <c r="O665">
        <v>0</v>
      </c>
    </row>
    <row r="666" spans="1:15">
      <c r="A666" s="6" t="s">
        <v>14</v>
      </c>
      <c r="B666" t="s">
        <v>15</v>
      </c>
      <c r="C666" t="s">
        <v>531</v>
      </c>
      <c r="D666" t="s">
        <v>532</v>
      </c>
      <c r="E666" s="1">
        <v>45929</v>
      </c>
      <c r="F666">
        <v>2</v>
      </c>
      <c r="G666">
        <v>3912</v>
      </c>
      <c r="H666">
        <v>114896</v>
      </c>
      <c r="I666">
        <v>0</v>
      </c>
      <c r="J666">
        <f t="shared" si="20"/>
        <v>114896</v>
      </c>
      <c r="K666" t="s">
        <v>1640</v>
      </c>
      <c r="L666">
        <v>3912</v>
      </c>
      <c r="M666" s="1">
        <f t="shared" si="21"/>
        <v>45929</v>
      </c>
      <c r="N666" t="s">
        <v>1641</v>
      </c>
      <c r="O666">
        <v>0</v>
      </c>
    </row>
    <row r="667" spans="1:15">
      <c r="A667" s="6" t="s">
        <v>14</v>
      </c>
      <c r="B667" t="s">
        <v>15</v>
      </c>
      <c r="C667" t="s">
        <v>533</v>
      </c>
      <c r="D667" t="s">
        <v>534</v>
      </c>
      <c r="E667" s="1">
        <v>45929</v>
      </c>
      <c r="F667">
        <v>2</v>
      </c>
      <c r="G667">
        <v>1250</v>
      </c>
      <c r="H667">
        <v>22478</v>
      </c>
      <c r="I667">
        <v>0</v>
      </c>
      <c r="J667">
        <f t="shared" si="20"/>
        <v>22478</v>
      </c>
      <c r="K667" t="s">
        <v>1640</v>
      </c>
      <c r="L667">
        <v>1250</v>
      </c>
      <c r="M667" s="1">
        <f t="shared" si="21"/>
        <v>45929</v>
      </c>
      <c r="N667" t="s">
        <v>1641</v>
      </c>
      <c r="O667">
        <v>0</v>
      </c>
    </row>
    <row r="668" spans="1:15">
      <c r="A668" s="6" t="s">
        <v>14</v>
      </c>
      <c r="B668" t="s">
        <v>15</v>
      </c>
      <c r="C668" t="s">
        <v>535</v>
      </c>
      <c r="D668" t="s">
        <v>536</v>
      </c>
      <c r="E668" s="1">
        <v>45929</v>
      </c>
      <c r="F668">
        <v>2</v>
      </c>
      <c r="G668">
        <v>3256</v>
      </c>
      <c r="H668">
        <v>98799</v>
      </c>
      <c r="I668">
        <v>0</v>
      </c>
      <c r="J668">
        <f t="shared" si="20"/>
        <v>98799</v>
      </c>
      <c r="K668" t="s">
        <v>1640</v>
      </c>
      <c r="L668">
        <v>3256</v>
      </c>
      <c r="M668" s="1">
        <f t="shared" si="21"/>
        <v>45929</v>
      </c>
      <c r="N668" t="s">
        <v>1641</v>
      </c>
      <c r="O668">
        <v>0</v>
      </c>
    </row>
    <row r="669" spans="1:15">
      <c r="A669" s="6" t="s">
        <v>14</v>
      </c>
      <c r="B669" t="s">
        <v>15</v>
      </c>
      <c r="C669" t="s">
        <v>539</v>
      </c>
      <c r="D669" t="s">
        <v>540</v>
      </c>
      <c r="E669" s="1">
        <v>45929</v>
      </c>
      <c r="F669">
        <v>2</v>
      </c>
      <c r="G669">
        <v>2745</v>
      </c>
      <c r="H669">
        <v>82476</v>
      </c>
      <c r="I669">
        <v>0</v>
      </c>
      <c r="J669">
        <f t="shared" si="20"/>
        <v>82476</v>
      </c>
      <c r="K669" t="s">
        <v>1640</v>
      </c>
      <c r="L669">
        <v>2745</v>
      </c>
      <c r="M669" s="1">
        <f t="shared" si="21"/>
        <v>45929</v>
      </c>
      <c r="N669" t="s">
        <v>1641</v>
      </c>
      <c r="O669">
        <v>0</v>
      </c>
    </row>
    <row r="670" spans="1:15">
      <c r="A670" s="6" t="s">
        <v>14</v>
      </c>
      <c r="B670" t="s">
        <v>15</v>
      </c>
      <c r="C670" t="s">
        <v>541</v>
      </c>
      <c r="D670" t="s">
        <v>542</v>
      </c>
      <c r="E670" s="1">
        <v>45929</v>
      </c>
      <c r="F670">
        <v>2</v>
      </c>
      <c r="G670">
        <v>4290</v>
      </c>
      <c r="H670">
        <v>130000</v>
      </c>
      <c r="I670">
        <v>0</v>
      </c>
      <c r="J670">
        <f t="shared" si="20"/>
        <v>130000</v>
      </c>
      <c r="K670" t="s">
        <v>1640</v>
      </c>
      <c r="L670">
        <v>4290</v>
      </c>
      <c r="M670" s="1">
        <f t="shared" si="21"/>
        <v>45929</v>
      </c>
      <c r="N670" t="s">
        <v>1641</v>
      </c>
      <c r="O670">
        <v>0</v>
      </c>
    </row>
    <row r="671" spans="1:15">
      <c r="A671" s="6" t="s">
        <v>14</v>
      </c>
      <c r="B671" t="s">
        <v>15</v>
      </c>
      <c r="C671" t="s">
        <v>543</v>
      </c>
      <c r="D671" t="s">
        <v>1647</v>
      </c>
      <c r="E671" s="1">
        <v>45929</v>
      </c>
      <c r="F671">
        <v>2</v>
      </c>
      <c r="G671">
        <v>1428</v>
      </c>
      <c r="H671">
        <v>26555</v>
      </c>
      <c r="I671">
        <v>0</v>
      </c>
      <c r="J671">
        <f t="shared" si="20"/>
        <v>26555</v>
      </c>
      <c r="K671" t="s">
        <v>1640</v>
      </c>
      <c r="L671">
        <v>1428</v>
      </c>
      <c r="M671" s="1">
        <f t="shared" si="21"/>
        <v>45929</v>
      </c>
      <c r="N671" t="s">
        <v>1641</v>
      </c>
      <c r="O671">
        <v>0</v>
      </c>
    </row>
    <row r="672" spans="1:15">
      <c r="A672" s="6" t="s">
        <v>14</v>
      </c>
      <c r="B672" t="s">
        <v>15</v>
      </c>
      <c r="C672" t="s">
        <v>544</v>
      </c>
      <c r="D672" t="s">
        <v>545</v>
      </c>
      <c r="E672" s="1">
        <v>45929</v>
      </c>
      <c r="F672">
        <v>2</v>
      </c>
      <c r="G672">
        <v>3339</v>
      </c>
      <c r="H672">
        <v>101368</v>
      </c>
      <c r="I672">
        <v>0</v>
      </c>
      <c r="J672">
        <f t="shared" si="20"/>
        <v>101368</v>
      </c>
      <c r="K672" t="s">
        <v>1640</v>
      </c>
      <c r="L672">
        <v>3339</v>
      </c>
      <c r="M672" s="1">
        <f t="shared" si="21"/>
        <v>45929</v>
      </c>
      <c r="N672" t="s">
        <v>1641</v>
      </c>
      <c r="O672">
        <v>0</v>
      </c>
    </row>
    <row r="673" spans="1:15">
      <c r="A673" s="6" t="s">
        <v>14</v>
      </c>
      <c r="B673" t="s">
        <v>15</v>
      </c>
      <c r="C673" t="s">
        <v>546</v>
      </c>
      <c r="D673" t="s">
        <v>547</v>
      </c>
      <c r="E673" s="1">
        <v>45929</v>
      </c>
      <c r="F673">
        <v>2</v>
      </c>
      <c r="G673">
        <v>1620</v>
      </c>
      <c r="H673">
        <v>27862</v>
      </c>
      <c r="I673">
        <v>0</v>
      </c>
      <c r="J673">
        <f t="shared" si="20"/>
        <v>27862</v>
      </c>
      <c r="K673" t="s">
        <v>1640</v>
      </c>
      <c r="L673">
        <v>1620</v>
      </c>
      <c r="M673" s="1">
        <f t="shared" si="21"/>
        <v>45929</v>
      </c>
      <c r="N673" t="s">
        <v>1641</v>
      </c>
      <c r="O673">
        <v>0</v>
      </c>
    </row>
    <row r="674" spans="1:15">
      <c r="A674" s="6" t="s">
        <v>14</v>
      </c>
      <c r="B674" t="s">
        <v>15</v>
      </c>
      <c r="C674" t="s">
        <v>548</v>
      </c>
      <c r="D674" t="s">
        <v>549</v>
      </c>
      <c r="E674" s="1">
        <v>45929</v>
      </c>
      <c r="F674">
        <v>2</v>
      </c>
      <c r="G674">
        <v>2632</v>
      </c>
      <c r="H674">
        <v>78025</v>
      </c>
      <c r="I674">
        <v>0</v>
      </c>
      <c r="J674">
        <f t="shared" si="20"/>
        <v>78025</v>
      </c>
      <c r="K674" t="s">
        <v>1640</v>
      </c>
      <c r="L674">
        <v>2632</v>
      </c>
      <c r="M674" s="1">
        <f t="shared" si="21"/>
        <v>45929</v>
      </c>
      <c r="N674" t="s">
        <v>1641</v>
      </c>
      <c r="O674">
        <v>0</v>
      </c>
    </row>
    <row r="675" spans="1:15">
      <c r="A675" s="6" t="s">
        <v>14</v>
      </c>
      <c r="B675" t="s">
        <v>15</v>
      </c>
      <c r="C675" t="s">
        <v>550</v>
      </c>
      <c r="D675" t="s">
        <v>551</v>
      </c>
      <c r="E675" s="1">
        <v>45929</v>
      </c>
      <c r="F675">
        <v>2</v>
      </c>
      <c r="G675">
        <v>1178</v>
      </c>
      <c r="H675">
        <v>20715</v>
      </c>
      <c r="I675">
        <v>0</v>
      </c>
      <c r="J675">
        <f t="shared" si="20"/>
        <v>20715</v>
      </c>
      <c r="K675" t="s">
        <v>1640</v>
      </c>
      <c r="L675">
        <v>1178</v>
      </c>
      <c r="M675" s="1">
        <f t="shared" si="21"/>
        <v>45929</v>
      </c>
      <c r="N675" t="s">
        <v>1641</v>
      </c>
      <c r="O675">
        <v>0</v>
      </c>
    </row>
    <row r="676" spans="1:15">
      <c r="A676" s="6" t="s">
        <v>14</v>
      </c>
      <c r="B676" t="s">
        <v>15</v>
      </c>
      <c r="C676" t="s">
        <v>552</v>
      </c>
      <c r="D676" t="s">
        <v>553</v>
      </c>
      <c r="E676" s="1">
        <v>45929</v>
      </c>
      <c r="F676">
        <v>2</v>
      </c>
      <c r="G676">
        <v>1470</v>
      </c>
      <c r="H676">
        <v>25490</v>
      </c>
      <c r="I676">
        <v>0</v>
      </c>
      <c r="J676">
        <f t="shared" si="20"/>
        <v>25490</v>
      </c>
      <c r="K676" t="s">
        <v>1640</v>
      </c>
      <c r="L676">
        <v>1470</v>
      </c>
      <c r="M676" s="1">
        <f t="shared" si="21"/>
        <v>45929</v>
      </c>
      <c r="N676" t="s">
        <v>1641</v>
      </c>
      <c r="O676">
        <v>0</v>
      </c>
    </row>
    <row r="677" spans="1:15">
      <c r="A677" s="6" t="s">
        <v>14</v>
      </c>
      <c r="B677" t="s">
        <v>15</v>
      </c>
      <c r="C677" t="s">
        <v>554</v>
      </c>
      <c r="D677" t="s">
        <v>555</v>
      </c>
      <c r="E677" s="1">
        <v>45929</v>
      </c>
      <c r="F677">
        <v>2</v>
      </c>
      <c r="G677">
        <v>5358</v>
      </c>
      <c r="H677">
        <v>163831</v>
      </c>
      <c r="I677">
        <v>0</v>
      </c>
      <c r="J677">
        <f t="shared" si="20"/>
        <v>163831</v>
      </c>
      <c r="K677" t="s">
        <v>1640</v>
      </c>
      <c r="L677">
        <v>5358</v>
      </c>
      <c r="M677" s="1">
        <f t="shared" si="21"/>
        <v>45929</v>
      </c>
      <c r="N677" t="s">
        <v>1641</v>
      </c>
      <c r="O677">
        <v>0</v>
      </c>
    </row>
    <row r="678" spans="1:15">
      <c r="A678" s="6" t="s">
        <v>14</v>
      </c>
      <c r="B678" t="s">
        <v>15</v>
      </c>
      <c r="C678" t="s">
        <v>556</v>
      </c>
      <c r="D678" t="s">
        <v>557</v>
      </c>
      <c r="E678" s="1">
        <v>45929</v>
      </c>
      <c r="F678">
        <v>2</v>
      </c>
      <c r="G678">
        <v>3050</v>
      </c>
      <c r="H678">
        <v>91016</v>
      </c>
      <c r="I678">
        <v>0</v>
      </c>
      <c r="J678">
        <f t="shared" si="20"/>
        <v>91016</v>
      </c>
      <c r="K678" t="s">
        <v>1640</v>
      </c>
      <c r="L678">
        <v>3050</v>
      </c>
      <c r="M678" s="1">
        <f t="shared" si="21"/>
        <v>45929</v>
      </c>
      <c r="N678" t="s">
        <v>1641</v>
      </c>
      <c r="O678">
        <v>0</v>
      </c>
    </row>
    <row r="679" spans="1:15">
      <c r="A679" s="6" t="s">
        <v>14</v>
      </c>
      <c r="B679" t="s">
        <v>15</v>
      </c>
      <c r="C679" t="s">
        <v>558</v>
      </c>
      <c r="D679" t="s">
        <v>559</v>
      </c>
      <c r="E679" s="1">
        <v>45929</v>
      </c>
      <c r="F679">
        <v>2</v>
      </c>
      <c r="G679">
        <v>1440</v>
      </c>
      <c r="H679">
        <v>25912</v>
      </c>
      <c r="I679">
        <v>0</v>
      </c>
      <c r="J679">
        <f t="shared" si="20"/>
        <v>25912</v>
      </c>
      <c r="K679" t="s">
        <v>1640</v>
      </c>
      <c r="L679">
        <v>1440</v>
      </c>
      <c r="M679" s="1">
        <f t="shared" si="21"/>
        <v>45929</v>
      </c>
      <c r="N679" t="s">
        <v>1641</v>
      </c>
      <c r="O679">
        <v>0</v>
      </c>
    </row>
    <row r="680" spans="1:15">
      <c r="A680" s="6" t="s">
        <v>14</v>
      </c>
      <c r="B680" t="s">
        <v>15</v>
      </c>
      <c r="C680" t="s">
        <v>560</v>
      </c>
      <c r="D680" t="s">
        <v>561</v>
      </c>
      <c r="E680" s="1">
        <v>45929</v>
      </c>
      <c r="F680">
        <v>2</v>
      </c>
      <c r="G680">
        <v>2900</v>
      </c>
      <c r="H680">
        <v>87000</v>
      </c>
      <c r="I680">
        <v>0</v>
      </c>
      <c r="J680">
        <f t="shared" si="20"/>
        <v>87000</v>
      </c>
      <c r="K680" t="s">
        <v>1640</v>
      </c>
      <c r="L680">
        <v>2900</v>
      </c>
      <c r="M680" s="1">
        <f t="shared" si="21"/>
        <v>45929</v>
      </c>
      <c r="N680" t="s">
        <v>1641</v>
      </c>
      <c r="O680">
        <v>0</v>
      </c>
    </row>
    <row r="681" spans="1:15">
      <c r="A681" s="6" t="s">
        <v>14</v>
      </c>
      <c r="B681" t="s">
        <v>15</v>
      </c>
      <c r="C681" t="s">
        <v>562</v>
      </c>
      <c r="D681" t="s">
        <v>563</v>
      </c>
      <c r="E681" s="1">
        <v>45929</v>
      </c>
      <c r="F681">
        <v>2</v>
      </c>
      <c r="G681">
        <v>3969</v>
      </c>
      <c r="H681">
        <v>119770</v>
      </c>
      <c r="I681">
        <v>0</v>
      </c>
      <c r="J681">
        <f t="shared" si="20"/>
        <v>119770</v>
      </c>
      <c r="K681" t="s">
        <v>1640</v>
      </c>
      <c r="L681">
        <v>3969</v>
      </c>
      <c r="M681" s="1">
        <f t="shared" si="21"/>
        <v>45929</v>
      </c>
      <c r="N681" t="s">
        <v>1641</v>
      </c>
      <c r="O681">
        <v>0</v>
      </c>
    </row>
    <row r="682" spans="1:15">
      <c r="A682" s="6" t="s">
        <v>14</v>
      </c>
      <c r="B682" t="s">
        <v>15</v>
      </c>
      <c r="C682" t="s">
        <v>564</v>
      </c>
      <c r="D682" t="s">
        <v>565</v>
      </c>
      <c r="E682" s="1">
        <v>45929</v>
      </c>
      <c r="F682">
        <v>2</v>
      </c>
      <c r="G682">
        <v>1560</v>
      </c>
      <c r="H682">
        <v>27722</v>
      </c>
      <c r="I682">
        <v>0</v>
      </c>
      <c r="J682">
        <f t="shared" si="20"/>
        <v>27722</v>
      </c>
      <c r="K682" t="s">
        <v>1640</v>
      </c>
      <c r="L682">
        <v>1560</v>
      </c>
      <c r="M682" s="1">
        <f t="shared" si="21"/>
        <v>45929</v>
      </c>
      <c r="N682" t="s">
        <v>1641</v>
      </c>
      <c r="O682">
        <v>0</v>
      </c>
    </row>
    <row r="683" spans="1:15">
      <c r="A683" s="6" t="s">
        <v>14</v>
      </c>
      <c r="B683" t="s">
        <v>15</v>
      </c>
      <c r="C683" t="s">
        <v>568</v>
      </c>
      <c r="D683" t="s">
        <v>1648</v>
      </c>
      <c r="E683" s="1">
        <v>45929</v>
      </c>
      <c r="F683">
        <v>2</v>
      </c>
      <c r="G683">
        <v>3108</v>
      </c>
      <c r="H683">
        <v>94700</v>
      </c>
      <c r="I683">
        <v>0</v>
      </c>
      <c r="J683">
        <f t="shared" si="20"/>
        <v>94700</v>
      </c>
      <c r="K683" t="s">
        <v>1640</v>
      </c>
      <c r="L683">
        <v>3108</v>
      </c>
      <c r="M683" s="1">
        <f t="shared" si="21"/>
        <v>45929</v>
      </c>
      <c r="N683" t="s">
        <v>1641</v>
      </c>
      <c r="O683">
        <v>0</v>
      </c>
    </row>
    <row r="684" spans="1:15">
      <c r="A684" s="6" t="s">
        <v>14</v>
      </c>
      <c r="B684" t="s">
        <v>15</v>
      </c>
      <c r="C684" t="s">
        <v>569</v>
      </c>
      <c r="D684" t="s">
        <v>570</v>
      </c>
      <c r="E684" s="1">
        <v>45929</v>
      </c>
      <c r="F684">
        <v>2</v>
      </c>
      <c r="G684">
        <v>3285</v>
      </c>
      <c r="H684">
        <v>100000</v>
      </c>
      <c r="I684">
        <v>0</v>
      </c>
      <c r="J684">
        <f t="shared" si="20"/>
        <v>100000</v>
      </c>
      <c r="K684" t="s">
        <v>1640</v>
      </c>
      <c r="L684">
        <v>3285</v>
      </c>
      <c r="M684" s="1">
        <f t="shared" si="21"/>
        <v>45929</v>
      </c>
      <c r="N684" t="s">
        <v>1641</v>
      </c>
      <c r="O684">
        <v>0</v>
      </c>
    </row>
    <row r="685" spans="1:15">
      <c r="A685" s="6" t="s">
        <v>14</v>
      </c>
      <c r="B685" t="s">
        <v>15</v>
      </c>
      <c r="C685" t="s">
        <v>571</v>
      </c>
      <c r="D685" t="s">
        <v>572</v>
      </c>
      <c r="E685" s="1">
        <v>45929</v>
      </c>
      <c r="F685">
        <v>2</v>
      </c>
      <c r="G685">
        <v>2271.5</v>
      </c>
      <c r="H685">
        <v>68100</v>
      </c>
      <c r="I685">
        <v>0</v>
      </c>
      <c r="J685">
        <f t="shared" si="20"/>
        <v>68100</v>
      </c>
      <c r="K685" t="s">
        <v>1640</v>
      </c>
      <c r="L685">
        <v>2271.5</v>
      </c>
      <c r="M685" s="1">
        <f t="shared" si="21"/>
        <v>45929</v>
      </c>
      <c r="N685" t="s">
        <v>1641</v>
      </c>
      <c r="O685">
        <v>0</v>
      </c>
    </row>
    <row r="686" spans="1:15">
      <c r="A686" s="6" t="s">
        <v>14</v>
      </c>
      <c r="B686" t="s">
        <v>15</v>
      </c>
      <c r="C686" t="s">
        <v>573</v>
      </c>
      <c r="D686" t="s">
        <v>574</v>
      </c>
      <c r="E686" s="1">
        <v>45929</v>
      </c>
      <c r="F686">
        <v>2</v>
      </c>
      <c r="G686">
        <v>1380</v>
      </c>
      <c r="H686">
        <v>25912</v>
      </c>
      <c r="I686">
        <v>0</v>
      </c>
      <c r="J686">
        <f t="shared" si="20"/>
        <v>25912</v>
      </c>
      <c r="K686" t="s">
        <v>1640</v>
      </c>
      <c r="L686">
        <v>1380</v>
      </c>
      <c r="M686" s="1">
        <f t="shared" si="21"/>
        <v>45929</v>
      </c>
      <c r="N686" t="s">
        <v>1641</v>
      </c>
      <c r="O686">
        <v>0</v>
      </c>
    </row>
    <row r="687" spans="1:15">
      <c r="A687" s="6" t="s">
        <v>14</v>
      </c>
      <c r="B687" t="s">
        <v>15</v>
      </c>
      <c r="C687" t="s">
        <v>575</v>
      </c>
      <c r="D687" t="s">
        <v>576</v>
      </c>
      <c r="E687" s="1">
        <v>45929</v>
      </c>
      <c r="F687">
        <v>2</v>
      </c>
      <c r="G687">
        <v>2475</v>
      </c>
      <c r="H687">
        <v>78888</v>
      </c>
      <c r="I687">
        <v>0</v>
      </c>
      <c r="J687">
        <f t="shared" si="20"/>
        <v>78888</v>
      </c>
      <c r="K687" t="s">
        <v>1640</v>
      </c>
      <c r="L687">
        <v>2475</v>
      </c>
      <c r="M687" s="1">
        <f t="shared" si="21"/>
        <v>45929</v>
      </c>
      <c r="N687" t="s">
        <v>1641</v>
      </c>
      <c r="O687">
        <v>0</v>
      </c>
    </row>
    <row r="688" spans="1:15">
      <c r="A688" s="6" t="s">
        <v>14</v>
      </c>
      <c r="B688" t="s">
        <v>15</v>
      </c>
      <c r="C688" t="s">
        <v>577</v>
      </c>
      <c r="D688" t="s">
        <v>578</v>
      </c>
      <c r="E688" s="1">
        <v>45929</v>
      </c>
      <c r="F688">
        <v>2</v>
      </c>
      <c r="G688">
        <v>6132</v>
      </c>
      <c r="H688">
        <v>179000</v>
      </c>
      <c r="I688">
        <v>0</v>
      </c>
      <c r="J688">
        <f t="shared" si="20"/>
        <v>179000</v>
      </c>
      <c r="K688" t="s">
        <v>1640</v>
      </c>
      <c r="L688">
        <v>6132</v>
      </c>
      <c r="M688" s="1">
        <f t="shared" si="21"/>
        <v>45929</v>
      </c>
      <c r="N688" t="s">
        <v>1641</v>
      </c>
      <c r="O688">
        <v>0</v>
      </c>
    </row>
    <row r="689" spans="1:15">
      <c r="A689" s="6" t="s">
        <v>14</v>
      </c>
      <c r="B689" t="s">
        <v>15</v>
      </c>
      <c r="C689" t="s">
        <v>579</v>
      </c>
      <c r="D689" t="s">
        <v>1649</v>
      </c>
      <c r="E689" s="1">
        <v>45929</v>
      </c>
      <c r="F689">
        <v>2</v>
      </c>
      <c r="G689">
        <v>3240</v>
      </c>
      <c r="H689">
        <v>96000</v>
      </c>
      <c r="I689">
        <v>0</v>
      </c>
      <c r="J689">
        <f t="shared" si="20"/>
        <v>96000</v>
      </c>
      <c r="K689" t="s">
        <v>1640</v>
      </c>
      <c r="L689">
        <v>3240</v>
      </c>
      <c r="M689" s="1">
        <f t="shared" si="21"/>
        <v>45929</v>
      </c>
      <c r="N689" t="s">
        <v>1641</v>
      </c>
      <c r="O689">
        <v>0</v>
      </c>
    </row>
    <row r="690" spans="1:15">
      <c r="A690" s="6" t="s">
        <v>14</v>
      </c>
      <c r="B690" t="s">
        <v>15</v>
      </c>
      <c r="C690" t="s">
        <v>580</v>
      </c>
      <c r="D690" t="s">
        <v>581</v>
      </c>
      <c r="E690" s="1">
        <v>45929</v>
      </c>
      <c r="F690">
        <v>2</v>
      </c>
      <c r="G690">
        <v>1254</v>
      </c>
      <c r="H690">
        <v>37493</v>
      </c>
      <c r="I690">
        <v>0</v>
      </c>
      <c r="J690">
        <f t="shared" si="20"/>
        <v>37493</v>
      </c>
      <c r="K690" t="s">
        <v>1640</v>
      </c>
      <c r="L690">
        <v>1254</v>
      </c>
      <c r="M690" s="1">
        <f t="shared" si="21"/>
        <v>45929</v>
      </c>
      <c r="N690" t="s">
        <v>1641</v>
      </c>
      <c r="O690">
        <v>0</v>
      </c>
    </row>
    <row r="691" spans="1:15">
      <c r="A691" s="6" t="s">
        <v>14</v>
      </c>
      <c r="B691" t="s">
        <v>15</v>
      </c>
      <c r="C691" t="s">
        <v>582</v>
      </c>
      <c r="D691" t="s">
        <v>583</v>
      </c>
      <c r="E691" s="1">
        <v>45929</v>
      </c>
      <c r="F691">
        <v>2</v>
      </c>
      <c r="G691">
        <v>2236</v>
      </c>
      <c r="H691">
        <v>67000</v>
      </c>
      <c r="I691">
        <v>0</v>
      </c>
      <c r="J691">
        <f t="shared" si="20"/>
        <v>67000</v>
      </c>
      <c r="K691" t="s">
        <v>1640</v>
      </c>
      <c r="L691">
        <v>2236</v>
      </c>
      <c r="M691" s="1">
        <f t="shared" si="21"/>
        <v>45929</v>
      </c>
      <c r="N691" t="s">
        <v>1641</v>
      </c>
      <c r="O691">
        <v>0</v>
      </c>
    </row>
    <row r="692" spans="1:15">
      <c r="A692" s="6" t="s">
        <v>14</v>
      </c>
      <c r="B692" t="s">
        <v>15</v>
      </c>
      <c r="C692" t="s">
        <v>584</v>
      </c>
      <c r="D692" t="s">
        <v>585</v>
      </c>
      <c r="E692" s="1">
        <v>45929</v>
      </c>
      <c r="F692">
        <v>2</v>
      </c>
      <c r="G692">
        <v>3024</v>
      </c>
      <c r="H692">
        <v>86995</v>
      </c>
      <c r="I692">
        <v>0</v>
      </c>
      <c r="J692">
        <f t="shared" si="20"/>
        <v>86995</v>
      </c>
      <c r="K692" t="s">
        <v>1640</v>
      </c>
      <c r="L692">
        <v>3024</v>
      </c>
      <c r="M692" s="1">
        <f t="shared" si="21"/>
        <v>45929</v>
      </c>
      <c r="N692" t="s">
        <v>1641</v>
      </c>
      <c r="O692">
        <v>0</v>
      </c>
    </row>
    <row r="693" spans="1:15">
      <c r="A693" s="6" t="s">
        <v>14</v>
      </c>
      <c r="B693" t="s">
        <v>15</v>
      </c>
      <c r="C693" t="s">
        <v>586</v>
      </c>
      <c r="D693" t="s">
        <v>587</v>
      </c>
      <c r="E693" s="1">
        <v>45929</v>
      </c>
      <c r="F693">
        <v>2</v>
      </c>
      <c r="G693">
        <v>5280</v>
      </c>
      <c r="H693">
        <v>160380</v>
      </c>
      <c r="I693">
        <v>0</v>
      </c>
      <c r="J693">
        <f t="shared" si="20"/>
        <v>160380</v>
      </c>
      <c r="K693" t="s">
        <v>1640</v>
      </c>
      <c r="L693">
        <v>5280</v>
      </c>
      <c r="M693" s="1">
        <f t="shared" si="21"/>
        <v>45929</v>
      </c>
      <c r="N693" t="s">
        <v>1641</v>
      </c>
      <c r="O693">
        <v>0</v>
      </c>
    </row>
    <row r="694" spans="1:15">
      <c r="A694" s="6" t="s">
        <v>14</v>
      </c>
      <c r="B694" t="s">
        <v>15</v>
      </c>
      <c r="C694" t="s">
        <v>590</v>
      </c>
      <c r="D694" t="s">
        <v>591</v>
      </c>
      <c r="E694" s="1">
        <v>45929</v>
      </c>
      <c r="F694">
        <v>2</v>
      </c>
      <c r="G694">
        <v>1491</v>
      </c>
      <c r="H694">
        <v>27758</v>
      </c>
      <c r="I694">
        <v>0</v>
      </c>
      <c r="J694">
        <f t="shared" si="20"/>
        <v>27758</v>
      </c>
      <c r="K694" t="s">
        <v>1640</v>
      </c>
      <c r="L694">
        <v>1491</v>
      </c>
      <c r="M694" s="1">
        <f t="shared" si="21"/>
        <v>45929</v>
      </c>
      <c r="N694" t="s">
        <v>1641</v>
      </c>
      <c r="O694">
        <v>0</v>
      </c>
    </row>
    <row r="695" spans="1:15">
      <c r="A695" s="6" t="s">
        <v>14</v>
      </c>
      <c r="B695" t="s">
        <v>15</v>
      </c>
      <c r="C695" t="s">
        <v>592</v>
      </c>
      <c r="D695" t="s">
        <v>593</v>
      </c>
      <c r="E695" s="1">
        <v>45929</v>
      </c>
      <c r="F695">
        <v>2</v>
      </c>
      <c r="G695">
        <v>4466</v>
      </c>
      <c r="H695">
        <v>135000</v>
      </c>
      <c r="I695">
        <v>0</v>
      </c>
      <c r="J695">
        <f t="shared" si="20"/>
        <v>135000</v>
      </c>
      <c r="K695" t="s">
        <v>1640</v>
      </c>
      <c r="L695">
        <v>4466</v>
      </c>
      <c r="M695" s="1">
        <f t="shared" si="21"/>
        <v>45929</v>
      </c>
      <c r="N695" t="s">
        <v>1641</v>
      </c>
      <c r="O695">
        <v>0</v>
      </c>
    </row>
    <row r="696" spans="1:15">
      <c r="A696" s="6" t="s">
        <v>14</v>
      </c>
      <c r="B696" t="s">
        <v>15</v>
      </c>
      <c r="C696" t="s">
        <v>594</v>
      </c>
      <c r="D696" t="s">
        <v>595</v>
      </c>
      <c r="E696" s="1">
        <v>45929</v>
      </c>
      <c r="F696">
        <v>2</v>
      </c>
      <c r="G696">
        <v>2772</v>
      </c>
      <c r="H696">
        <v>84510</v>
      </c>
      <c r="I696">
        <v>0</v>
      </c>
      <c r="J696">
        <f t="shared" si="20"/>
        <v>84510</v>
      </c>
      <c r="K696" t="s">
        <v>1640</v>
      </c>
      <c r="L696">
        <v>2772</v>
      </c>
      <c r="M696" s="1">
        <f t="shared" si="21"/>
        <v>45929</v>
      </c>
      <c r="N696" t="s">
        <v>1641</v>
      </c>
      <c r="O696">
        <v>0</v>
      </c>
    </row>
    <row r="697" spans="1:15">
      <c r="A697" s="6" t="s">
        <v>14</v>
      </c>
      <c r="B697" t="s">
        <v>15</v>
      </c>
      <c r="C697" t="s">
        <v>596</v>
      </c>
      <c r="D697" t="s">
        <v>597</v>
      </c>
      <c r="E697" s="1">
        <v>45929</v>
      </c>
      <c r="F697">
        <v>2</v>
      </c>
      <c r="G697">
        <v>3567</v>
      </c>
      <c r="H697">
        <v>107595</v>
      </c>
      <c r="I697">
        <v>0</v>
      </c>
      <c r="J697">
        <f t="shared" si="20"/>
        <v>107595</v>
      </c>
      <c r="K697" t="s">
        <v>1640</v>
      </c>
      <c r="L697">
        <v>3567</v>
      </c>
      <c r="M697" s="1">
        <f t="shared" si="21"/>
        <v>45929</v>
      </c>
      <c r="N697" t="s">
        <v>1641</v>
      </c>
      <c r="O697">
        <v>0</v>
      </c>
    </row>
    <row r="698" spans="1:15">
      <c r="A698" s="6" t="s">
        <v>14</v>
      </c>
      <c r="B698" t="s">
        <v>15</v>
      </c>
      <c r="C698" t="s">
        <v>598</v>
      </c>
      <c r="D698" t="s">
        <v>599</v>
      </c>
      <c r="E698" s="1">
        <v>45929</v>
      </c>
      <c r="F698">
        <v>2</v>
      </c>
      <c r="G698">
        <v>4650</v>
      </c>
      <c r="H698">
        <v>138500</v>
      </c>
      <c r="I698">
        <v>0</v>
      </c>
      <c r="J698">
        <f t="shared" si="20"/>
        <v>138500</v>
      </c>
      <c r="K698" t="s">
        <v>1640</v>
      </c>
      <c r="L698">
        <v>4650</v>
      </c>
      <c r="M698" s="1">
        <f t="shared" si="21"/>
        <v>45929</v>
      </c>
      <c r="N698" t="s">
        <v>1641</v>
      </c>
      <c r="O698">
        <v>0</v>
      </c>
    </row>
    <row r="699" spans="1:15">
      <c r="A699" s="6" t="s">
        <v>14</v>
      </c>
      <c r="B699" t="s">
        <v>15</v>
      </c>
      <c r="C699" t="s">
        <v>600</v>
      </c>
      <c r="D699" t="s">
        <v>601</v>
      </c>
      <c r="E699" s="1">
        <v>45929</v>
      </c>
      <c r="F699">
        <v>2</v>
      </c>
      <c r="G699">
        <v>4524</v>
      </c>
      <c r="H699">
        <v>136666</v>
      </c>
      <c r="I699">
        <v>0</v>
      </c>
      <c r="J699">
        <f t="shared" si="20"/>
        <v>136666</v>
      </c>
      <c r="K699" t="s">
        <v>1640</v>
      </c>
      <c r="L699">
        <v>4524</v>
      </c>
      <c r="M699" s="1">
        <f t="shared" si="21"/>
        <v>45929</v>
      </c>
      <c r="N699" t="s">
        <v>1641</v>
      </c>
      <c r="O699">
        <v>0</v>
      </c>
    </row>
    <row r="700" spans="1:15">
      <c r="A700" s="6" t="s">
        <v>14</v>
      </c>
      <c r="B700" t="s">
        <v>15</v>
      </c>
      <c r="C700" t="s">
        <v>602</v>
      </c>
      <c r="D700" t="s">
        <v>603</v>
      </c>
      <c r="E700" s="1">
        <v>45929</v>
      </c>
      <c r="F700">
        <v>2</v>
      </c>
      <c r="G700">
        <v>2814</v>
      </c>
      <c r="H700">
        <v>95414</v>
      </c>
      <c r="I700">
        <v>0</v>
      </c>
      <c r="J700">
        <f t="shared" si="20"/>
        <v>95414</v>
      </c>
      <c r="K700" t="s">
        <v>1640</v>
      </c>
      <c r="L700">
        <v>2814</v>
      </c>
      <c r="M700" s="1">
        <f t="shared" si="21"/>
        <v>45929</v>
      </c>
      <c r="N700" t="s">
        <v>1641</v>
      </c>
      <c r="O700">
        <v>0</v>
      </c>
    </row>
    <row r="701" spans="1:15">
      <c r="A701" s="6" t="s">
        <v>14</v>
      </c>
      <c r="B701" t="s">
        <v>15</v>
      </c>
      <c r="C701" t="s">
        <v>604</v>
      </c>
      <c r="D701" t="s">
        <v>605</v>
      </c>
      <c r="E701" s="1">
        <v>45929</v>
      </c>
      <c r="F701">
        <v>2</v>
      </c>
      <c r="G701">
        <v>1380</v>
      </c>
      <c r="H701">
        <v>26555</v>
      </c>
      <c r="I701">
        <v>0</v>
      </c>
      <c r="J701">
        <f t="shared" si="20"/>
        <v>26555</v>
      </c>
      <c r="K701" t="s">
        <v>1640</v>
      </c>
      <c r="L701">
        <v>1380</v>
      </c>
      <c r="M701" s="1">
        <f t="shared" si="21"/>
        <v>45929</v>
      </c>
      <c r="N701" t="s">
        <v>1641</v>
      </c>
      <c r="O701">
        <v>0</v>
      </c>
    </row>
    <row r="702" spans="1:15">
      <c r="A702" s="6" t="s">
        <v>14</v>
      </c>
      <c r="B702" t="s">
        <v>15</v>
      </c>
      <c r="C702" t="s">
        <v>606</v>
      </c>
      <c r="D702" t="s">
        <v>1650</v>
      </c>
      <c r="E702" s="1">
        <v>45929</v>
      </c>
      <c r="F702">
        <v>2</v>
      </c>
      <c r="G702">
        <v>1080</v>
      </c>
      <c r="H702">
        <v>19087</v>
      </c>
      <c r="I702">
        <v>0</v>
      </c>
      <c r="J702">
        <f t="shared" si="20"/>
        <v>19087</v>
      </c>
      <c r="K702" t="s">
        <v>1640</v>
      </c>
      <c r="L702">
        <v>1080</v>
      </c>
      <c r="M702" s="1">
        <f t="shared" si="21"/>
        <v>45929</v>
      </c>
      <c r="N702" t="s">
        <v>1641</v>
      </c>
      <c r="O702">
        <v>0</v>
      </c>
    </row>
    <row r="703" spans="1:15">
      <c r="A703" s="6" t="s">
        <v>14</v>
      </c>
      <c r="B703" t="s">
        <v>15</v>
      </c>
      <c r="C703" t="s">
        <v>607</v>
      </c>
      <c r="D703" t="s">
        <v>608</v>
      </c>
      <c r="E703" s="1">
        <v>45929</v>
      </c>
      <c r="F703">
        <v>2</v>
      </c>
      <c r="G703">
        <v>3120</v>
      </c>
      <c r="H703">
        <v>97745</v>
      </c>
      <c r="I703">
        <v>0</v>
      </c>
      <c r="J703">
        <f t="shared" si="20"/>
        <v>97745</v>
      </c>
      <c r="K703" t="s">
        <v>1640</v>
      </c>
      <c r="L703">
        <v>3120</v>
      </c>
      <c r="M703" s="1">
        <f t="shared" si="21"/>
        <v>45929</v>
      </c>
      <c r="N703" t="s">
        <v>1641</v>
      </c>
      <c r="O703">
        <v>0</v>
      </c>
    </row>
    <row r="704" spans="1:15">
      <c r="A704" s="6" t="s">
        <v>14</v>
      </c>
      <c r="B704" t="s">
        <v>15</v>
      </c>
      <c r="C704" t="s">
        <v>609</v>
      </c>
      <c r="D704" t="s">
        <v>610</v>
      </c>
      <c r="E704" s="1">
        <v>45929</v>
      </c>
      <c r="F704">
        <v>2</v>
      </c>
      <c r="G704">
        <v>2541</v>
      </c>
      <c r="H704">
        <v>77000</v>
      </c>
      <c r="I704">
        <v>0</v>
      </c>
      <c r="J704">
        <f t="shared" si="20"/>
        <v>77000</v>
      </c>
      <c r="K704" t="s">
        <v>1640</v>
      </c>
      <c r="L704">
        <v>2541</v>
      </c>
      <c r="M704" s="1">
        <f t="shared" si="21"/>
        <v>45929</v>
      </c>
      <c r="N704" t="s">
        <v>1641</v>
      </c>
      <c r="O704">
        <v>0</v>
      </c>
    </row>
    <row r="705" spans="1:15">
      <c r="A705" s="6" t="s">
        <v>14</v>
      </c>
      <c r="B705" t="s">
        <v>15</v>
      </c>
      <c r="C705" t="s">
        <v>611</v>
      </c>
      <c r="D705" t="s">
        <v>612</v>
      </c>
      <c r="E705" s="1">
        <v>45929</v>
      </c>
      <c r="F705">
        <v>2</v>
      </c>
      <c r="G705">
        <v>3034</v>
      </c>
      <c r="H705">
        <v>91593</v>
      </c>
      <c r="I705">
        <v>0</v>
      </c>
      <c r="J705">
        <f t="shared" si="20"/>
        <v>91593</v>
      </c>
      <c r="K705" t="s">
        <v>1640</v>
      </c>
      <c r="L705">
        <v>3034</v>
      </c>
      <c r="M705" s="1">
        <f t="shared" si="21"/>
        <v>45929</v>
      </c>
      <c r="N705" t="s">
        <v>1641</v>
      </c>
      <c r="O705">
        <v>0</v>
      </c>
    </row>
    <row r="706" spans="1:15">
      <c r="A706" s="6" t="s">
        <v>14</v>
      </c>
      <c r="B706" t="s">
        <v>15</v>
      </c>
      <c r="C706" t="s">
        <v>613</v>
      </c>
      <c r="D706" t="s">
        <v>614</v>
      </c>
      <c r="E706" s="1">
        <v>45929</v>
      </c>
      <c r="F706">
        <v>2</v>
      </c>
      <c r="G706">
        <v>3278.5</v>
      </c>
      <c r="H706">
        <v>96397</v>
      </c>
      <c r="I706">
        <v>0</v>
      </c>
      <c r="J706">
        <f t="shared" si="20"/>
        <v>96397</v>
      </c>
      <c r="K706" t="s">
        <v>1640</v>
      </c>
      <c r="L706">
        <v>3278.5</v>
      </c>
      <c r="M706" s="1">
        <f t="shared" si="21"/>
        <v>45929</v>
      </c>
      <c r="N706" t="s">
        <v>1641</v>
      </c>
      <c r="O706">
        <v>0</v>
      </c>
    </row>
    <row r="707" spans="1:15">
      <c r="A707" s="6" t="s">
        <v>14</v>
      </c>
      <c r="B707" t="s">
        <v>15</v>
      </c>
      <c r="C707" t="s">
        <v>615</v>
      </c>
      <c r="D707" t="s">
        <v>616</v>
      </c>
      <c r="E707" s="1">
        <v>45929</v>
      </c>
      <c r="F707">
        <v>2</v>
      </c>
      <c r="G707">
        <v>2250</v>
      </c>
      <c r="H707">
        <v>68787</v>
      </c>
      <c r="I707">
        <v>0</v>
      </c>
      <c r="J707">
        <f t="shared" ref="J707:J770" si="22">H707-I707</f>
        <v>68787</v>
      </c>
      <c r="K707" t="s">
        <v>1640</v>
      </c>
      <c r="L707">
        <v>2250</v>
      </c>
      <c r="M707" s="1">
        <f t="shared" ref="M707:M770" si="23">E707</f>
        <v>45929</v>
      </c>
      <c r="N707" t="s">
        <v>1641</v>
      </c>
      <c r="O707">
        <v>0</v>
      </c>
    </row>
    <row r="708" spans="1:15">
      <c r="A708" s="6" t="s">
        <v>14</v>
      </c>
      <c r="B708" t="s">
        <v>15</v>
      </c>
      <c r="C708" t="s">
        <v>617</v>
      </c>
      <c r="D708" t="s">
        <v>618</v>
      </c>
      <c r="E708" s="1">
        <v>45929</v>
      </c>
      <c r="F708">
        <v>2</v>
      </c>
      <c r="G708">
        <v>2470</v>
      </c>
      <c r="H708">
        <v>73000</v>
      </c>
      <c r="I708">
        <v>0</v>
      </c>
      <c r="J708">
        <f t="shared" si="22"/>
        <v>73000</v>
      </c>
      <c r="K708" t="s">
        <v>1640</v>
      </c>
      <c r="L708">
        <v>2470</v>
      </c>
      <c r="M708" s="1">
        <f t="shared" si="23"/>
        <v>45929</v>
      </c>
      <c r="N708" t="s">
        <v>1641</v>
      </c>
      <c r="O708">
        <v>0</v>
      </c>
    </row>
    <row r="709" spans="1:15">
      <c r="A709" s="6" t="s">
        <v>14</v>
      </c>
      <c r="B709" t="s">
        <v>15</v>
      </c>
      <c r="C709" t="s">
        <v>619</v>
      </c>
      <c r="D709" t="s">
        <v>1651</v>
      </c>
      <c r="E709" s="1">
        <v>45929</v>
      </c>
      <c r="F709">
        <v>2</v>
      </c>
      <c r="G709">
        <v>4272</v>
      </c>
      <c r="H709">
        <v>129626</v>
      </c>
      <c r="I709">
        <v>0</v>
      </c>
      <c r="J709">
        <f t="shared" si="22"/>
        <v>129626</v>
      </c>
      <c r="K709" t="s">
        <v>1640</v>
      </c>
      <c r="L709">
        <v>4272</v>
      </c>
      <c r="M709" s="1">
        <f t="shared" si="23"/>
        <v>45929</v>
      </c>
      <c r="N709" t="s">
        <v>1641</v>
      </c>
      <c r="O709">
        <v>0</v>
      </c>
    </row>
    <row r="710" spans="1:15">
      <c r="A710" s="6" t="s">
        <v>14</v>
      </c>
      <c r="B710" t="s">
        <v>15</v>
      </c>
      <c r="C710" t="s">
        <v>620</v>
      </c>
      <c r="D710" t="s">
        <v>621</v>
      </c>
      <c r="E710" s="1">
        <v>45929</v>
      </c>
      <c r="F710">
        <v>2</v>
      </c>
      <c r="G710">
        <v>1350</v>
      </c>
      <c r="H710">
        <v>24498</v>
      </c>
      <c r="I710">
        <v>0</v>
      </c>
      <c r="J710">
        <f t="shared" si="22"/>
        <v>24498</v>
      </c>
      <c r="K710" t="s">
        <v>1640</v>
      </c>
      <c r="L710">
        <v>1350</v>
      </c>
      <c r="M710" s="1">
        <f t="shared" si="23"/>
        <v>45929</v>
      </c>
      <c r="N710" t="s">
        <v>1641</v>
      </c>
      <c r="O710">
        <v>0</v>
      </c>
    </row>
    <row r="711" spans="1:15">
      <c r="A711" s="6" t="s">
        <v>14</v>
      </c>
      <c r="B711" t="s">
        <v>15</v>
      </c>
      <c r="C711" t="s">
        <v>622</v>
      </c>
      <c r="D711" t="s">
        <v>623</v>
      </c>
      <c r="E711" s="1">
        <v>45929</v>
      </c>
      <c r="F711">
        <v>2</v>
      </c>
      <c r="G711">
        <v>2976</v>
      </c>
      <c r="H711">
        <v>89000</v>
      </c>
      <c r="I711">
        <v>0</v>
      </c>
      <c r="J711">
        <f t="shared" si="22"/>
        <v>89000</v>
      </c>
      <c r="K711" t="s">
        <v>1640</v>
      </c>
      <c r="L711">
        <v>2976</v>
      </c>
      <c r="M711" s="1">
        <f t="shared" si="23"/>
        <v>45929</v>
      </c>
      <c r="N711" t="s">
        <v>1641</v>
      </c>
      <c r="O711">
        <v>0</v>
      </c>
    </row>
    <row r="712" spans="1:15">
      <c r="A712" s="6" t="s">
        <v>14</v>
      </c>
      <c r="B712" t="s">
        <v>15</v>
      </c>
      <c r="C712" t="s">
        <v>624</v>
      </c>
      <c r="D712" t="s">
        <v>625</v>
      </c>
      <c r="E712" s="1">
        <v>45929</v>
      </c>
      <c r="F712">
        <v>2</v>
      </c>
      <c r="G712">
        <v>3817.8</v>
      </c>
      <c r="H712">
        <v>109800</v>
      </c>
      <c r="I712">
        <v>0</v>
      </c>
      <c r="J712">
        <f t="shared" si="22"/>
        <v>109800</v>
      </c>
      <c r="K712" t="s">
        <v>1640</v>
      </c>
      <c r="L712">
        <v>3817.8</v>
      </c>
      <c r="M712" s="1">
        <f t="shared" si="23"/>
        <v>45929</v>
      </c>
      <c r="N712" t="s">
        <v>1641</v>
      </c>
      <c r="O712">
        <v>0</v>
      </c>
    </row>
    <row r="713" spans="1:15">
      <c r="A713" s="6" t="s">
        <v>14</v>
      </c>
      <c r="B713" t="s">
        <v>15</v>
      </c>
      <c r="C713" t="s">
        <v>626</v>
      </c>
      <c r="D713" t="s">
        <v>627</v>
      </c>
      <c r="E713" s="1">
        <v>45929</v>
      </c>
      <c r="F713">
        <v>2</v>
      </c>
      <c r="G713">
        <v>3262.5</v>
      </c>
      <c r="H713">
        <v>105000</v>
      </c>
      <c r="I713">
        <v>0</v>
      </c>
      <c r="J713">
        <f t="shared" si="22"/>
        <v>105000</v>
      </c>
      <c r="K713" t="s">
        <v>1640</v>
      </c>
      <c r="L713">
        <v>3262.5</v>
      </c>
      <c r="M713" s="1">
        <f t="shared" si="23"/>
        <v>45929</v>
      </c>
      <c r="N713" t="s">
        <v>1641</v>
      </c>
      <c r="O713">
        <v>0</v>
      </c>
    </row>
    <row r="714" spans="1:15">
      <c r="A714" s="6" t="s">
        <v>14</v>
      </c>
      <c r="B714" t="s">
        <v>15</v>
      </c>
      <c r="C714" t="s">
        <v>628</v>
      </c>
      <c r="D714" t="s">
        <v>629</v>
      </c>
      <c r="E714" s="1">
        <v>45929</v>
      </c>
      <c r="F714">
        <v>2</v>
      </c>
      <c r="G714">
        <v>3640</v>
      </c>
      <c r="H714">
        <v>107767</v>
      </c>
      <c r="I714">
        <v>0</v>
      </c>
      <c r="J714">
        <f t="shared" si="22"/>
        <v>107767</v>
      </c>
      <c r="K714" t="s">
        <v>1640</v>
      </c>
      <c r="L714">
        <v>3640</v>
      </c>
      <c r="M714" s="1">
        <f t="shared" si="23"/>
        <v>45929</v>
      </c>
      <c r="N714" t="s">
        <v>1641</v>
      </c>
      <c r="O714">
        <v>0</v>
      </c>
    </row>
    <row r="715" spans="1:15">
      <c r="A715" s="6" t="s">
        <v>14</v>
      </c>
      <c r="B715" t="s">
        <v>15</v>
      </c>
      <c r="C715" t="s">
        <v>630</v>
      </c>
      <c r="D715" t="s">
        <v>631</v>
      </c>
      <c r="E715" s="1">
        <v>45929</v>
      </c>
      <c r="F715">
        <v>2</v>
      </c>
      <c r="G715">
        <v>3772</v>
      </c>
      <c r="H715">
        <v>107350</v>
      </c>
      <c r="I715">
        <v>0</v>
      </c>
      <c r="J715">
        <f t="shared" si="22"/>
        <v>107350</v>
      </c>
      <c r="K715" t="s">
        <v>1640</v>
      </c>
      <c r="L715">
        <v>3772</v>
      </c>
      <c r="M715" s="1">
        <f t="shared" si="23"/>
        <v>45929</v>
      </c>
      <c r="N715" t="s">
        <v>1641</v>
      </c>
      <c r="O715">
        <v>0</v>
      </c>
    </row>
    <row r="716" spans="1:15">
      <c r="A716" s="6" t="s">
        <v>14</v>
      </c>
      <c r="B716" t="s">
        <v>15</v>
      </c>
      <c r="C716" t="s">
        <v>632</v>
      </c>
      <c r="D716" t="s">
        <v>633</v>
      </c>
      <c r="E716" s="1">
        <v>45929</v>
      </c>
      <c r="F716">
        <v>2</v>
      </c>
      <c r="G716">
        <v>2928</v>
      </c>
      <c r="H716">
        <v>85000</v>
      </c>
      <c r="I716">
        <v>0</v>
      </c>
      <c r="J716">
        <f t="shared" si="22"/>
        <v>85000</v>
      </c>
      <c r="K716" t="s">
        <v>1640</v>
      </c>
      <c r="L716">
        <v>2928</v>
      </c>
      <c r="M716" s="1">
        <f t="shared" si="23"/>
        <v>45929</v>
      </c>
      <c r="N716" t="s">
        <v>1641</v>
      </c>
      <c r="O716">
        <v>0</v>
      </c>
    </row>
    <row r="717" spans="1:15">
      <c r="A717" s="6" t="s">
        <v>14</v>
      </c>
      <c r="B717" t="s">
        <v>15</v>
      </c>
      <c r="C717" t="s">
        <v>634</v>
      </c>
      <c r="D717" t="s">
        <v>635</v>
      </c>
      <c r="E717" s="1">
        <v>45929</v>
      </c>
      <c r="F717">
        <v>2</v>
      </c>
      <c r="G717">
        <v>1399.92</v>
      </c>
      <c r="H717">
        <v>24606</v>
      </c>
      <c r="I717">
        <v>0</v>
      </c>
      <c r="J717">
        <f t="shared" si="22"/>
        <v>24606</v>
      </c>
      <c r="K717" t="s">
        <v>1640</v>
      </c>
      <c r="L717">
        <v>1399.92</v>
      </c>
      <c r="M717" s="1">
        <f t="shared" si="23"/>
        <v>45929</v>
      </c>
      <c r="N717" t="s">
        <v>1641</v>
      </c>
      <c r="O717">
        <v>0</v>
      </c>
    </row>
    <row r="718" spans="1:15">
      <c r="A718" s="6" t="s">
        <v>14</v>
      </c>
      <c r="B718" t="s">
        <v>15</v>
      </c>
      <c r="C718" t="s">
        <v>638</v>
      </c>
      <c r="D718" t="s">
        <v>639</v>
      </c>
      <c r="E718" s="1">
        <v>45929</v>
      </c>
      <c r="F718">
        <v>2</v>
      </c>
      <c r="G718">
        <v>1273</v>
      </c>
      <c r="H718">
        <v>22732</v>
      </c>
      <c r="I718">
        <v>0</v>
      </c>
      <c r="J718">
        <f t="shared" si="22"/>
        <v>22732</v>
      </c>
      <c r="K718" t="s">
        <v>1640</v>
      </c>
      <c r="L718">
        <v>1273</v>
      </c>
      <c r="M718" s="1">
        <f t="shared" si="23"/>
        <v>45929</v>
      </c>
      <c r="N718" t="s">
        <v>1641</v>
      </c>
      <c r="O718">
        <v>0</v>
      </c>
    </row>
    <row r="719" spans="1:15">
      <c r="A719" s="6" t="s">
        <v>14</v>
      </c>
      <c r="B719" t="s">
        <v>15</v>
      </c>
      <c r="C719" t="s">
        <v>640</v>
      </c>
      <c r="D719" t="s">
        <v>641</v>
      </c>
      <c r="E719" s="1">
        <v>45929</v>
      </c>
      <c r="F719">
        <v>2</v>
      </c>
      <c r="G719">
        <v>2520</v>
      </c>
      <c r="H719">
        <v>76300</v>
      </c>
      <c r="I719">
        <v>0</v>
      </c>
      <c r="J719">
        <f t="shared" si="22"/>
        <v>76300</v>
      </c>
      <c r="K719" t="s">
        <v>1640</v>
      </c>
      <c r="L719">
        <v>2520</v>
      </c>
      <c r="M719" s="1">
        <f t="shared" si="23"/>
        <v>45929</v>
      </c>
      <c r="N719" t="s">
        <v>1641</v>
      </c>
      <c r="O719">
        <v>0</v>
      </c>
    </row>
    <row r="720" spans="1:15">
      <c r="A720" s="6" t="s">
        <v>14</v>
      </c>
      <c r="B720" t="s">
        <v>15</v>
      </c>
      <c r="C720" t="s">
        <v>642</v>
      </c>
      <c r="D720" t="s">
        <v>643</v>
      </c>
      <c r="E720" s="1">
        <v>45929</v>
      </c>
      <c r="F720">
        <v>2</v>
      </c>
      <c r="G720">
        <v>837</v>
      </c>
      <c r="H720">
        <v>15000</v>
      </c>
      <c r="I720">
        <v>0</v>
      </c>
      <c r="J720">
        <f t="shared" si="22"/>
        <v>15000</v>
      </c>
      <c r="K720" t="s">
        <v>1640</v>
      </c>
      <c r="L720">
        <v>837</v>
      </c>
      <c r="M720" s="1">
        <f t="shared" si="23"/>
        <v>45929</v>
      </c>
      <c r="N720" t="s">
        <v>1641</v>
      </c>
      <c r="O720">
        <v>0</v>
      </c>
    </row>
    <row r="721" spans="1:15">
      <c r="A721" s="6" t="s">
        <v>14</v>
      </c>
      <c r="B721" t="s">
        <v>15</v>
      </c>
      <c r="C721" t="s">
        <v>646</v>
      </c>
      <c r="D721" t="s">
        <v>1652</v>
      </c>
      <c r="E721" s="1">
        <v>45929</v>
      </c>
      <c r="F721">
        <v>2</v>
      </c>
      <c r="G721">
        <v>2870</v>
      </c>
      <c r="H721">
        <v>83705</v>
      </c>
      <c r="I721">
        <v>0</v>
      </c>
      <c r="J721">
        <f t="shared" si="22"/>
        <v>83705</v>
      </c>
      <c r="K721" t="s">
        <v>1640</v>
      </c>
      <c r="L721">
        <v>2870</v>
      </c>
      <c r="M721" s="1">
        <f t="shared" si="23"/>
        <v>45929</v>
      </c>
      <c r="N721" t="s">
        <v>1641</v>
      </c>
      <c r="O721">
        <v>0</v>
      </c>
    </row>
    <row r="722" spans="1:15">
      <c r="A722" s="6" t="s">
        <v>14</v>
      </c>
      <c r="B722" t="s">
        <v>15</v>
      </c>
      <c r="C722" t="s">
        <v>647</v>
      </c>
      <c r="D722" t="s">
        <v>648</v>
      </c>
      <c r="E722" s="1">
        <v>45929</v>
      </c>
      <c r="F722">
        <v>2</v>
      </c>
      <c r="G722">
        <v>966</v>
      </c>
      <c r="H722">
        <v>17689</v>
      </c>
      <c r="I722">
        <v>0</v>
      </c>
      <c r="J722">
        <f t="shared" si="22"/>
        <v>17689</v>
      </c>
      <c r="K722" t="s">
        <v>1640</v>
      </c>
      <c r="L722">
        <v>966</v>
      </c>
      <c r="M722" s="1">
        <f t="shared" si="23"/>
        <v>45929</v>
      </c>
      <c r="N722" t="s">
        <v>1641</v>
      </c>
      <c r="O722">
        <v>0</v>
      </c>
    </row>
    <row r="723" spans="1:15">
      <c r="A723" s="6" t="s">
        <v>14</v>
      </c>
      <c r="B723" t="s">
        <v>15</v>
      </c>
      <c r="C723" t="s">
        <v>649</v>
      </c>
      <c r="D723" t="s">
        <v>650</v>
      </c>
      <c r="E723" s="1">
        <v>45929</v>
      </c>
      <c r="F723">
        <v>2</v>
      </c>
      <c r="G723">
        <v>3672</v>
      </c>
      <c r="H723">
        <v>106000</v>
      </c>
      <c r="I723">
        <v>0</v>
      </c>
      <c r="J723">
        <f t="shared" si="22"/>
        <v>106000</v>
      </c>
      <c r="K723" t="s">
        <v>1640</v>
      </c>
      <c r="L723">
        <v>3672</v>
      </c>
      <c r="M723" s="1">
        <f t="shared" si="23"/>
        <v>45929</v>
      </c>
      <c r="N723" t="s">
        <v>1641</v>
      </c>
      <c r="O723">
        <v>0</v>
      </c>
    </row>
    <row r="724" spans="1:15">
      <c r="A724" s="6" t="s">
        <v>14</v>
      </c>
      <c r="B724" t="s">
        <v>15</v>
      </c>
      <c r="C724" t="s">
        <v>651</v>
      </c>
      <c r="D724" t="s">
        <v>652</v>
      </c>
      <c r="E724" s="1">
        <v>45929</v>
      </c>
      <c r="F724">
        <v>2</v>
      </c>
      <c r="G724">
        <v>4875</v>
      </c>
      <c r="H724">
        <v>148000</v>
      </c>
      <c r="I724">
        <v>0</v>
      </c>
      <c r="J724">
        <f t="shared" si="22"/>
        <v>148000</v>
      </c>
      <c r="K724" t="s">
        <v>1640</v>
      </c>
      <c r="L724">
        <v>4875</v>
      </c>
      <c r="M724" s="1">
        <f t="shared" si="23"/>
        <v>45929</v>
      </c>
      <c r="N724" t="s">
        <v>1641</v>
      </c>
      <c r="O724">
        <v>0</v>
      </c>
    </row>
    <row r="725" spans="1:15">
      <c r="A725" s="6" t="s">
        <v>14</v>
      </c>
      <c r="B725" t="s">
        <v>15</v>
      </c>
      <c r="C725" t="s">
        <v>653</v>
      </c>
      <c r="D725" t="s">
        <v>654</v>
      </c>
      <c r="E725" s="1">
        <v>45929</v>
      </c>
      <c r="F725">
        <v>2</v>
      </c>
      <c r="G725">
        <v>2756</v>
      </c>
      <c r="H725">
        <v>82697</v>
      </c>
      <c r="I725">
        <v>0</v>
      </c>
      <c r="J725">
        <f t="shared" si="22"/>
        <v>82697</v>
      </c>
      <c r="K725" t="s">
        <v>1640</v>
      </c>
      <c r="L725">
        <v>2756</v>
      </c>
      <c r="M725" s="1">
        <f t="shared" si="23"/>
        <v>45929</v>
      </c>
      <c r="N725" t="s">
        <v>1641</v>
      </c>
      <c r="O725">
        <v>0</v>
      </c>
    </row>
    <row r="726" spans="1:15">
      <c r="A726" s="6" t="s">
        <v>14</v>
      </c>
      <c r="B726" t="s">
        <v>15</v>
      </c>
      <c r="C726" t="s">
        <v>655</v>
      </c>
      <c r="D726" t="s">
        <v>656</v>
      </c>
      <c r="E726" s="1">
        <v>45929</v>
      </c>
      <c r="F726">
        <v>2</v>
      </c>
      <c r="G726">
        <v>3200</v>
      </c>
      <c r="H726">
        <v>97000</v>
      </c>
      <c r="I726">
        <v>0</v>
      </c>
      <c r="J726">
        <f t="shared" si="22"/>
        <v>97000</v>
      </c>
      <c r="K726" t="s">
        <v>1640</v>
      </c>
      <c r="L726">
        <v>3200</v>
      </c>
      <c r="M726" s="1">
        <f t="shared" si="23"/>
        <v>45929</v>
      </c>
      <c r="N726" t="s">
        <v>1641</v>
      </c>
      <c r="O726">
        <v>0</v>
      </c>
    </row>
    <row r="727" spans="1:15">
      <c r="A727" s="6" t="s">
        <v>14</v>
      </c>
      <c r="B727" t="s">
        <v>15</v>
      </c>
      <c r="C727" t="s">
        <v>657</v>
      </c>
      <c r="D727" t="s">
        <v>658</v>
      </c>
      <c r="E727" s="1">
        <v>45929</v>
      </c>
      <c r="F727">
        <v>2</v>
      </c>
      <c r="G727">
        <v>3834</v>
      </c>
      <c r="H727">
        <v>119100</v>
      </c>
      <c r="I727">
        <v>0</v>
      </c>
      <c r="J727">
        <f t="shared" si="22"/>
        <v>119100</v>
      </c>
      <c r="K727" t="s">
        <v>1640</v>
      </c>
      <c r="L727">
        <v>3834</v>
      </c>
      <c r="M727" s="1">
        <f t="shared" si="23"/>
        <v>45929</v>
      </c>
      <c r="N727" t="s">
        <v>1641</v>
      </c>
      <c r="O727">
        <v>0</v>
      </c>
    </row>
    <row r="728" spans="1:15">
      <c r="A728" s="6" t="s">
        <v>14</v>
      </c>
      <c r="B728" t="s">
        <v>15</v>
      </c>
      <c r="C728" t="s">
        <v>659</v>
      </c>
      <c r="D728" t="s">
        <v>660</v>
      </c>
      <c r="E728" s="1">
        <v>45929</v>
      </c>
      <c r="F728">
        <v>2</v>
      </c>
      <c r="G728">
        <v>1360</v>
      </c>
      <c r="H728">
        <v>24696</v>
      </c>
      <c r="I728">
        <v>0</v>
      </c>
      <c r="J728">
        <f t="shared" si="22"/>
        <v>24696</v>
      </c>
      <c r="K728" t="s">
        <v>1640</v>
      </c>
      <c r="L728">
        <v>1360</v>
      </c>
      <c r="M728" s="1">
        <f t="shared" si="23"/>
        <v>45929</v>
      </c>
      <c r="N728" t="s">
        <v>1641</v>
      </c>
      <c r="O728">
        <v>0</v>
      </c>
    </row>
    <row r="729" spans="1:15">
      <c r="A729" s="6" t="s">
        <v>14</v>
      </c>
      <c r="B729" t="s">
        <v>15</v>
      </c>
      <c r="C729" t="s">
        <v>661</v>
      </c>
      <c r="D729" t="s">
        <v>662</v>
      </c>
      <c r="E729" s="1">
        <v>45929</v>
      </c>
      <c r="F729">
        <v>2</v>
      </c>
      <c r="G729">
        <v>4005</v>
      </c>
      <c r="H729">
        <v>121500</v>
      </c>
      <c r="I729">
        <v>0</v>
      </c>
      <c r="J729">
        <f t="shared" si="22"/>
        <v>121500</v>
      </c>
      <c r="K729" t="s">
        <v>1640</v>
      </c>
      <c r="L729">
        <v>4005</v>
      </c>
      <c r="M729" s="1">
        <f t="shared" si="23"/>
        <v>45929</v>
      </c>
      <c r="N729" t="s">
        <v>1641</v>
      </c>
      <c r="O729">
        <v>0</v>
      </c>
    </row>
    <row r="730" spans="1:15">
      <c r="A730" s="6" t="s">
        <v>14</v>
      </c>
      <c r="B730" t="s">
        <v>15</v>
      </c>
      <c r="C730" t="s">
        <v>663</v>
      </c>
      <c r="D730" t="s">
        <v>664</v>
      </c>
      <c r="E730" s="1">
        <v>45929</v>
      </c>
      <c r="F730">
        <v>2</v>
      </c>
      <c r="G730">
        <v>1260</v>
      </c>
      <c r="H730">
        <v>23283</v>
      </c>
      <c r="I730">
        <v>0</v>
      </c>
      <c r="J730">
        <f t="shared" si="22"/>
        <v>23283</v>
      </c>
      <c r="K730" t="s">
        <v>1640</v>
      </c>
      <c r="L730">
        <v>1260</v>
      </c>
      <c r="M730" s="1">
        <f t="shared" si="23"/>
        <v>45929</v>
      </c>
      <c r="N730" t="s">
        <v>1641</v>
      </c>
      <c r="O730">
        <v>0</v>
      </c>
    </row>
    <row r="731" spans="1:15">
      <c r="A731" s="6" t="s">
        <v>14</v>
      </c>
      <c r="B731" t="s">
        <v>15</v>
      </c>
      <c r="C731" t="s">
        <v>665</v>
      </c>
      <c r="D731" t="s">
        <v>666</v>
      </c>
      <c r="E731" s="1">
        <v>45929</v>
      </c>
      <c r="F731">
        <v>2</v>
      </c>
      <c r="G731">
        <v>1815</v>
      </c>
      <c r="H731">
        <v>30538</v>
      </c>
      <c r="I731">
        <v>0</v>
      </c>
      <c r="J731">
        <f t="shared" si="22"/>
        <v>30538</v>
      </c>
      <c r="K731" t="s">
        <v>1640</v>
      </c>
      <c r="L731">
        <v>1815</v>
      </c>
      <c r="M731" s="1">
        <f t="shared" si="23"/>
        <v>45929</v>
      </c>
      <c r="N731" t="s">
        <v>1641</v>
      </c>
      <c r="O731">
        <v>0</v>
      </c>
    </row>
    <row r="732" spans="1:15">
      <c r="A732" s="6" t="s">
        <v>14</v>
      </c>
      <c r="B732" t="s">
        <v>15</v>
      </c>
      <c r="C732" t="s">
        <v>669</v>
      </c>
      <c r="D732" t="s">
        <v>670</v>
      </c>
      <c r="E732" s="1">
        <v>45929</v>
      </c>
      <c r="F732">
        <v>2</v>
      </c>
      <c r="G732">
        <v>3834</v>
      </c>
      <c r="H732">
        <v>111671</v>
      </c>
      <c r="I732">
        <v>0</v>
      </c>
      <c r="J732">
        <f t="shared" si="22"/>
        <v>111671</v>
      </c>
      <c r="K732" t="s">
        <v>1640</v>
      </c>
      <c r="L732">
        <v>3834</v>
      </c>
      <c r="M732" s="1">
        <f t="shared" si="23"/>
        <v>45929</v>
      </c>
      <c r="N732" t="s">
        <v>1641</v>
      </c>
      <c r="O732">
        <v>0</v>
      </c>
    </row>
    <row r="733" spans="1:15">
      <c r="A733" s="6" t="s">
        <v>14</v>
      </c>
      <c r="B733" t="s">
        <v>15</v>
      </c>
      <c r="C733" t="s">
        <v>671</v>
      </c>
      <c r="D733" t="s">
        <v>672</v>
      </c>
      <c r="E733" s="1">
        <v>45929</v>
      </c>
      <c r="F733">
        <v>2</v>
      </c>
      <c r="G733">
        <v>3360</v>
      </c>
      <c r="H733">
        <v>100000</v>
      </c>
      <c r="I733">
        <v>0</v>
      </c>
      <c r="J733">
        <f t="shared" si="22"/>
        <v>100000</v>
      </c>
      <c r="K733" t="s">
        <v>1640</v>
      </c>
      <c r="L733">
        <v>3360</v>
      </c>
      <c r="M733" s="1">
        <f t="shared" si="23"/>
        <v>45929</v>
      </c>
      <c r="N733" t="s">
        <v>1641</v>
      </c>
      <c r="O733">
        <v>0</v>
      </c>
    </row>
    <row r="734" spans="1:15">
      <c r="A734" s="6" t="s">
        <v>14</v>
      </c>
      <c r="B734" t="s">
        <v>15</v>
      </c>
      <c r="C734" t="s">
        <v>675</v>
      </c>
      <c r="D734" t="s">
        <v>676</v>
      </c>
      <c r="E734" s="1">
        <v>45929</v>
      </c>
      <c r="F734">
        <v>2</v>
      </c>
      <c r="G734">
        <v>2041.2</v>
      </c>
      <c r="H734">
        <v>36749</v>
      </c>
      <c r="I734">
        <v>0</v>
      </c>
      <c r="J734">
        <f t="shared" si="22"/>
        <v>36749</v>
      </c>
      <c r="K734" t="s">
        <v>1640</v>
      </c>
      <c r="L734">
        <v>2041.2</v>
      </c>
      <c r="M734" s="1">
        <f t="shared" si="23"/>
        <v>45929</v>
      </c>
      <c r="N734" t="s">
        <v>1641</v>
      </c>
      <c r="O734">
        <v>0</v>
      </c>
    </row>
    <row r="735" spans="1:15">
      <c r="A735" s="6" t="s">
        <v>14</v>
      </c>
      <c r="B735" t="s">
        <v>15</v>
      </c>
      <c r="C735" t="s">
        <v>677</v>
      </c>
      <c r="D735" t="s">
        <v>678</v>
      </c>
      <c r="E735" s="1">
        <v>45929</v>
      </c>
      <c r="F735">
        <v>2</v>
      </c>
      <c r="G735">
        <v>2576</v>
      </c>
      <c r="H735">
        <v>75768</v>
      </c>
      <c r="I735">
        <v>0</v>
      </c>
      <c r="J735">
        <f t="shared" si="22"/>
        <v>75768</v>
      </c>
      <c r="K735" t="s">
        <v>1640</v>
      </c>
      <c r="L735">
        <v>2576</v>
      </c>
      <c r="M735" s="1">
        <f t="shared" si="23"/>
        <v>45929</v>
      </c>
      <c r="N735" t="s">
        <v>1641</v>
      </c>
      <c r="O735">
        <v>0</v>
      </c>
    </row>
    <row r="736" spans="1:15">
      <c r="A736" s="6" t="s">
        <v>14</v>
      </c>
      <c r="B736" t="s">
        <v>15</v>
      </c>
      <c r="C736" t="s">
        <v>679</v>
      </c>
      <c r="D736" t="s">
        <v>680</v>
      </c>
      <c r="E736" s="1">
        <v>45929</v>
      </c>
      <c r="F736">
        <v>2</v>
      </c>
      <c r="G736">
        <v>2670</v>
      </c>
      <c r="H736">
        <v>80999</v>
      </c>
      <c r="I736">
        <v>0</v>
      </c>
      <c r="J736">
        <f t="shared" si="22"/>
        <v>80999</v>
      </c>
      <c r="K736" t="s">
        <v>1640</v>
      </c>
      <c r="L736">
        <v>2670</v>
      </c>
      <c r="M736" s="1">
        <f t="shared" si="23"/>
        <v>45929</v>
      </c>
      <c r="N736" t="s">
        <v>1641</v>
      </c>
      <c r="O736">
        <v>0</v>
      </c>
    </row>
    <row r="737" spans="1:15">
      <c r="A737" s="6" t="s">
        <v>14</v>
      </c>
      <c r="B737" t="s">
        <v>15</v>
      </c>
      <c r="C737" t="s">
        <v>681</v>
      </c>
      <c r="D737" t="s">
        <v>1653</v>
      </c>
      <c r="E737" s="1">
        <v>45929</v>
      </c>
      <c r="F737">
        <v>2</v>
      </c>
      <c r="G737">
        <v>2496</v>
      </c>
      <c r="H737">
        <v>75452</v>
      </c>
      <c r="I737">
        <v>0</v>
      </c>
      <c r="J737">
        <f t="shared" si="22"/>
        <v>75452</v>
      </c>
      <c r="K737" t="s">
        <v>1640</v>
      </c>
      <c r="L737">
        <v>2496</v>
      </c>
      <c r="M737" s="1">
        <f t="shared" si="23"/>
        <v>45929</v>
      </c>
      <c r="N737" t="s">
        <v>1641</v>
      </c>
      <c r="O737">
        <v>0</v>
      </c>
    </row>
    <row r="738" spans="1:15">
      <c r="A738" s="6" t="s">
        <v>14</v>
      </c>
      <c r="B738" t="s">
        <v>15</v>
      </c>
      <c r="C738" t="s">
        <v>682</v>
      </c>
      <c r="D738" t="s">
        <v>683</v>
      </c>
      <c r="E738" s="1">
        <v>45929</v>
      </c>
      <c r="F738">
        <v>2</v>
      </c>
      <c r="G738">
        <v>1339</v>
      </c>
      <c r="H738">
        <v>22342</v>
      </c>
      <c r="I738">
        <v>0</v>
      </c>
      <c r="J738">
        <f t="shared" si="22"/>
        <v>22342</v>
      </c>
      <c r="K738" t="s">
        <v>1640</v>
      </c>
      <c r="L738">
        <v>1339</v>
      </c>
      <c r="M738" s="1">
        <f t="shared" si="23"/>
        <v>45929</v>
      </c>
      <c r="N738" t="s">
        <v>1641</v>
      </c>
      <c r="O738">
        <v>0</v>
      </c>
    </row>
    <row r="739" spans="1:15">
      <c r="A739" s="6" t="s">
        <v>14</v>
      </c>
      <c r="B739" t="s">
        <v>15</v>
      </c>
      <c r="C739" t="s">
        <v>686</v>
      </c>
      <c r="D739" t="s">
        <v>687</v>
      </c>
      <c r="E739" s="1">
        <v>45929</v>
      </c>
      <c r="F739">
        <v>2</v>
      </c>
      <c r="G739">
        <v>1488</v>
      </c>
      <c r="H739">
        <v>26555</v>
      </c>
      <c r="I739">
        <v>0</v>
      </c>
      <c r="J739">
        <f t="shared" si="22"/>
        <v>26555</v>
      </c>
      <c r="K739" t="s">
        <v>1640</v>
      </c>
      <c r="L739">
        <v>1488</v>
      </c>
      <c r="M739" s="1">
        <f t="shared" si="23"/>
        <v>45929</v>
      </c>
      <c r="N739" t="s">
        <v>1641</v>
      </c>
      <c r="O739">
        <v>0</v>
      </c>
    </row>
    <row r="740" spans="1:15">
      <c r="A740" s="6" t="s">
        <v>14</v>
      </c>
      <c r="B740" t="s">
        <v>15</v>
      </c>
      <c r="C740" t="s">
        <v>688</v>
      </c>
      <c r="D740" t="s">
        <v>689</v>
      </c>
      <c r="E740" s="1">
        <v>45929</v>
      </c>
      <c r="F740">
        <v>2</v>
      </c>
      <c r="G740">
        <v>2937</v>
      </c>
      <c r="H740">
        <v>88800</v>
      </c>
      <c r="I740">
        <v>0</v>
      </c>
      <c r="J740">
        <f t="shared" si="22"/>
        <v>88800</v>
      </c>
      <c r="K740" t="s">
        <v>1640</v>
      </c>
      <c r="L740">
        <v>2937</v>
      </c>
      <c r="M740" s="1">
        <f t="shared" si="23"/>
        <v>45929</v>
      </c>
      <c r="N740" t="s">
        <v>1641</v>
      </c>
      <c r="O740">
        <v>0</v>
      </c>
    </row>
    <row r="741" spans="1:15">
      <c r="A741" s="6" t="s">
        <v>14</v>
      </c>
      <c r="B741" t="s">
        <v>15</v>
      </c>
      <c r="C741" t="s">
        <v>690</v>
      </c>
      <c r="D741" t="s">
        <v>691</v>
      </c>
      <c r="E741" s="1">
        <v>45929</v>
      </c>
      <c r="F741">
        <v>2</v>
      </c>
      <c r="G741">
        <v>2970</v>
      </c>
      <c r="H741">
        <v>92468</v>
      </c>
      <c r="I741">
        <v>0</v>
      </c>
      <c r="J741">
        <f t="shared" si="22"/>
        <v>92468</v>
      </c>
      <c r="K741" t="s">
        <v>1640</v>
      </c>
      <c r="L741">
        <v>2970</v>
      </c>
      <c r="M741" s="1">
        <f t="shared" si="23"/>
        <v>45929</v>
      </c>
      <c r="N741" t="s">
        <v>1641</v>
      </c>
      <c r="O741">
        <v>0</v>
      </c>
    </row>
    <row r="742" spans="1:15">
      <c r="A742" s="6" t="s">
        <v>14</v>
      </c>
      <c r="B742" t="s">
        <v>15</v>
      </c>
      <c r="C742" t="s">
        <v>692</v>
      </c>
      <c r="D742" t="s">
        <v>693</v>
      </c>
      <c r="E742" s="1">
        <v>45929</v>
      </c>
      <c r="F742">
        <v>2</v>
      </c>
      <c r="G742">
        <v>675</v>
      </c>
      <c r="H742">
        <v>16502</v>
      </c>
      <c r="I742">
        <v>0</v>
      </c>
      <c r="J742">
        <f t="shared" si="22"/>
        <v>16502</v>
      </c>
      <c r="K742" t="s">
        <v>1640</v>
      </c>
      <c r="L742">
        <v>675</v>
      </c>
      <c r="M742" s="1">
        <f t="shared" si="23"/>
        <v>45929</v>
      </c>
      <c r="N742" t="s">
        <v>1641</v>
      </c>
      <c r="O742">
        <v>0</v>
      </c>
    </row>
    <row r="743" spans="1:15">
      <c r="A743" s="6" t="s">
        <v>14</v>
      </c>
      <c r="B743" t="s">
        <v>15</v>
      </c>
      <c r="C743" t="s">
        <v>694</v>
      </c>
      <c r="D743" t="s">
        <v>695</v>
      </c>
      <c r="E743" s="1">
        <v>45929</v>
      </c>
      <c r="F743">
        <v>2</v>
      </c>
      <c r="G743">
        <v>1320</v>
      </c>
      <c r="H743">
        <v>26600</v>
      </c>
      <c r="I743">
        <v>0</v>
      </c>
      <c r="J743">
        <f t="shared" si="22"/>
        <v>26600</v>
      </c>
      <c r="K743" t="s">
        <v>1640</v>
      </c>
      <c r="L743">
        <v>1320</v>
      </c>
      <c r="M743" s="1">
        <f t="shared" si="23"/>
        <v>45929</v>
      </c>
      <c r="N743" t="s">
        <v>1641</v>
      </c>
      <c r="O743">
        <v>0</v>
      </c>
    </row>
    <row r="744" spans="1:15">
      <c r="A744" s="6" t="s">
        <v>14</v>
      </c>
      <c r="B744" t="s">
        <v>15</v>
      </c>
      <c r="C744" t="s">
        <v>696</v>
      </c>
      <c r="D744" t="s">
        <v>697</v>
      </c>
      <c r="E744" s="1">
        <v>45929</v>
      </c>
      <c r="F744">
        <v>2</v>
      </c>
      <c r="G744">
        <v>3116</v>
      </c>
      <c r="H744">
        <v>94000</v>
      </c>
      <c r="I744">
        <v>0</v>
      </c>
      <c r="J744">
        <f t="shared" si="22"/>
        <v>94000</v>
      </c>
      <c r="K744" t="s">
        <v>1640</v>
      </c>
      <c r="L744">
        <v>3116</v>
      </c>
      <c r="M744" s="1">
        <f t="shared" si="23"/>
        <v>45929</v>
      </c>
      <c r="N744" t="s">
        <v>1641</v>
      </c>
      <c r="O744">
        <v>0</v>
      </c>
    </row>
    <row r="745" spans="1:15">
      <c r="A745" s="6" t="s">
        <v>14</v>
      </c>
      <c r="B745" t="s">
        <v>15</v>
      </c>
      <c r="C745" t="s">
        <v>698</v>
      </c>
      <c r="D745" t="s">
        <v>699</v>
      </c>
      <c r="E745" s="1">
        <v>45929</v>
      </c>
      <c r="F745">
        <v>2</v>
      </c>
      <c r="G745">
        <v>4380</v>
      </c>
      <c r="H745">
        <v>129825</v>
      </c>
      <c r="I745">
        <v>0</v>
      </c>
      <c r="J745">
        <f t="shared" si="22"/>
        <v>129825</v>
      </c>
      <c r="K745" t="s">
        <v>1640</v>
      </c>
      <c r="L745">
        <v>4380</v>
      </c>
      <c r="M745" s="1">
        <f t="shared" si="23"/>
        <v>45929</v>
      </c>
      <c r="N745" t="s">
        <v>1641</v>
      </c>
      <c r="O745">
        <v>0</v>
      </c>
    </row>
    <row r="746" spans="1:15">
      <c r="A746" s="6" t="s">
        <v>14</v>
      </c>
      <c r="B746" t="s">
        <v>15</v>
      </c>
      <c r="C746" t="s">
        <v>700</v>
      </c>
      <c r="D746" t="s">
        <v>701</v>
      </c>
      <c r="E746" s="1">
        <v>45929</v>
      </c>
      <c r="F746">
        <v>2</v>
      </c>
      <c r="G746">
        <v>3870</v>
      </c>
      <c r="H746">
        <v>115000</v>
      </c>
      <c r="I746">
        <v>0</v>
      </c>
      <c r="J746">
        <f t="shared" si="22"/>
        <v>115000</v>
      </c>
      <c r="K746" t="s">
        <v>1640</v>
      </c>
      <c r="L746">
        <v>3870</v>
      </c>
      <c r="M746" s="1">
        <f t="shared" si="23"/>
        <v>45929</v>
      </c>
      <c r="N746" t="s">
        <v>1641</v>
      </c>
      <c r="O746">
        <v>0</v>
      </c>
    </row>
    <row r="747" spans="1:15">
      <c r="A747" s="6" t="s">
        <v>14</v>
      </c>
      <c r="B747" t="s">
        <v>15</v>
      </c>
      <c r="C747" t="s">
        <v>702</v>
      </c>
      <c r="D747" t="s">
        <v>703</v>
      </c>
      <c r="E747" s="1">
        <v>45929</v>
      </c>
      <c r="F747">
        <v>2</v>
      </c>
      <c r="G747">
        <v>3486</v>
      </c>
      <c r="H747">
        <v>98800</v>
      </c>
      <c r="I747">
        <v>0</v>
      </c>
      <c r="J747">
        <f t="shared" si="22"/>
        <v>98800</v>
      </c>
      <c r="K747" t="s">
        <v>1640</v>
      </c>
      <c r="L747">
        <v>3486</v>
      </c>
      <c r="M747" s="1">
        <f t="shared" si="23"/>
        <v>45929</v>
      </c>
      <c r="N747" t="s">
        <v>1641</v>
      </c>
      <c r="O747">
        <v>0</v>
      </c>
    </row>
    <row r="748" spans="1:15">
      <c r="A748" s="6" t="s">
        <v>14</v>
      </c>
      <c r="B748" t="s">
        <v>15</v>
      </c>
      <c r="C748" t="s">
        <v>704</v>
      </c>
      <c r="D748" t="s">
        <v>705</v>
      </c>
      <c r="E748" s="1">
        <v>45929</v>
      </c>
      <c r="F748">
        <v>2</v>
      </c>
      <c r="G748">
        <v>2520</v>
      </c>
      <c r="H748">
        <v>76656</v>
      </c>
      <c r="I748">
        <v>0</v>
      </c>
      <c r="J748">
        <f t="shared" si="22"/>
        <v>76656</v>
      </c>
      <c r="K748" t="s">
        <v>1640</v>
      </c>
      <c r="L748">
        <v>2520</v>
      </c>
      <c r="M748" s="1">
        <f t="shared" si="23"/>
        <v>45929</v>
      </c>
      <c r="N748" t="s">
        <v>1641</v>
      </c>
      <c r="O748">
        <v>0</v>
      </c>
    </row>
    <row r="749" spans="1:15">
      <c r="A749" s="6" t="s">
        <v>14</v>
      </c>
      <c r="B749" t="s">
        <v>15</v>
      </c>
      <c r="C749" t="s">
        <v>706</v>
      </c>
      <c r="D749" t="s">
        <v>1654</v>
      </c>
      <c r="E749" s="1">
        <v>45929</v>
      </c>
      <c r="F749">
        <v>2</v>
      </c>
      <c r="G749">
        <v>2784</v>
      </c>
      <c r="H749">
        <v>82721</v>
      </c>
      <c r="I749">
        <v>0</v>
      </c>
      <c r="J749">
        <f t="shared" si="22"/>
        <v>82721</v>
      </c>
      <c r="K749" t="s">
        <v>1640</v>
      </c>
      <c r="L749">
        <v>2784</v>
      </c>
      <c r="M749" s="1">
        <f t="shared" si="23"/>
        <v>45929</v>
      </c>
      <c r="N749" t="s">
        <v>1641</v>
      </c>
      <c r="O749">
        <v>0</v>
      </c>
    </row>
    <row r="750" spans="1:15">
      <c r="A750" s="6" t="s">
        <v>14</v>
      </c>
      <c r="B750" t="s">
        <v>15</v>
      </c>
      <c r="C750" t="s">
        <v>707</v>
      </c>
      <c r="D750" t="s">
        <v>708</v>
      </c>
      <c r="E750" s="1">
        <v>45929</v>
      </c>
      <c r="F750">
        <v>2</v>
      </c>
      <c r="G750">
        <v>3354</v>
      </c>
      <c r="H750">
        <v>103822</v>
      </c>
      <c r="I750">
        <v>0</v>
      </c>
      <c r="J750">
        <f t="shared" si="22"/>
        <v>103822</v>
      </c>
      <c r="K750" t="s">
        <v>1640</v>
      </c>
      <c r="L750">
        <v>3354</v>
      </c>
      <c r="M750" s="1">
        <f t="shared" si="23"/>
        <v>45929</v>
      </c>
      <c r="N750" t="s">
        <v>1641</v>
      </c>
      <c r="O750">
        <v>0</v>
      </c>
    </row>
    <row r="751" spans="1:15">
      <c r="A751" s="6" t="s">
        <v>14</v>
      </c>
      <c r="B751" t="s">
        <v>15</v>
      </c>
      <c r="C751" t="s">
        <v>709</v>
      </c>
      <c r="D751" t="s">
        <v>710</v>
      </c>
      <c r="E751" s="1">
        <v>45929</v>
      </c>
      <c r="F751">
        <v>2</v>
      </c>
      <c r="G751">
        <v>4500</v>
      </c>
      <c r="H751">
        <v>134461</v>
      </c>
      <c r="I751">
        <v>0</v>
      </c>
      <c r="J751">
        <f t="shared" si="22"/>
        <v>134461</v>
      </c>
      <c r="K751" t="s">
        <v>1640</v>
      </c>
      <c r="L751">
        <v>4500</v>
      </c>
      <c r="M751" s="1">
        <f t="shared" si="23"/>
        <v>45929</v>
      </c>
      <c r="N751" t="s">
        <v>1641</v>
      </c>
      <c r="O751">
        <v>0</v>
      </c>
    </row>
    <row r="752" spans="1:15">
      <c r="A752" s="6" t="s">
        <v>14</v>
      </c>
      <c r="B752" t="s">
        <v>15</v>
      </c>
      <c r="C752" t="s">
        <v>711</v>
      </c>
      <c r="D752" t="s">
        <v>712</v>
      </c>
      <c r="E752" s="1">
        <v>45929</v>
      </c>
      <c r="F752">
        <v>2</v>
      </c>
      <c r="G752">
        <v>3432</v>
      </c>
      <c r="H752">
        <v>99877</v>
      </c>
      <c r="I752">
        <v>0</v>
      </c>
      <c r="J752">
        <f t="shared" si="22"/>
        <v>99877</v>
      </c>
      <c r="K752" t="s">
        <v>1640</v>
      </c>
      <c r="L752">
        <v>3432</v>
      </c>
      <c r="M752" s="1">
        <f t="shared" si="23"/>
        <v>45929</v>
      </c>
      <c r="N752" t="s">
        <v>1641</v>
      </c>
      <c r="O752">
        <v>0</v>
      </c>
    </row>
    <row r="753" spans="1:15">
      <c r="A753" s="6" t="s">
        <v>14</v>
      </c>
      <c r="B753" t="s">
        <v>15</v>
      </c>
      <c r="C753" t="s">
        <v>713</v>
      </c>
      <c r="D753" t="s">
        <v>714</v>
      </c>
      <c r="E753" s="1">
        <v>45929</v>
      </c>
      <c r="F753">
        <v>2</v>
      </c>
      <c r="G753">
        <v>3564</v>
      </c>
      <c r="H753">
        <v>105000</v>
      </c>
      <c r="I753">
        <v>0</v>
      </c>
      <c r="J753">
        <f t="shared" si="22"/>
        <v>105000</v>
      </c>
      <c r="K753" t="s">
        <v>1640</v>
      </c>
      <c r="L753">
        <v>3564</v>
      </c>
      <c r="M753" s="1">
        <f t="shared" si="23"/>
        <v>45929</v>
      </c>
      <c r="N753" t="s">
        <v>1641</v>
      </c>
      <c r="O753">
        <v>0</v>
      </c>
    </row>
    <row r="754" spans="1:15">
      <c r="A754" s="6" t="s">
        <v>14</v>
      </c>
      <c r="B754" t="s">
        <v>15</v>
      </c>
      <c r="C754" t="s">
        <v>715</v>
      </c>
      <c r="D754" t="s">
        <v>716</v>
      </c>
      <c r="E754" s="1">
        <v>45929</v>
      </c>
      <c r="F754">
        <v>2</v>
      </c>
      <c r="G754">
        <v>2925</v>
      </c>
      <c r="H754">
        <v>85000</v>
      </c>
      <c r="I754">
        <v>0</v>
      </c>
      <c r="J754">
        <f t="shared" si="22"/>
        <v>85000</v>
      </c>
      <c r="K754" t="s">
        <v>1640</v>
      </c>
      <c r="L754">
        <v>2925</v>
      </c>
      <c r="M754" s="1">
        <f t="shared" si="23"/>
        <v>45929</v>
      </c>
      <c r="N754" t="s">
        <v>1641</v>
      </c>
      <c r="O754">
        <v>0</v>
      </c>
    </row>
    <row r="755" spans="1:15">
      <c r="A755" s="6" t="s">
        <v>14</v>
      </c>
      <c r="B755" t="s">
        <v>15</v>
      </c>
      <c r="C755" t="s">
        <v>717</v>
      </c>
      <c r="D755" t="s">
        <v>718</v>
      </c>
      <c r="E755" s="1">
        <v>45929</v>
      </c>
      <c r="F755">
        <v>2</v>
      </c>
      <c r="G755">
        <v>4785</v>
      </c>
      <c r="H755">
        <v>142410</v>
      </c>
      <c r="I755">
        <v>0</v>
      </c>
      <c r="J755">
        <f t="shared" si="22"/>
        <v>142410</v>
      </c>
      <c r="K755" t="s">
        <v>1640</v>
      </c>
      <c r="L755">
        <v>4785</v>
      </c>
      <c r="M755" s="1">
        <f t="shared" si="23"/>
        <v>45929</v>
      </c>
      <c r="N755" t="s">
        <v>1641</v>
      </c>
      <c r="O755">
        <v>0</v>
      </c>
    </row>
    <row r="756" spans="1:15">
      <c r="A756" s="6" t="s">
        <v>14</v>
      </c>
      <c r="B756" t="s">
        <v>15</v>
      </c>
      <c r="C756" t="s">
        <v>719</v>
      </c>
      <c r="D756" t="s">
        <v>720</v>
      </c>
      <c r="E756" s="1">
        <v>45929</v>
      </c>
      <c r="F756">
        <v>2</v>
      </c>
      <c r="G756">
        <v>3800</v>
      </c>
      <c r="H756">
        <v>112151</v>
      </c>
      <c r="I756">
        <v>0</v>
      </c>
      <c r="J756">
        <f t="shared" si="22"/>
        <v>112151</v>
      </c>
      <c r="K756" t="s">
        <v>1640</v>
      </c>
      <c r="L756">
        <v>3800</v>
      </c>
      <c r="M756" s="1">
        <f t="shared" si="23"/>
        <v>45929</v>
      </c>
      <c r="N756" t="s">
        <v>1641</v>
      </c>
      <c r="O756">
        <v>0</v>
      </c>
    </row>
    <row r="757" spans="1:15">
      <c r="A757" s="6" t="s">
        <v>14</v>
      </c>
      <c r="B757" t="s">
        <v>15</v>
      </c>
      <c r="C757" t="s">
        <v>723</v>
      </c>
      <c r="D757" t="s">
        <v>724</v>
      </c>
      <c r="E757" s="1">
        <v>45929</v>
      </c>
      <c r="F757">
        <v>2</v>
      </c>
      <c r="G757">
        <v>391.5</v>
      </c>
      <c r="H757">
        <v>100000</v>
      </c>
      <c r="I757">
        <v>0</v>
      </c>
      <c r="J757">
        <f t="shared" si="22"/>
        <v>100000</v>
      </c>
      <c r="K757" t="s">
        <v>1640</v>
      </c>
      <c r="L757">
        <v>391.5</v>
      </c>
      <c r="M757" s="1">
        <f t="shared" si="23"/>
        <v>45929</v>
      </c>
      <c r="N757" t="s">
        <v>1641</v>
      </c>
      <c r="O757">
        <v>0</v>
      </c>
    </row>
    <row r="758" spans="1:15">
      <c r="A758" s="6" t="s">
        <v>14</v>
      </c>
      <c r="B758" t="s">
        <v>15</v>
      </c>
      <c r="C758" t="s">
        <v>725</v>
      </c>
      <c r="D758" t="s">
        <v>726</v>
      </c>
      <c r="E758" s="1">
        <v>45929</v>
      </c>
      <c r="F758">
        <v>2</v>
      </c>
      <c r="G758">
        <v>3531</v>
      </c>
      <c r="H758">
        <v>100000</v>
      </c>
      <c r="I758">
        <v>0</v>
      </c>
      <c r="J758">
        <f t="shared" si="22"/>
        <v>100000</v>
      </c>
      <c r="K758" t="s">
        <v>1640</v>
      </c>
      <c r="L758">
        <v>3531</v>
      </c>
      <c r="M758" s="1">
        <f t="shared" si="23"/>
        <v>45929</v>
      </c>
      <c r="N758" t="s">
        <v>1641</v>
      </c>
      <c r="O758">
        <v>0</v>
      </c>
    </row>
    <row r="759" spans="1:15">
      <c r="A759" s="6" t="s">
        <v>14</v>
      </c>
      <c r="B759" t="s">
        <v>15</v>
      </c>
      <c r="C759" t="s">
        <v>727</v>
      </c>
      <c r="D759" t="s">
        <v>728</v>
      </c>
      <c r="E759" s="1">
        <v>45929</v>
      </c>
      <c r="F759">
        <v>2</v>
      </c>
      <c r="G759">
        <v>4316</v>
      </c>
      <c r="H759">
        <v>128253</v>
      </c>
      <c r="I759">
        <v>0</v>
      </c>
      <c r="J759">
        <f t="shared" si="22"/>
        <v>128253</v>
      </c>
      <c r="K759" t="s">
        <v>1640</v>
      </c>
      <c r="L759">
        <v>4316</v>
      </c>
      <c r="M759" s="1">
        <f t="shared" si="23"/>
        <v>45929</v>
      </c>
      <c r="N759" t="s">
        <v>1641</v>
      </c>
      <c r="O759">
        <v>0</v>
      </c>
    </row>
    <row r="760" spans="1:15">
      <c r="A760" s="6" t="s">
        <v>14</v>
      </c>
      <c r="B760" t="s">
        <v>15</v>
      </c>
      <c r="C760" t="s">
        <v>729</v>
      </c>
      <c r="D760" t="s">
        <v>730</v>
      </c>
      <c r="E760" s="1">
        <v>45929</v>
      </c>
      <c r="F760">
        <v>2</v>
      </c>
      <c r="G760">
        <v>3168</v>
      </c>
      <c r="H760">
        <v>90580</v>
      </c>
      <c r="I760">
        <v>0</v>
      </c>
      <c r="J760">
        <f t="shared" si="22"/>
        <v>90580</v>
      </c>
      <c r="K760" t="s">
        <v>1640</v>
      </c>
      <c r="L760">
        <v>3168</v>
      </c>
      <c r="M760" s="1">
        <f t="shared" si="23"/>
        <v>45929</v>
      </c>
      <c r="N760" t="s">
        <v>1641</v>
      </c>
      <c r="O760">
        <v>0</v>
      </c>
    </row>
    <row r="761" spans="1:15">
      <c r="A761" s="6" t="s">
        <v>14</v>
      </c>
      <c r="B761" t="s">
        <v>15</v>
      </c>
      <c r="C761" t="s">
        <v>731</v>
      </c>
      <c r="D761" t="s">
        <v>732</v>
      </c>
      <c r="E761" s="1">
        <v>45929</v>
      </c>
      <c r="F761">
        <v>2</v>
      </c>
      <c r="G761">
        <v>1750</v>
      </c>
      <c r="H761">
        <v>35714</v>
      </c>
      <c r="I761">
        <v>0</v>
      </c>
      <c r="J761">
        <f t="shared" si="22"/>
        <v>35714</v>
      </c>
      <c r="K761" t="s">
        <v>1640</v>
      </c>
      <c r="L761">
        <v>1750</v>
      </c>
      <c r="M761" s="1">
        <f t="shared" si="23"/>
        <v>45929</v>
      </c>
      <c r="N761" t="s">
        <v>1641</v>
      </c>
      <c r="O761">
        <v>0</v>
      </c>
    </row>
    <row r="762" spans="1:15">
      <c r="A762" s="6" t="s">
        <v>14</v>
      </c>
      <c r="B762" t="s">
        <v>15</v>
      </c>
      <c r="C762" t="s">
        <v>733</v>
      </c>
      <c r="D762" t="s">
        <v>734</v>
      </c>
      <c r="E762" s="1">
        <v>45929</v>
      </c>
      <c r="F762">
        <v>2</v>
      </c>
      <c r="G762">
        <v>3465</v>
      </c>
      <c r="H762">
        <v>100000</v>
      </c>
      <c r="I762">
        <v>0</v>
      </c>
      <c r="J762">
        <f t="shared" si="22"/>
        <v>100000</v>
      </c>
      <c r="K762" t="s">
        <v>1640</v>
      </c>
      <c r="L762">
        <v>3465</v>
      </c>
      <c r="M762" s="1">
        <f t="shared" si="23"/>
        <v>45929</v>
      </c>
      <c r="N762" t="s">
        <v>1641</v>
      </c>
      <c r="O762">
        <v>0</v>
      </c>
    </row>
    <row r="763" spans="1:15">
      <c r="A763" s="6" t="s">
        <v>14</v>
      </c>
      <c r="B763" t="s">
        <v>15</v>
      </c>
      <c r="C763" t="s">
        <v>735</v>
      </c>
      <c r="D763" t="s">
        <v>736</v>
      </c>
      <c r="E763" s="1">
        <v>45929</v>
      </c>
      <c r="F763">
        <v>2</v>
      </c>
      <c r="G763">
        <v>3465</v>
      </c>
      <c r="H763">
        <v>100000</v>
      </c>
      <c r="I763">
        <v>0</v>
      </c>
      <c r="J763">
        <f t="shared" si="22"/>
        <v>100000</v>
      </c>
      <c r="K763" t="s">
        <v>1640</v>
      </c>
      <c r="L763">
        <v>3465</v>
      </c>
      <c r="M763" s="1">
        <f t="shared" si="23"/>
        <v>45929</v>
      </c>
      <c r="N763" t="s">
        <v>1641</v>
      </c>
      <c r="O763">
        <v>0</v>
      </c>
    </row>
    <row r="764" spans="1:15">
      <c r="A764" s="6" t="s">
        <v>14</v>
      </c>
      <c r="B764" t="s">
        <v>15</v>
      </c>
      <c r="C764" t="s">
        <v>737</v>
      </c>
      <c r="D764" t="s">
        <v>738</v>
      </c>
      <c r="E764" s="1">
        <v>45929</v>
      </c>
      <c r="F764">
        <v>2</v>
      </c>
      <c r="G764">
        <v>2745</v>
      </c>
      <c r="H764">
        <v>78544</v>
      </c>
      <c r="I764">
        <v>0</v>
      </c>
      <c r="J764">
        <f t="shared" si="22"/>
        <v>78544</v>
      </c>
      <c r="K764" t="s">
        <v>1640</v>
      </c>
      <c r="L764">
        <v>2745</v>
      </c>
      <c r="M764" s="1">
        <f t="shared" si="23"/>
        <v>45929</v>
      </c>
      <c r="N764" t="s">
        <v>1641</v>
      </c>
      <c r="O764">
        <v>0</v>
      </c>
    </row>
    <row r="765" spans="1:15">
      <c r="A765" s="6" t="s">
        <v>14</v>
      </c>
      <c r="B765" t="s">
        <v>15</v>
      </c>
      <c r="C765" t="s">
        <v>739</v>
      </c>
      <c r="D765" t="s">
        <v>740</v>
      </c>
      <c r="E765" s="1">
        <v>45929</v>
      </c>
      <c r="F765">
        <v>2</v>
      </c>
      <c r="G765">
        <v>5076</v>
      </c>
      <c r="H765">
        <v>149690</v>
      </c>
      <c r="I765">
        <v>0</v>
      </c>
      <c r="J765">
        <f t="shared" si="22"/>
        <v>149690</v>
      </c>
      <c r="K765" t="s">
        <v>1640</v>
      </c>
      <c r="L765">
        <v>5076</v>
      </c>
      <c r="M765" s="1">
        <f t="shared" si="23"/>
        <v>45929</v>
      </c>
      <c r="N765" t="s">
        <v>1641</v>
      </c>
      <c r="O765">
        <v>0</v>
      </c>
    </row>
    <row r="766" spans="1:15">
      <c r="A766" s="6" t="s">
        <v>14</v>
      </c>
      <c r="B766" t="s">
        <v>15</v>
      </c>
      <c r="C766" t="s">
        <v>741</v>
      </c>
      <c r="D766" t="s">
        <v>742</v>
      </c>
      <c r="E766" s="1">
        <v>45929</v>
      </c>
      <c r="F766">
        <v>2</v>
      </c>
      <c r="G766">
        <v>2982</v>
      </c>
      <c r="H766">
        <v>86000</v>
      </c>
      <c r="I766">
        <v>0</v>
      </c>
      <c r="J766">
        <f t="shared" si="22"/>
        <v>86000</v>
      </c>
      <c r="K766" t="s">
        <v>1640</v>
      </c>
      <c r="L766">
        <v>2982</v>
      </c>
      <c r="M766" s="1">
        <f t="shared" si="23"/>
        <v>45929</v>
      </c>
      <c r="N766" t="s">
        <v>1641</v>
      </c>
      <c r="O766">
        <v>0</v>
      </c>
    </row>
    <row r="767" spans="1:15">
      <c r="A767" s="6" t="s">
        <v>14</v>
      </c>
      <c r="B767" t="s">
        <v>15</v>
      </c>
      <c r="C767" t="s">
        <v>745</v>
      </c>
      <c r="D767" t="s">
        <v>746</v>
      </c>
      <c r="E767" s="1">
        <v>45929</v>
      </c>
      <c r="F767">
        <v>2</v>
      </c>
      <c r="G767">
        <v>2760</v>
      </c>
      <c r="H767">
        <v>83500</v>
      </c>
      <c r="I767">
        <v>0</v>
      </c>
      <c r="J767">
        <f t="shared" si="22"/>
        <v>83500</v>
      </c>
      <c r="K767" t="s">
        <v>1640</v>
      </c>
      <c r="L767">
        <v>2760</v>
      </c>
      <c r="M767" s="1">
        <f t="shared" si="23"/>
        <v>45929</v>
      </c>
      <c r="N767" t="s">
        <v>1641</v>
      </c>
      <c r="O767">
        <v>0</v>
      </c>
    </row>
    <row r="768" spans="1:15">
      <c r="A768" s="6" t="s">
        <v>14</v>
      </c>
      <c r="B768" t="s">
        <v>15</v>
      </c>
      <c r="C768" t="s">
        <v>747</v>
      </c>
      <c r="D768" t="s">
        <v>748</v>
      </c>
      <c r="E768" s="1">
        <v>45929</v>
      </c>
      <c r="F768">
        <v>2</v>
      </c>
      <c r="G768">
        <v>2610</v>
      </c>
      <c r="H768">
        <v>75000</v>
      </c>
      <c r="I768">
        <v>0</v>
      </c>
      <c r="J768">
        <f t="shared" si="22"/>
        <v>75000</v>
      </c>
      <c r="K768" t="s">
        <v>1640</v>
      </c>
      <c r="L768">
        <v>2610</v>
      </c>
      <c r="M768" s="1">
        <f t="shared" si="23"/>
        <v>45929</v>
      </c>
      <c r="N768" t="s">
        <v>1641</v>
      </c>
      <c r="O768">
        <v>0</v>
      </c>
    </row>
    <row r="769" spans="1:15">
      <c r="A769" s="6" t="s">
        <v>14</v>
      </c>
      <c r="B769" t="s">
        <v>15</v>
      </c>
      <c r="C769" t="s">
        <v>749</v>
      </c>
      <c r="D769" t="s">
        <v>750</v>
      </c>
      <c r="E769" s="1">
        <v>45929</v>
      </c>
      <c r="F769">
        <v>2</v>
      </c>
      <c r="G769">
        <v>2760</v>
      </c>
      <c r="H769">
        <v>81657</v>
      </c>
      <c r="I769">
        <v>0</v>
      </c>
      <c r="J769">
        <f t="shared" si="22"/>
        <v>81657</v>
      </c>
      <c r="K769" t="s">
        <v>1640</v>
      </c>
      <c r="L769">
        <v>2760</v>
      </c>
      <c r="M769" s="1">
        <f t="shared" si="23"/>
        <v>45929</v>
      </c>
      <c r="N769" t="s">
        <v>1641</v>
      </c>
      <c r="O769">
        <v>0</v>
      </c>
    </row>
    <row r="770" spans="1:15">
      <c r="A770" s="6" t="s">
        <v>14</v>
      </c>
      <c r="B770" t="s">
        <v>15</v>
      </c>
      <c r="C770" t="s">
        <v>751</v>
      </c>
      <c r="D770" t="s">
        <v>752</v>
      </c>
      <c r="E770" s="1">
        <v>45929</v>
      </c>
      <c r="F770">
        <v>2</v>
      </c>
      <c r="G770">
        <v>3285</v>
      </c>
      <c r="H770">
        <v>95000</v>
      </c>
      <c r="I770">
        <v>0</v>
      </c>
      <c r="J770">
        <f t="shared" si="22"/>
        <v>95000</v>
      </c>
      <c r="K770" t="s">
        <v>1640</v>
      </c>
      <c r="L770">
        <v>3285</v>
      </c>
      <c r="M770" s="1">
        <f t="shared" si="23"/>
        <v>45929</v>
      </c>
      <c r="N770" t="s">
        <v>1641</v>
      </c>
      <c r="O770">
        <v>0</v>
      </c>
    </row>
    <row r="771" spans="1:15">
      <c r="A771" s="6" t="s">
        <v>14</v>
      </c>
      <c r="B771" t="s">
        <v>15</v>
      </c>
      <c r="C771" t="s">
        <v>757</v>
      </c>
      <c r="D771" t="s">
        <v>758</v>
      </c>
      <c r="E771" s="1">
        <v>45929</v>
      </c>
      <c r="F771">
        <v>2</v>
      </c>
      <c r="G771">
        <v>4980</v>
      </c>
      <c r="H771">
        <v>143403</v>
      </c>
      <c r="I771">
        <v>0</v>
      </c>
      <c r="J771">
        <f t="shared" ref="J771:J834" si="24">H771-I771</f>
        <v>143403</v>
      </c>
      <c r="K771" t="s">
        <v>1640</v>
      </c>
      <c r="L771">
        <v>4980</v>
      </c>
      <c r="M771" s="1">
        <f t="shared" ref="M771:M834" si="25">E771</f>
        <v>45929</v>
      </c>
      <c r="N771" t="s">
        <v>1641</v>
      </c>
      <c r="O771">
        <v>0</v>
      </c>
    </row>
    <row r="772" spans="1:15">
      <c r="A772" s="6" t="s">
        <v>14</v>
      </c>
      <c r="B772" t="s">
        <v>15</v>
      </c>
      <c r="C772" t="s">
        <v>765</v>
      </c>
      <c r="D772" t="s">
        <v>766</v>
      </c>
      <c r="E772" s="1">
        <v>45929</v>
      </c>
      <c r="F772">
        <v>2</v>
      </c>
      <c r="G772">
        <v>3960</v>
      </c>
      <c r="H772">
        <v>118145</v>
      </c>
      <c r="I772">
        <v>0</v>
      </c>
      <c r="J772">
        <f t="shared" si="24"/>
        <v>118145</v>
      </c>
      <c r="K772" t="s">
        <v>1640</v>
      </c>
      <c r="L772">
        <v>3960</v>
      </c>
      <c r="M772" s="1">
        <f t="shared" si="25"/>
        <v>45929</v>
      </c>
      <c r="N772" t="s">
        <v>1641</v>
      </c>
      <c r="O772">
        <v>0</v>
      </c>
    </row>
    <row r="773" spans="1:15">
      <c r="A773" s="6" t="s">
        <v>14</v>
      </c>
      <c r="B773" t="s">
        <v>15</v>
      </c>
      <c r="C773" t="s">
        <v>769</v>
      </c>
      <c r="D773" t="s">
        <v>770</v>
      </c>
      <c r="E773" s="1">
        <v>45929</v>
      </c>
      <c r="F773">
        <v>2</v>
      </c>
      <c r="G773">
        <v>3420</v>
      </c>
      <c r="H773">
        <v>100900</v>
      </c>
      <c r="I773">
        <v>0</v>
      </c>
      <c r="J773">
        <f t="shared" si="24"/>
        <v>100900</v>
      </c>
      <c r="K773" t="s">
        <v>1640</v>
      </c>
      <c r="L773">
        <v>3420</v>
      </c>
      <c r="M773" s="1">
        <f t="shared" si="25"/>
        <v>45929</v>
      </c>
      <c r="N773" t="s">
        <v>1641</v>
      </c>
      <c r="O773">
        <v>0</v>
      </c>
    </row>
    <row r="774" spans="1:15">
      <c r="A774" s="6" t="s">
        <v>14</v>
      </c>
      <c r="B774" t="s">
        <v>15</v>
      </c>
      <c r="C774" t="s">
        <v>771</v>
      </c>
      <c r="D774" t="s">
        <v>772</v>
      </c>
      <c r="E774" s="1">
        <v>45929</v>
      </c>
      <c r="F774">
        <v>2</v>
      </c>
      <c r="G774">
        <v>5325</v>
      </c>
      <c r="H774">
        <v>158407</v>
      </c>
      <c r="I774">
        <v>0</v>
      </c>
      <c r="J774">
        <f t="shared" si="24"/>
        <v>158407</v>
      </c>
      <c r="K774" t="s">
        <v>1640</v>
      </c>
      <c r="L774">
        <v>5325</v>
      </c>
      <c r="M774" s="1">
        <f t="shared" si="25"/>
        <v>45929</v>
      </c>
      <c r="N774" t="s">
        <v>1641</v>
      </c>
      <c r="O774">
        <v>0</v>
      </c>
    </row>
    <row r="775" spans="1:15">
      <c r="A775" s="6" t="s">
        <v>14</v>
      </c>
      <c r="B775" t="s">
        <v>15</v>
      </c>
      <c r="C775" t="s">
        <v>773</v>
      </c>
      <c r="D775" t="s">
        <v>1655</v>
      </c>
      <c r="E775" s="1">
        <v>45929</v>
      </c>
      <c r="F775">
        <v>2</v>
      </c>
      <c r="G775">
        <v>1290</v>
      </c>
      <c r="H775">
        <v>22711</v>
      </c>
      <c r="I775">
        <v>0</v>
      </c>
      <c r="J775">
        <f t="shared" si="24"/>
        <v>22711</v>
      </c>
      <c r="K775" t="s">
        <v>1640</v>
      </c>
      <c r="L775">
        <v>1290</v>
      </c>
      <c r="M775" s="1">
        <f t="shared" si="25"/>
        <v>45929</v>
      </c>
      <c r="N775" t="s">
        <v>1641</v>
      </c>
      <c r="O775">
        <v>0</v>
      </c>
    </row>
    <row r="776" spans="1:15">
      <c r="A776" s="6" t="s">
        <v>14</v>
      </c>
      <c r="B776" t="s">
        <v>15</v>
      </c>
      <c r="C776" t="s">
        <v>774</v>
      </c>
      <c r="D776" t="s">
        <v>775</v>
      </c>
      <c r="E776" s="1">
        <v>45929</v>
      </c>
      <c r="F776">
        <v>2</v>
      </c>
      <c r="G776">
        <v>2664</v>
      </c>
      <c r="H776">
        <v>77000</v>
      </c>
      <c r="I776">
        <v>0</v>
      </c>
      <c r="J776">
        <f t="shared" si="24"/>
        <v>77000</v>
      </c>
      <c r="K776" t="s">
        <v>1640</v>
      </c>
      <c r="L776">
        <v>2664</v>
      </c>
      <c r="M776" s="1">
        <f t="shared" si="25"/>
        <v>45929</v>
      </c>
      <c r="N776" t="s">
        <v>1641</v>
      </c>
      <c r="O776">
        <v>0</v>
      </c>
    </row>
    <row r="777" spans="1:15">
      <c r="A777" s="6" t="s">
        <v>14</v>
      </c>
      <c r="B777" t="s">
        <v>15</v>
      </c>
      <c r="C777" t="s">
        <v>776</v>
      </c>
      <c r="D777" t="s">
        <v>777</v>
      </c>
      <c r="E777" s="1">
        <v>45929</v>
      </c>
      <c r="F777">
        <v>2</v>
      </c>
      <c r="G777">
        <v>4422.6000000000004</v>
      </c>
      <c r="H777">
        <v>125989</v>
      </c>
      <c r="I777">
        <v>0</v>
      </c>
      <c r="J777">
        <f t="shared" si="24"/>
        <v>125989</v>
      </c>
      <c r="K777" t="s">
        <v>1640</v>
      </c>
      <c r="L777">
        <v>4422.6000000000004</v>
      </c>
      <c r="M777" s="1">
        <f t="shared" si="25"/>
        <v>45929</v>
      </c>
      <c r="N777" t="s">
        <v>1641</v>
      </c>
      <c r="O777">
        <v>0</v>
      </c>
    </row>
    <row r="778" spans="1:15">
      <c r="A778" s="6" t="s">
        <v>14</v>
      </c>
      <c r="B778" t="s">
        <v>15</v>
      </c>
      <c r="C778" t="s">
        <v>778</v>
      </c>
      <c r="D778" t="s">
        <v>779</v>
      </c>
      <c r="E778" s="1">
        <v>45929</v>
      </c>
      <c r="F778">
        <v>2</v>
      </c>
      <c r="G778">
        <v>1014</v>
      </c>
      <c r="H778">
        <v>17949</v>
      </c>
      <c r="I778">
        <v>0</v>
      </c>
      <c r="J778">
        <f t="shared" si="24"/>
        <v>17949</v>
      </c>
      <c r="K778" t="s">
        <v>1640</v>
      </c>
      <c r="L778">
        <v>1014</v>
      </c>
      <c r="M778" s="1">
        <f t="shared" si="25"/>
        <v>45929</v>
      </c>
      <c r="N778" t="s">
        <v>1641</v>
      </c>
      <c r="O778">
        <v>0</v>
      </c>
    </row>
    <row r="779" spans="1:15">
      <c r="A779" s="6" t="s">
        <v>14</v>
      </c>
      <c r="B779" t="s">
        <v>15</v>
      </c>
      <c r="C779" t="s">
        <v>780</v>
      </c>
      <c r="D779" t="s">
        <v>781</v>
      </c>
      <c r="E779" s="1">
        <v>45929</v>
      </c>
      <c r="F779">
        <v>2</v>
      </c>
      <c r="G779">
        <v>4500</v>
      </c>
      <c r="H779">
        <v>106935</v>
      </c>
      <c r="I779">
        <v>0</v>
      </c>
      <c r="J779">
        <f t="shared" si="24"/>
        <v>106935</v>
      </c>
      <c r="K779" t="s">
        <v>1640</v>
      </c>
      <c r="L779">
        <v>4500</v>
      </c>
      <c r="M779" s="1">
        <f t="shared" si="25"/>
        <v>45929</v>
      </c>
      <c r="N779" t="s">
        <v>1641</v>
      </c>
      <c r="O779">
        <v>0</v>
      </c>
    </row>
    <row r="780" spans="1:15">
      <c r="A780" s="6" t="s">
        <v>14</v>
      </c>
      <c r="B780" t="s">
        <v>15</v>
      </c>
      <c r="C780" t="s">
        <v>784</v>
      </c>
      <c r="D780" t="s">
        <v>785</v>
      </c>
      <c r="E780" s="1">
        <v>45929</v>
      </c>
      <c r="F780">
        <v>2</v>
      </c>
      <c r="G780">
        <v>3953</v>
      </c>
      <c r="H780">
        <v>123000</v>
      </c>
      <c r="I780">
        <v>0</v>
      </c>
      <c r="J780">
        <f t="shared" si="24"/>
        <v>123000</v>
      </c>
      <c r="K780" t="s">
        <v>1640</v>
      </c>
      <c r="L780">
        <v>3953</v>
      </c>
      <c r="M780" s="1">
        <f t="shared" si="25"/>
        <v>45929</v>
      </c>
      <c r="N780" t="s">
        <v>1641</v>
      </c>
      <c r="O780">
        <v>0</v>
      </c>
    </row>
    <row r="781" spans="1:15">
      <c r="A781" s="6" t="s">
        <v>14</v>
      </c>
      <c r="B781" t="s">
        <v>15</v>
      </c>
      <c r="C781" t="s">
        <v>790</v>
      </c>
      <c r="D781" t="s">
        <v>791</v>
      </c>
      <c r="E781" s="1">
        <v>45929</v>
      </c>
      <c r="F781">
        <v>2</v>
      </c>
      <c r="G781">
        <v>3780</v>
      </c>
      <c r="H781">
        <v>115818</v>
      </c>
      <c r="I781">
        <v>0</v>
      </c>
      <c r="J781">
        <f t="shared" si="24"/>
        <v>115818</v>
      </c>
      <c r="K781" t="s">
        <v>1640</v>
      </c>
      <c r="L781">
        <v>3780</v>
      </c>
      <c r="M781" s="1">
        <f t="shared" si="25"/>
        <v>45929</v>
      </c>
      <c r="N781" t="s">
        <v>1641</v>
      </c>
      <c r="O781">
        <v>0</v>
      </c>
    </row>
    <row r="782" spans="1:15">
      <c r="A782" s="6" t="s">
        <v>14</v>
      </c>
      <c r="B782" t="s">
        <v>15</v>
      </c>
      <c r="C782" t="s">
        <v>794</v>
      </c>
      <c r="D782" t="s">
        <v>795</v>
      </c>
      <c r="E782" s="1">
        <v>45929</v>
      </c>
      <c r="F782">
        <v>2</v>
      </c>
      <c r="G782">
        <v>3024</v>
      </c>
      <c r="H782">
        <v>86288</v>
      </c>
      <c r="I782">
        <v>0</v>
      </c>
      <c r="J782">
        <f t="shared" si="24"/>
        <v>86288</v>
      </c>
      <c r="K782" t="s">
        <v>1640</v>
      </c>
      <c r="L782">
        <v>3024</v>
      </c>
      <c r="M782" s="1">
        <f t="shared" si="25"/>
        <v>45929</v>
      </c>
      <c r="N782" t="s">
        <v>1641</v>
      </c>
      <c r="O782">
        <v>0</v>
      </c>
    </row>
    <row r="783" spans="1:15">
      <c r="A783" s="6" t="s">
        <v>14</v>
      </c>
      <c r="B783" t="s">
        <v>15</v>
      </c>
      <c r="C783" t="s">
        <v>796</v>
      </c>
      <c r="D783" t="s">
        <v>797</v>
      </c>
      <c r="E783" s="1">
        <v>45929</v>
      </c>
      <c r="F783">
        <v>2</v>
      </c>
      <c r="G783">
        <v>2808</v>
      </c>
      <c r="H783">
        <v>80000</v>
      </c>
      <c r="I783">
        <v>0</v>
      </c>
      <c r="J783">
        <f t="shared" si="24"/>
        <v>80000</v>
      </c>
      <c r="K783" t="s">
        <v>1640</v>
      </c>
      <c r="L783">
        <v>2808</v>
      </c>
      <c r="M783" s="1">
        <f t="shared" si="25"/>
        <v>45929</v>
      </c>
      <c r="N783" t="s">
        <v>1641</v>
      </c>
      <c r="O783">
        <v>0</v>
      </c>
    </row>
    <row r="784" spans="1:15">
      <c r="A784" s="6" t="s">
        <v>14</v>
      </c>
      <c r="B784" t="s">
        <v>15</v>
      </c>
      <c r="C784" t="s">
        <v>798</v>
      </c>
      <c r="D784" t="s">
        <v>799</v>
      </c>
      <c r="E784" s="1">
        <v>45929</v>
      </c>
      <c r="F784">
        <v>2</v>
      </c>
      <c r="G784">
        <v>2205</v>
      </c>
      <c r="H784">
        <v>36744</v>
      </c>
      <c r="I784">
        <v>0</v>
      </c>
      <c r="J784">
        <f t="shared" si="24"/>
        <v>36744</v>
      </c>
      <c r="K784" t="s">
        <v>1640</v>
      </c>
      <c r="L784">
        <v>2205</v>
      </c>
      <c r="M784" s="1">
        <f t="shared" si="25"/>
        <v>45929</v>
      </c>
      <c r="N784" t="s">
        <v>1641</v>
      </c>
      <c r="O784">
        <v>0</v>
      </c>
    </row>
    <row r="785" spans="1:15">
      <c r="A785" s="6" t="s">
        <v>14</v>
      </c>
      <c r="B785" t="s">
        <v>15</v>
      </c>
      <c r="C785" t="s">
        <v>800</v>
      </c>
      <c r="D785" t="s">
        <v>801</v>
      </c>
      <c r="E785" s="1">
        <v>45929</v>
      </c>
      <c r="F785">
        <v>2</v>
      </c>
      <c r="G785">
        <v>3960</v>
      </c>
      <c r="H785">
        <v>115000</v>
      </c>
      <c r="I785">
        <v>0</v>
      </c>
      <c r="J785">
        <f t="shared" si="24"/>
        <v>115000</v>
      </c>
      <c r="K785" t="s">
        <v>1640</v>
      </c>
      <c r="L785">
        <v>3960</v>
      </c>
      <c r="M785" s="1">
        <f t="shared" si="25"/>
        <v>45929</v>
      </c>
      <c r="N785" t="s">
        <v>1641</v>
      </c>
      <c r="O785">
        <v>0</v>
      </c>
    </row>
    <row r="786" spans="1:15">
      <c r="A786" s="6" t="s">
        <v>14</v>
      </c>
      <c r="B786" t="s">
        <v>15</v>
      </c>
      <c r="C786" t="s">
        <v>802</v>
      </c>
      <c r="D786" t="s">
        <v>803</v>
      </c>
      <c r="E786" s="1">
        <v>45929</v>
      </c>
      <c r="F786">
        <v>2</v>
      </c>
      <c r="G786">
        <v>3402</v>
      </c>
      <c r="H786">
        <v>100146</v>
      </c>
      <c r="I786">
        <v>0</v>
      </c>
      <c r="J786">
        <f t="shared" si="24"/>
        <v>100146</v>
      </c>
      <c r="K786" t="s">
        <v>1640</v>
      </c>
      <c r="L786">
        <v>3402</v>
      </c>
      <c r="M786" s="1">
        <f t="shared" si="25"/>
        <v>45929</v>
      </c>
      <c r="N786" t="s">
        <v>1641</v>
      </c>
      <c r="O786">
        <v>0</v>
      </c>
    </row>
    <row r="787" spans="1:15">
      <c r="A787" s="6" t="s">
        <v>14</v>
      </c>
      <c r="B787" t="s">
        <v>15</v>
      </c>
      <c r="C787" t="s">
        <v>804</v>
      </c>
      <c r="D787" t="s">
        <v>805</v>
      </c>
      <c r="E787" s="1">
        <v>45929</v>
      </c>
      <c r="F787">
        <v>2</v>
      </c>
      <c r="G787">
        <v>2806</v>
      </c>
      <c r="H787">
        <v>88000</v>
      </c>
      <c r="I787">
        <v>0</v>
      </c>
      <c r="J787">
        <f t="shared" si="24"/>
        <v>88000</v>
      </c>
      <c r="K787" t="s">
        <v>1640</v>
      </c>
      <c r="L787">
        <v>2806</v>
      </c>
      <c r="M787" s="1">
        <f t="shared" si="25"/>
        <v>45929</v>
      </c>
      <c r="N787" t="s">
        <v>1641</v>
      </c>
      <c r="O787">
        <v>0</v>
      </c>
    </row>
    <row r="788" spans="1:15">
      <c r="A788" s="6" t="s">
        <v>14</v>
      </c>
      <c r="B788" t="s">
        <v>15</v>
      </c>
      <c r="C788" t="s">
        <v>806</v>
      </c>
      <c r="D788" t="s">
        <v>807</v>
      </c>
      <c r="E788" s="1">
        <v>45929</v>
      </c>
      <c r="F788">
        <v>2</v>
      </c>
      <c r="G788">
        <v>2250</v>
      </c>
      <c r="H788">
        <v>70000</v>
      </c>
      <c r="I788">
        <v>0</v>
      </c>
      <c r="J788">
        <f t="shared" si="24"/>
        <v>70000</v>
      </c>
      <c r="K788" t="s">
        <v>1640</v>
      </c>
      <c r="L788">
        <v>2250</v>
      </c>
      <c r="M788" s="1">
        <f t="shared" si="25"/>
        <v>45929</v>
      </c>
      <c r="N788" t="s">
        <v>1641</v>
      </c>
      <c r="O788">
        <v>0</v>
      </c>
    </row>
    <row r="789" spans="1:15">
      <c r="A789" s="6" t="s">
        <v>14</v>
      </c>
      <c r="B789" t="s">
        <v>15</v>
      </c>
      <c r="C789" t="s">
        <v>814</v>
      </c>
      <c r="D789" t="s">
        <v>815</v>
      </c>
      <c r="E789" s="1">
        <v>45929</v>
      </c>
      <c r="F789">
        <v>2</v>
      </c>
      <c r="G789">
        <v>1520</v>
      </c>
      <c r="H789">
        <v>27939</v>
      </c>
      <c r="I789">
        <v>0</v>
      </c>
      <c r="J789">
        <f t="shared" si="24"/>
        <v>27939</v>
      </c>
      <c r="K789" t="s">
        <v>1640</v>
      </c>
      <c r="L789">
        <v>1520</v>
      </c>
      <c r="M789" s="1">
        <f t="shared" si="25"/>
        <v>45929</v>
      </c>
      <c r="N789" t="s">
        <v>1641</v>
      </c>
      <c r="O789">
        <v>0</v>
      </c>
    </row>
    <row r="790" spans="1:15">
      <c r="A790" s="6" t="s">
        <v>14</v>
      </c>
      <c r="B790" t="s">
        <v>15</v>
      </c>
      <c r="C790" t="s">
        <v>816</v>
      </c>
      <c r="D790" t="s">
        <v>817</v>
      </c>
      <c r="E790" s="1">
        <v>45929</v>
      </c>
      <c r="F790">
        <v>2</v>
      </c>
      <c r="G790">
        <v>2254</v>
      </c>
      <c r="H790">
        <v>39074</v>
      </c>
      <c r="I790">
        <v>0</v>
      </c>
      <c r="J790">
        <f t="shared" si="24"/>
        <v>39074</v>
      </c>
      <c r="K790" t="s">
        <v>1640</v>
      </c>
      <c r="L790">
        <v>2254</v>
      </c>
      <c r="M790" s="1">
        <f t="shared" si="25"/>
        <v>45929</v>
      </c>
      <c r="N790" t="s">
        <v>1641</v>
      </c>
      <c r="O790">
        <v>0</v>
      </c>
    </row>
    <row r="791" spans="1:15">
      <c r="A791" s="6" t="s">
        <v>14</v>
      </c>
      <c r="B791" t="s">
        <v>15</v>
      </c>
      <c r="C791" t="s">
        <v>818</v>
      </c>
      <c r="D791" t="s">
        <v>819</v>
      </c>
      <c r="E791" s="1">
        <v>45929</v>
      </c>
      <c r="F791">
        <v>2</v>
      </c>
      <c r="G791">
        <v>1189</v>
      </c>
      <c r="H791">
        <v>21735</v>
      </c>
      <c r="I791">
        <v>0</v>
      </c>
      <c r="J791">
        <f t="shared" si="24"/>
        <v>21735</v>
      </c>
      <c r="K791" t="s">
        <v>1640</v>
      </c>
      <c r="L791">
        <v>1189</v>
      </c>
      <c r="M791" s="1">
        <f t="shared" si="25"/>
        <v>45929</v>
      </c>
      <c r="N791" t="s">
        <v>1641</v>
      </c>
      <c r="O791">
        <v>0</v>
      </c>
    </row>
    <row r="792" spans="1:15">
      <c r="A792" s="6" t="s">
        <v>14</v>
      </c>
      <c r="B792" t="s">
        <v>15</v>
      </c>
      <c r="C792" t="s">
        <v>820</v>
      </c>
      <c r="D792" t="s">
        <v>821</v>
      </c>
      <c r="E792" s="1">
        <v>45929</v>
      </c>
      <c r="F792">
        <v>2</v>
      </c>
      <c r="G792">
        <v>1920</v>
      </c>
      <c r="H792">
        <v>34750</v>
      </c>
      <c r="I792">
        <v>0</v>
      </c>
      <c r="J792">
        <f t="shared" si="24"/>
        <v>34750</v>
      </c>
      <c r="K792" t="s">
        <v>1640</v>
      </c>
      <c r="L792">
        <v>1920</v>
      </c>
      <c r="M792" s="1">
        <f t="shared" si="25"/>
        <v>45929</v>
      </c>
      <c r="N792" t="s">
        <v>1641</v>
      </c>
      <c r="O792">
        <v>0</v>
      </c>
    </row>
    <row r="793" spans="1:15">
      <c r="A793" s="6" t="s">
        <v>14</v>
      </c>
      <c r="B793" t="s">
        <v>15</v>
      </c>
      <c r="C793" t="s">
        <v>822</v>
      </c>
      <c r="D793" t="s">
        <v>823</v>
      </c>
      <c r="E793" s="1">
        <v>45929</v>
      </c>
      <c r="F793">
        <v>2</v>
      </c>
      <c r="G793">
        <v>2546</v>
      </c>
      <c r="H793">
        <v>77000</v>
      </c>
      <c r="I793">
        <v>0</v>
      </c>
      <c r="J793">
        <f t="shared" si="24"/>
        <v>77000</v>
      </c>
      <c r="K793" t="s">
        <v>1640</v>
      </c>
      <c r="L793">
        <v>2546</v>
      </c>
      <c r="M793" s="1">
        <f t="shared" si="25"/>
        <v>45929</v>
      </c>
      <c r="N793" t="s">
        <v>1641</v>
      </c>
      <c r="O793">
        <v>0</v>
      </c>
    </row>
    <row r="794" spans="1:15">
      <c r="A794" s="6" t="s">
        <v>14</v>
      </c>
      <c r="B794" t="s">
        <v>15</v>
      </c>
      <c r="C794" t="s">
        <v>824</v>
      </c>
      <c r="D794" t="s">
        <v>825</v>
      </c>
      <c r="E794" s="1">
        <v>45929</v>
      </c>
      <c r="F794">
        <v>2</v>
      </c>
      <c r="G794">
        <v>2596</v>
      </c>
      <c r="H794">
        <v>75265</v>
      </c>
      <c r="I794">
        <v>0</v>
      </c>
      <c r="J794">
        <f t="shared" si="24"/>
        <v>75265</v>
      </c>
      <c r="K794" t="s">
        <v>1640</v>
      </c>
      <c r="L794">
        <v>2596</v>
      </c>
      <c r="M794" s="1">
        <f t="shared" si="25"/>
        <v>45929</v>
      </c>
      <c r="N794" t="s">
        <v>1641</v>
      </c>
      <c r="O794">
        <v>0</v>
      </c>
    </row>
    <row r="795" spans="1:15">
      <c r="A795" s="6" t="s">
        <v>14</v>
      </c>
      <c r="B795" t="s">
        <v>15</v>
      </c>
      <c r="C795" t="s">
        <v>16</v>
      </c>
      <c r="D795" t="s">
        <v>17</v>
      </c>
      <c r="E795" s="1">
        <v>45929</v>
      </c>
      <c r="F795">
        <v>3</v>
      </c>
      <c r="G795">
        <v>5830</v>
      </c>
      <c r="H795">
        <v>97419</v>
      </c>
      <c r="I795">
        <v>0</v>
      </c>
      <c r="J795">
        <f t="shared" si="24"/>
        <v>97419</v>
      </c>
      <c r="K795" t="s">
        <v>1640</v>
      </c>
      <c r="L795">
        <v>5830</v>
      </c>
      <c r="M795" s="1">
        <f t="shared" si="25"/>
        <v>45929</v>
      </c>
      <c r="N795" t="s">
        <v>1641</v>
      </c>
      <c r="O795">
        <v>0</v>
      </c>
    </row>
    <row r="796" spans="1:15">
      <c r="A796" s="6" t="s">
        <v>14</v>
      </c>
      <c r="B796" t="s">
        <v>15</v>
      </c>
      <c r="C796" t="s">
        <v>20</v>
      </c>
      <c r="D796" t="s">
        <v>21</v>
      </c>
      <c r="E796" s="1">
        <v>45929</v>
      </c>
      <c r="F796">
        <v>3</v>
      </c>
      <c r="G796">
        <v>0</v>
      </c>
      <c r="H796">
        <v>94060</v>
      </c>
      <c r="I796">
        <v>0</v>
      </c>
      <c r="J796">
        <f t="shared" si="24"/>
        <v>94060</v>
      </c>
      <c r="K796" t="s">
        <v>1640</v>
      </c>
      <c r="L796">
        <v>0</v>
      </c>
      <c r="M796" s="1">
        <f t="shared" si="25"/>
        <v>45929</v>
      </c>
      <c r="N796" t="s">
        <v>1641</v>
      </c>
      <c r="O796">
        <v>0</v>
      </c>
    </row>
    <row r="797" spans="1:15">
      <c r="A797" s="6" t="s">
        <v>14</v>
      </c>
      <c r="B797" t="s">
        <v>15</v>
      </c>
      <c r="C797" t="s">
        <v>24</v>
      </c>
      <c r="D797" t="s">
        <v>25</v>
      </c>
      <c r="E797" s="1">
        <v>45929</v>
      </c>
      <c r="F797">
        <v>3</v>
      </c>
      <c r="G797">
        <v>0</v>
      </c>
      <c r="H797">
        <v>92990</v>
      </c>
      <c r="I797">
        <v>0</v>
      </c>
      <c r="J797">
        <f t="shared" si="24"/>
        <v>92990</v>
      </c>
      <c r="K797" t="s">
        <v>1640</v>
      </c>
      <c r="L797">
        <v>0</v>
      </c>
      <c r="M797" s="1">
        <f t="shared" si="25"/>
        <v>45929</v>
      </c>
      <c r="N797" t="s">
        <v>1641</v>
      </c>
      <c r="O797">
        <v>0</v>
      </c>
    </row>
    <row r="798" spans="1:15">
      <c r="A798" s="6" t="s">
        <v>14</v>
      </c>
      <c r="B798" t="s">
        <v>15</v>
      </c>
      <c r="C798" t="s">
        <v>26</v>
      </c>
      <c r="D798" t="s">
        <v>27</v>
      </c>
      <c r="E798" s="1">
        <v>45929</v>
      </c>
      <c r="F798">
        <v>3</v>
      </c>
      <c r="G798">
        <v>2314</v>
      </c>
      <c r="H798">
        <v>61372</v>
      </c>
      <c r="I798">
        <v>0</v>
      </c>
      <c r="J798">
        <f t="shared" si="24"/>
        <v>61372</v>
      </c>
      <c r="K798" t="s">
        <v>1640</v>
      </c>
      <c r="L798">
        <v>2314</v>
      </c>
      <c r="M798" s="1">
        <f t="shared" si="25"/>
        <v>45929</v>
      </c>
      <c r="N798" t="s">
        <v>1641</v>
      </c>
      <c r="O798">
        <v>0</v>
      </c>
    </row>
    <row r="799" spans="1:15">
      <c r="A799" s="6" t="s">
        <v>14</v>
      </c>
      <c r="B799" t="s">
        <v>15</v>
      </c>
      <c r="C799" t="s">
        <v>34</v>
      </c>
      <c r="D799" t="s">
        <v>35</v>
      </c>
      <c r="E799" s="1">
        <v>45929</v>
      </c>
      <c r="F799">
        <v>3</v>
      </c>
      <c r="G799">
        <v>3709.8</v>
      </c>
      <c r="H799">
        <v>109806</v>
      </c>
      <c r="I799">
        <v>0</v>
      </c>
      <c r="J799">
        <f t="shared" si="24"/>
        <v>109806</v>
      </c>
      <c r="K799" t="s">
        <v>1640</v>
      </c>
      <c r="L799">
        <v>3709.8</v>
      </c>
      <c r="M799" s="1">
        <f t="shared" si="25"/>
        <v>45929</v>
      </c>
      <c r="N799" t="s">
        <v>1641</v>
      </c>
      <c r="O799">
        <v>0</v>
      </c>
    </row>
    <row r="800" spans="1:15">
      <c r="A800" s="6" t="s">
        <v>14</v>
      </c>
      <c r="B800" t="s">
        <v>15</v>
      </c>
      <c r="C800" t="s">
        <v>38</v>
      </c>
      <c r="D800" t="s">
        <v>39</v>
      </c>
      <c r="E800" s="1">
        <v>45929</v>
      </c>
      <c r="F800">
        <v>3</v>
      </c>
      <c r="G800">
        <v>1840</v>
      </c>
      <c r="H800">
        <v>55000</v>
      </c>
      <c r="I800">
        <v>0</v>
      </c>
      <c r="J800">
        <f t="shared" si="24"/>
        <v>55000</v>
      </c>
      <c r="K800" t="s">
        <v>1640</v>
      </c>
      <c r="L800">
        <v>1840</v>
      </c>
      <c r="M800" s="1">
        <f t="shared" si="25"/>
        <v>45929</v>
      </c>
      <c r="N800" t="s">
        <v>1641</v>
      </c>
      <c r="O800">
        <v>0</v>
      </c>
    </row>
    <row r="801" spans="1:15">
      <c r="A801" s="6" t="s">
        <v>14</v>
      </c>
      <c r="B801" t="s">
        <v>15</v>
      </c>
      <c r="C801" t="s">
        <v>40</v>
      </c>
      <c r="D801" t="s">
        <v>41</v>
      </c>
      <c r="E801" s="1">
        <v>45929</v>
      </c>
      <c r="F801">
        <v>3</v>
      </c>
      <c r="G801">
        <v>1840</v>
      </c>
      <c r="H801">
        <v>55000</v>
      </c>
      <c r="I801">
        <v>0</v>
      </c>
      <c r="J801">
        <f t="shared" si="24"/>
        <v>55000</v>
      </c>
      <c r="K801" t="s">
        <v>1640</v>
      </c>
      <c r="L801">
        <v>1840</v>
      </c>
      <c r="M801" s="1">
        <f t="shared" si="25"/>
        <v>45929</v>
      </c>
      <c r="N801" t="s">
        <v>1641</v>
      </c>
      <c r="O801">
        <v>0</v>
      </c>
    </row>
    <row r="802" spans="1:15">
      <c r="A802" s="6" t="s">
        <v>14</v>
      </c>
      <c r="B802" t="s">
        <v>15</v>
      </c>
      <c r="C802" t="s">
        <v>42</v>
      </c>
      <c r="D802" t="s">
        <v>43</v>
      </c>
      <c r="E802" s="1">
        <v>45929</v>
      </c>
      <c r="F802">
        <v>3</v>
      </c>
      <c r="G802">
        <v>2000</v>
      </c>
      <c r="H802">
        <v>55000</v>
      </c>
      <c r="I802">
        <v>0</v>
      </c>
      <c r="J802">
        <f t="shared" si="24"/>
        <v>55000</v>
      </c>
      <c r="K802" t="s">
        <v>1640</v>
      </c>
      <c r="L802">
        <v>2000</v>
      </c>
      <c r="M802" s="1">
        <f t="shared" si="25"/>
        <v>45929</v>
      </c>
      <c r="N802" t="s">
        <v>1641</v>
      </c>
      <c r="O802">
        <v>0</v>
      </c>
    </row>
    <row r="803" spans="1:15">
      <c r="A803" s="6" t="s">
        <v>14</v>
      </c>
      <c r="B803" t="s">
        <v>15</v>
      </c>
      <c r="C803" t="s">
        <v>44</v>
      </c>
      <c r="D803" t="s">
        <v>45</v>
      </c>
      <c r="E803" s="1">
        <v>45929</v>
      </c>
      <c r="F803">
        <v>3</v>
      </c>
      <c r="G803">
        <v>1456</v>
      </c>
      <c r="H803">
        <v>43600</v>
      </c>
      <c r="I803">
        <v>0</v>
      </c>
      <c r="J803">
        <f t="shared" si="24"/>
        <v>43600</v>
      </c>
      <c r="K803" t="s">
        <v>1640</v>
      </c>
      <c r="L803">
        <v>1456</v>
      </c>
      <c r="M803" s="1">
        <f t="shared" si="25"/>
        <v>45929</v>
      </c>
      <c r="N803" t="s">
        <v>1641</v>
      </c>
      <c r="O803">
        <v>0</v>
      </c>
    </row>
    <row r="804" spans="1:15">
      <c r="A804" s="6" t="s">
        <v>14</v>
      </c>
      <c r="B804" t="s">
        <v>15</v>
      </c>
      <c r="C804" t="s">
        <v>53</v>
      </c>
      <c r="D804" t="s">
        <v>54</v>
      </c>
      <c r="E804" s="1">
        <v>45929</v>
      </c>
      <c r="F804">
        <v>3</v>
      </c>
      <c r="G804">
        <v>3471</v>
      </c>
      <c r="H804">
        <v>103759</v>
      </c>
      <c r="I804">
        <v>0</v>
      </c>
      <c r="J804">
        <f t="shared" si="24"/>
        <v>103759</v>
      </c>
      <c r="K804" t="s">
        <v>1640</v>
      </c>
      <c r="L804">
        <v>3471</v>
      </c>
      <c r="M804" s="1">
        <f t="shared" si="25"/>
        <v>45929</v>
      </c>
      <c r="N804" t="s">
        <v>1641</v>
      </c>
      <c r="O804">
        <v>0</v>
      </c>
    </row>
    <row r="805" spans="1:15">
      <c r="A805" s="6" t="s">
        <v>14</v>
      </c>
      <c r="B805" t="s">
        <v>15</v>
      </c>
      <c r="C805" t="s">
        <v>55</v>
      </c>
      <c r="D805" t="s">
        <v>56</v>
      </c>
      <c r="E805" s="1">
        <v>45929</v>
      </c>
      <c r="F805">
        <v>3</v>
      </c>
      <c r="G805">
        <v>3045</v>
      </c>
      <c r="H805">
        <v>90955</v>
      </c>
      <c r="I805">
        <v>0</v>
      </c>
      <c r="J805">
        <f t="shared" si="24"/>
        <v>90955</v>
      </c>
      <c r="K805" t="s">
        <v>1640</v>
      </c>
      <c r="L805">
        <v>3045</v>
      </c>
      <c r="M805" s="1">
        <f t="shared" si="25"/>
        <v>45929</v>
      </c>
      <c r="N805" t="s">
        <v>1641</v>
      </c>
      <c r="O805">
        <v>0</v>
      </c>
    </row>
    <row r="806" spans="1:15">
      <c r="A806" s="6" t="s">
        <v>14</v>
      </c>
      <c r="B806" t="s">
        <v>15</v>
      </c>
      <c r="C806" t="s">
        <v>57</v>
      </c>
      <c r="D806" t="s">
        <v>58</v>
      </c>
      <c r="E806" s="1">
        <v>45929</v>
      </c>
      <c r="F806">
        <v>3</v>
      </c>
      <c r="G806">
        <v>5400</v>
      </c>
      <c r="H806">
        <v>160000</v>
      </c>
      <c r="I806">
        <v>0</v>
      </c>
      <c r="J806">
        <f t="shared" si="24"/>
        <v>160000</v>
      </c>
      <c r="K806" t="s">
        <v>1640</v>
      </c>
      <c r="L806">
        <v>5400</v>
      </c>
      <c r="M806" s="1">
        <f t="shared" si="25"/>
        <v>45929</v>
      </c>
      <c r="N806" t="s">
        <v>1641</v>
      </c>
      <c r="O806">
        <v>0</v>
      </c>
    </row>
    <row r="807" spans="1:15">
      <c r="A807" s="6" t="s">
        <v>14</v>
      </c>
      <c r="B807" t="s">
        <v>15</v>
      </c>
      <c r="C807" t="s">
        <v>61</v>
      </c>
      <c r="D807" t="s">
        <v>62</v>
      </c>
      <c r="E807" s="1">
        <v>45929</v>
      </c>
      <c r="F807">
        <v>3</v>
      </c>
      <c r="G807">
        <v>2992</v>
      </c>
      <c r="H807">
        <v>93250</v>
      </c>
      <c r="I807">
        <v>0</v>
      </c>
      <c r="J807">
        <f t="shared" si="24"/>
        <v>93250</v>
      </c>
      <c r="K807" t="s">
        <v>1640</v>
      </c>
      <c r="L807">
        <v>2992</v>
      </c>
      <c r="M807" s="1">
        <f t="shared" si="25"/>
        <v>45929</v>
      </c>
      <c r="N807" t="s">
        <v>1641</v>
      </c>
      <c r="O807">
        <v>0</v>
      </c>
    </row>
    <row r="808" spans="1:15">
      <c r="A808" s="6" t="s">
        <v>14</v>
      </c>
      <c r="B808" t="s">
        <v>15</v>
      </c>
      <c r="C808" t="s">
        <v>63</v>
      </c>
      <c r="D808" t="s">
        <v>64</v>
      </c>
      <c r="E808" s="1">
        <v>45929</v>
      </c>
      <c r="F808">
        <v>3</v>
      </c>
      <c r="G808">
        <v>4200</v>
      </c>
      <c r="H808">
        <v>76400</v>
      </c>
      <c r="I808">
        <v>0</v>
      </c>
      <c r="J808">
        <f t="shared" si="24"/>
        <v>76400</v>
      </c>
      <c r="K808" t="s">
        <v>1640</v>
      </c>
      <c r="L808">
        <v>4200</v>
      </c>
      <c r="M808" s="1">
        <f t="shared" si="25"/>
        <v>45929</v>
      </c>
      <c r="N808" t="s">
        <v>1641</v>
      </c>
      <c r="O808">
        <v>0</v>
      </c>
    </row>
    <row r="809" spans="1:15">
      <c r="A809" s="6" t="s">
        <v>14</v>
      </c>
      <c r="B809" t="s">
        <v>15</v>
      </c>
      <c r="C809" t="s">
        <v>65</v>
      </c>
      <c r="D809" t="s">
        <v>66</v>
      </c>
      <c r="E809" s="1">
        <v>45929</v>
      </c>
      <c r="F809">
        <v>3</v>
      </c>
      <c r="G809">
        <v>3800</v>
      </c>
      <c r="H809">
        <v>106200</v>
      </c>
      <c r="I809">
        <v>0</v>
      </c>
      <c r="J809">
        <f t="shared" si="24"/>
        <v>106200</v>
      </c>
      <c r="K809" t="s">
        <v>1640</v>
      </c>
      <c r="L809">
        <v>3800</v>
      </c>
      <c r="M809" s="1">
        <f t="shared" si="25"/>
        <v>45929</v>
      </c>
      <c r="N809" t="s">
        <v>1641</v>
      </c>
      <c r="O809">
        <v>0</v>
      </c>
    </row>
    <row r="810" spans="1:15">
      <c r="A810" s="6" t="s">
        <v>14</v>
      </c>
      <c r="B810" t="s">
        <v>15</v>
      </c>
      <c r="C810" t="s">
        <v>67</v>
      </c>
      <c r="D810" t="s">
        <v>68</v>
      </c>
      <c r="E810" s="1">
        <v>45929</v>
      </c>
      <c r="F810">
        <v>3</v>
      </c>
      <c r="G810">
        <v>4089</v>
      </c>
      <c r="H810">
        <v>120631</v>
      </c>
      <c r="I810">
        <v>0</v>
      </c>
      <c r="J810">
        <f t="shared" si="24"/>
        <v>120631</v>
      </c>
      <c r="K810" t="s">
        <v>1640</v>
      </c>
      <c r="L810">
        <v>4089</v>
      </c>
      <c r="M810" s="1">
        <f t="shared" si="25"/>
        <v>45929</v>
      </c>
      <c r="N810" t="s">
        <v>1641</v>
      </c>
      <c r="O810">
        <v>0</v>
      </c>
    </row>
    <row r="811" spans="1:15">
      <c r="A811" s="6" t="s">
        <v>14</v>
      </c>
      <c r="B811" t="s">
        <v>15</v>
      </c>
      <c r="C811" t="s">
        <v>69</v>
      </c>
      <c r="D811" t="s">
        <v>70</v>
      </c>
      <c r="E811" s="1">
        <v>45929</v>
      </c>
      <c r="F811">
        <v>3</v>
      </c>
      <c r="G811">
        <v>2800</v>
      </c>
      <c r="H811">
        <v>95231</v>
      </c>
      <c r="I811">
        <v>0</v>
      </c>
      <c r="J811">
        <f t="shared" si="24"/>
        <v>95231</v>
      </c>
      <c r="K811" t="s">
        <v>1640</v>
      </c>
      <c r="L811">
        <v>2800</v>
      </c>
      <c r="M811" s="1">
        <f t="shared" si="25"/>
        <v>45929</v>
      </c>
      <c r="N811" t="s">
        <v>1641</v>
      </c>
      <c r="O811">
        <v>0</v>
      </c>
    </row>
    <row r="812" spans="1:15">
      <c r="A812" s="6" t="s">
        <v>14</v>
      </c>
      <c r="B812" t="s">
        <v>15</v>
      </c>
      <c r="C812" t="s">
        <v>71</v>
      </c>
      <c r="D812" t="s">
        <v>72</v>
      </c>
      <c r="E812" s="1">
        <v>45929</v>
      </c>
      <c r="F812">
        <v>3</v>
      </c>
      <c r="G812">
        <v>2415</v>
      </c>
      <c r="H812">
        <v>74625</v>
      </c>
      <c r="I812">
        <v>0</v>
      </c>
      <c r="J812">
        <f t="shared" si="24"/>
        <v>74625</v>
      </c>
      <c r="K812" t="s">
        <v>1640</v>
      </c>
      <c r="L812">
        <v>2415</v>
      </c>
      <c r="M812" s="1">
        <f t="shared" si="25"/>
        <v>45929</v>
      </c>
      <c r="N812" t="s">
        <v>1641</v>
      </c>
      <c r="O812">
        <v>0</v>
      </c>
    </row>
    <row r="813" spans="1:15">
      <c r="A813" s="6" t="s">
        <v>14</v>
      </c>
      <c r="B813" t="s">
        <v>15</v>
      </c>
      <c r="C813" t="s">
        <v>73</v>
      </c>
      <c r="D813" t="s">
        <v>74</v>
      </c>
      <c r="E813" s="1">
        <v>45929</v>
      </c>
      <c r="F813">
        <v>3</v>
      </c>
      <c r="G813">
        <v>2400</v>
      </c>
      <c r="H813">
        <v>73000</v>
      </c>
      <c r="I813">
        <v>0</v>
      </c>
      <c r="J813">
        <f t="shared" si="24"/>
        <v>73000</v>
      </c>
      <c r="K813" t="s">
        <v>1640</v>
      </c>
      <c r="L813">
        <v>2400</v>
      </c>
      <c r="M813" s="1">
        <f t="shared" si="25"/>
        <v>45929</v>
      </c>
      <c r="N813" t="s">
        <v>1641</v>
      </c>
      <c r="O813">
        <v>0</v>
      </c>
    </row>
    <row r="814" spans="1:15">
      <c r="A814" s="6" t="s">
        <v>14</v>
      </c>
      <c r="B814" t="s">
        <v>15</v>
      </c>
      <c r="C814" t="s">
        <v>75</v>
      </c>
      <c r="D814" t="s">
        <v>76</v>
      </c>
      <c r="E814" s="1">
        <v>45929</v>
      </c>
      <c r="F814">
        <v>3</v>
      </c>
      <c r="G814">
        <v>4108</v>
      </c>
      <c r="H814">
        <v>75868</v>
      </c>
      <c r="I814">
        <v>0</v>
      </c>
      <c r="J814">
        <f t="shared" si="24"/>
        <v>75868</v>
      </c>
      <c r="K814" t="s">
        <v>1640</v>
      </c>
      <c r="L814">
        <v>4108</v>
      </c>
      <c r="M814" s="1">
        <f t="shared" si="25"/>
        <v>45929</v>
      </c>
      <c r="N814" t="s">
        <v>1641</v>
      </c>
      <c r="O814">
        <v>0</v>
      </c>
    </row>
    <row r="815" spans="1:15">
      <c r="A815" s="6" t="s">
        <v>14</v>
      </c>
      <c r="B815" t="s">
        <v>15</v>
      </c>
      <c r="C815" t="s">
        <v>77</v>
      </c>
      <c r="D815" t="s">
        <v>78</v>
      </c>
      <c r="E815" s="1">
        <v>45929</v>
      </c>
      <c r="F815">
        <v>3</v>
      </c>
      <c r="G815">
        <v>4165</v>
      </c>
      <c r="H815">
        <v>78585</v>
      </c>
      <c r="I815">
        <v>0</v>
      </c>
      <c r="J815">
        <f t="shared" si="24"/>
        <v>78585</v>
      </c>
      <c r="K815" t="s">
        <v>1640</v>
      </c>
      <c r="L815">
        <v>4165</v>
      </c>
      <c r="M815" s="1">
        <f t="shared" si="25"/>
        <v>45929</v>
      </c>
      <c r="N815" t="s">
        <v>1641</v>
      </c>
      <c r="O815">
        <v>0</v>
      </c>
    </row>
    <row r="816" spans="1:15">
      <c r="A816" s="6" t="s">
        <v>14</v>
      </c>
      <c r="B816" t="s">
        <v>15</v>
      </c>
      <c r="C816" t="s">
        <v>79</v>
      </c>
      <c r="D816" t="s">
        <v>80</v>
      </c>
      <c r="E816" s="1">
        <v>45929</v>
      </c>
      <c r="F816">
        <v>3</v>
      </c>
      <c r="G816">
        <v>4134</v>
      </c>
      <c r="H816">
        <v>78000</v>
      </c>
      <c r="I816">
        <v>0</v>
      </c>
      <c r="J816">
        <f t="shared" si="24"/>
        <v>78000</v>
      </c>
      <c r="K816" t="s">
        <v>1640</v>
      </c>
      <c r="L816">
        <v>4134</v>
      </c>
      <c r="M816" s="1">
        <f t="shared" si="25"/>
        <v>45929</v>
      </c>
      <c r="N816" t="s">
        <v>1641</v>
      </c>
      <c r="O816">
        <v>0</v>
      </c>
    </row>
    <row r="817" spans="1:15">
      <c r="A817" s="6" t="s">
        <v>14</v>
      </c>
      <c r="B817" t="s">
        <v>15</v>
      </c>
      <c r="C817" t="s">
        <v>81</v>
      </c>
      <c r="D817" t="s">
        <v>82</v>
      </c>
      <c r="E817" s="1">
        <v>45929</v>
      </c>
      <c r="F817">
        <v>3</v>
      </c>
      <c r="G817">
        <v>4732</v>
      </c>
      <c r="H817">
        <v>88947</v>
      </c>
      <c r="I817">
        <v>0</v>
      </c>
      <c r="J817">
        <f t="shared" si="24"/>
        <v>88947</v>
      </c>
      <c r="K817" t="s">
        <v>1640</v>
      </c>
      <c r="L817">
        <v>4732</v>
      </c>
      <c r="M817" s="1">
        <f t="shared" si="25"/>
        <v>45929</v>
      </c>
      <c r="N817" t="s">
        <v>1641</v>
      </c>
      <c r="O817">
        <v>0</v>
      </c>
    </row>
    <row r="818" spans="1:15">
      <c r="A818" s="6" t="s">
        <v>14</v>
      </c>
      <c r="B818" t="s">
        <v>15</v>
      </c>
      <c r="C818" t="s">
        <v>83</v>
      </c>
      <c r="D818" t="s">
        <v>84</v>
      </c>
      <c r="E818" s="1">
        <v>45929</v>
      </c>
      <c r="F818">
        <v>3</v>
      </c>
      <c r="G818">
        <v>2970</v>
      </c>
      <c r="H818">
        <v>92789</v>
      </c>
      <c r="I818">
        <v>0</v>
      </c>
      <c r="J818">
        <f t="shared" si="24"/>
        <v>92789</v>
      </c>
      <c r="K818" t="s">
        <v>1640</v>
      </c>
      <c r="L818">
        <v>2970</v>
      </c>
      <c r="M818" s="1">
        <f t="shared" si="25"/>
        <v>45929</v>
      </c>
      <c r="N818" t="s">
        <v>1641</v>
      </c>
      <c r="O818">
        <v>0</v>
      </c>
    </row>
    <row r="819" spans="1:15">
      <c r="A819" s="6" t="s">
        <v>14</v>
      </c>
      <c r="B819" t="s">
        <v>15</v>
      </c>
      <c r="C819" t="s">
        <v>85</v>
      </c>
      <c r="D819" t="s">
        <v>86</v>
      </c>
      <c r="E819" s="1">
        <v>45929</v>
      </c>
      <c r="F819">
        <v>3</v>
      </c>
      <c r="G819">
        <v>2970</v>
      </c>
      <c r="H819">
        <v>88849</v>
      </c>
      <c r="I819">
        <v>0</v>
      </c>
      <c r="J819">
        <f t="shared" si="24"/>
        <v>88849</v>
      </c>
      <c r="K819" t="s">
        <v>1640</v>
      </c>
      <c r="L819">
        <v>2970</v>
      </c>
      <c r="M819" s="1">
        <f t="shared" si="25"/>
        <v>45929</v>
      </c>
      <c r="N819" t="s">
        <v>1641</v>
      </c>
      <c r="O819">
        <v>0</v>
      </c>
    </row>
    <row r="820" spans="1:15">
      <c r="A820" s="6" t="s">
        <v>14</v>
      </c>
      <c r="B820" t="s">
        <v>15</v>
      </c>
      <c r="C820" t="s">
        <v>87</v>
      </c>
      <c r="D820" t="s">
        <v>88</v>
      </c>
      <c r="E820" s="1">
        <v>45929</v>
      </c>
      <c r="F820">
        <v>3</v>
      </c>
      <c r="G820">
        <v>2464</v>
      </c>
      <c r="H820">
        <v>76000</v>
      </c>
      <c r="I820">
        <v>0</v>
      </c>
      <c r="J820">
        <f t="shared" si="24"/>
        <v>76000</v>
      </c>
      <c r="K820" t="s">
        <v>1640</v>
      </c>
      <c r="L820">
        <v>2464</v>
      </c>
      <c r="M820" s="1">
        <f t="shared" si="25"/>
        <v>45929</v>
      </c>
      <c r="N820" t="s">
        <v>1641</v>
      </c>
      <c r="O820">
        <v>0</v>
      </c>
    </row>
    <row r="821" spans="1:15">
      <c r="A821" s="6" t="s">
        <v>14</v>
      </c>
      <c r="B821" t="s">
        <v>15</v>
      </c>
      <c r="C821" t="s">
        <v>89</v>
      </c>
      <c r="D821" t="s">
        <v>90</v>
      </c>
      <c r="E821" s="1">
        <v>45929</v>
      </c>
      <c r="F821">
        <v>3</v>
      </c>
      <c r="G821">
        <v>2900</v>
      </c>
      <c r="H821">
        <v>86585</v>
      </c>
      <c r="I821">
        <v>0</v>
      </c>
      <c r="J821">
        <f t="shared" si="24"/>
        <v>86585</v>
      </c>
      <c r="K821" t="s">
        <v>1640</v>
      </c>
      <c r="L821">
        <v>2900</v>
      </c>
      <c r="M821" s="1">
        <f t="shared" si="25"/>
        <v>45929</v>
      </c>
      <c r="N821" t="s">
        <v>1641</v>
      </c>
      <c r="O821">
        <v>0</v>
      </c>
    </row>
    <row r="822" spans="1:15">
      <c r="A822" s="6" t="s">
        <v>14</v>
      </c>
      <c r="B822" t="s">
        <v>15</v>
      </c>
      <c r="C822" t="s">
        <v>91</v>
      </c>
      <c r="D822" t="s">
        <v>92</v>
      </c>
      <c r="E822" s="1">
        <v>45929</v>
      </c>
      <c r="F822">
        <v>3</v>
      </c>
      <c r="G822">
        <v>2475</v>
      </c>
      <c r="H822">
        <v>73000</v>
      </c>
      <c r="I822">
        <v>0</v>
      </c>
      <c r="J822">
        <f t="shared" si="24"/>
        <v>73000</v>
      </c>
      <c r="K822" t="s">
        <v>1640</v>
      </c>
      <c r="L822">
        <v>2475</v>
      </c>
      <c r="M822" s="1">
        <f t="shared" si="25"/>
        <v>45929</v>
      </c>
      <c r="N822" t="s">
        <v>1641</v>
      </c>
      <c r="O822">
        <v>0</v>
      </c>
    </row>
    <row r="823" spans="1:15">
      <c r="A823" s="6" t="s">
        <v>14</v>
      </c>
      <c r="B823" t="s">
        <v>15</v>
      </c>
      <c r="C823" t="s">
        <v>93</v>
      </c>
      <c r="D823" t="s">
        <v>94</v>
      </c>
      <c r="E823" s="1">
        <v>45929</v>
      </c>
      <c r="F823">
        <v>3</v>
      </c>
      <c r="G823">
        <v>2700</v>
      </c>
      <c r="H823">
        <v>80000</v>
      </c>
      <c r="I823">
        <v>0</v>
      </c>
      <c r="J823">
        <f t="shared" si="24"/>
        <v>80000</v>
      </c>
      <c r="K823" t="s">
        <v>1640</v>
      </c>
      <c r="L823">
        <v>2700</v>
      </c>
      <c r="M823" s="1">
        <f t="shared" si="25"/>
        <v>45929</v>
      </c>
      <c r="N823" t="s">
        <v>1641</v>
      </c>
      <c r="O823">
        <v>0</v>
      </c>
    </row>
    <row r="824" spans="1:15">
      <c r="A824" s="6" t="s">
        <v>14</v>
      </c>
      <c r="B824" t="s">
        <v>15</v>
      </c>
      <c r="C824" t="s">
        <v>95</v>
      </c>
      <c r="D824" t="s">
        <v>1643</v>
      </c>
      <c r="E824" s="1">
        <v>45929</v>
      </c>
      <c r="F824">
        <v>3</v>
      </c>
      <c r="G824">
        <v>2700</v>
      </c>
      <c r="H824">
        <v>80000</v>
      </c>
      <c r="I824">
        <v>0</v>
      </c>
      <c r="J824">
        <f t="shared" si="24"/>
        <v>80000</v>
      </c>
      <c r="K824" t="s">
        <v>1640</v>
      </c>
      <c r="L824">
        <v>2700</v>
      </c>
      <c r="M824" s="1">
        <f t="shared" si="25"/>
        <v>45929</v>
      </c>
      <c r="N824" t="s">
        <v>1641</v>
      </c>
      <c r="O824">
        <v>0</v>
      </c>
    </row>
    <row r="825" spans="1:15">
      <c r="A825" s="6" t="s">
        <v>14</v>
      </c>
      <c r="B825" t="s">
        <v>15</v>
      </c>
      <c r="C825" t="s">
        <v>96</v>
      </c>
      <c r="D825" t="s">
        <v>97</v>
      </c>
      <c r="E825" s="1">
        <v>45929</v>
      </c>
      <c r="F825">
        <v>3</v>
      </c>
      <c r="G825">
        <v>5740</v>
      </c>
      <c r="H825">
        <v>105000</v>
      </c>
      <c r="I825">
        <v>0</v>
      </c>
      <c r="J825">
        <f t="shared" si="24"/>
        <v>105000</v>
      </c>
      <c r="K825" t="s">
        <v>1640</v>
      </c>
      <c r="L825">
        <v>5740</v>
      </c>
      <c r="M825" s="1">
        <f t="shared" si="25"/>
        <v>45929</v>
      </c>
      <c r="N825" t="s">
        <v>1641</v>
      </c>
      <c r="O825">
        <v>0</v>
      </c>
    </row>
    <row r="826" spans="1:15">
      <c r="A826" s="6" t="s">
        <v>14</v>
      </c>
      <c r="B826" t="s">
        <v>15</v>
      </c>
      <c r="C826" t="s">
        <v>98</v>
      </c>
      <c r="D826" t="s">
        <v>99</v>
      </c>
      <c r="E826" s="1">
        <v>45929</v>
      </c>
      <c r="F826">
        <v>3</v>
      </c>
      <c r="G826">
        <v>5214</v>
      </c>
      <c r="H826">
        <v>95275</v>
      </c>
      <c r="I826">
        <v>0</v>
      </c>
      <c r="J826">
        <f t="shared" si="24"/>
        <v>95275</v>
      </c>
      <c r="K826" t="s">
        <v>1640</v>
      </c>
      <c r="L826">
        <v>5214</v>
      </c>
      <c r="M826" s="1">
        <f t="shared" si="25"/>
        <v>45929</v>
      </c>
      <c r="N826" t="s">
        <v>1641</v>
      </c>
      <c r="O826">
        <v>0</v>
      </c>
    </row>
    <row r="827" spans="1:15">
      <c r="A827" s="6" t="s">
        <v>14</v>
      </c>
      <c r="B827" t="s">
        <v>15</v>
      </c>
      <c r="C827" t="s">
        <v>100</v>
      </c>
      <c r="D827" t="s">
        <v>101</v>
      </c>
      <c r="E827" s="1">
        <v>45929</v>
      </c>
      <c r="F827">
        <v>3</v>
      </c>
      <c r="G827">
        <v>3116</v>
      </c>
      <c r="H827">
        <v>92555</v>
      </c>
      <c r="I827">
        <v>0</v>
      </c>
      <c r="J827">
        <f t="shared" si="24"/>
        <v>92555</v>
      </c>
      <c r="K827" t="s">
        <v>1640</v>
      </c>
      <c r="L827">
        <v>3116</v>
      </c>
      <c r="M827" s="1">
        <f t="shared" si="25"/>
        <v>45929</v>
      </c>
      <c r="N827" t="s">
        <v>1641</v>
      </c>
      <c r="O827">
        <v>0</v>
      </c>
    </row>
    <row r="828" spans="1:15">
      <c r="A828" s="6" t="s">
        <v>14</v>
      </c>
      <c r="B828" t="s">
        <v>15</v>
      </c>
      <c r="C828" t="s">
        <v>102</v>
      </c>
      <c r="D828" t="s">
        <v>103</v>
      </c>
      <c r="E828" s="1">
        <v>45929</v>
      </c>
      <c r="F828">
        <v>3</v>
      </c>
      <c r="G828">
        <v>5460</v>
      </c>
      <c r="H828">
        <v>100000</v>
      </c>
      <c r="I828">
        <v>0</v>
      </c>
      <c r="J828">
        <f t="shared" si="24"/>
        <v>100000</v>
      </c>
      <c r="K828" t="s">
        <v>1640</v>
      </c>
      <c r="L828">
        <v>5460</v>
      </c>
      <c r="M828" s="1">
        <f t="shared" si="25"/>
        <v>45929</v>
      </c>
      <c r="N828" t="s">
        <v>1641</v>
      </c>
      <c r="O828">
        <v>0</v>
      </c>
    </row>
    <row r="829" spans="1:15">
      <c r="A829" s="6" t="s">
        <v>14</v>
      </c>
      <c r="B829" t="s">
        <v>15</v>
      </c>
      <c r="C829" t="s">
        <v>104</v>
      </c>
      <c r="D829" t="s">
        <v>105</v>
      </c>
      <c r="E829" s="1">
        <v>45929</v>
      </c>
      <c r="F829">
        <v>3</v>
      </c>
      <c r="G829">
        <v>4150</v>
      </c>
      <c r="H829">
        <v>75285</v>
      </c>
      <c r="I829">
        <v>0</v>
      </c>
      <c r="J829">
        <f t="shared" si="24"/>
        <v>75285</v>
      </c>
      <c r="K829" t="s">
        <v>1640</v>
      </c>
      <c r="L829">
        <v>4150</v>
      </c>
      <c r="M829" s="1">
        <f t="shared" si="25"/>
        <v>45929</v>
      </c>
      <c r="N829" t="s">
        <v>1641</v>
      </c>
      <c r="O829">
        <v>0</v>
      </c>
    </row>
    <row r="830" spans="1:15">
      <c r="A830" s="6" t="s">
        <v>14</v>
      </c>
      <c r="B830" t="s">
        <v>15</v>
      </c>
      <c r="C830" t="s">
        <v>106</v>
      </c>
      <c r="D830" t="s">
        <v>107</v>
      </c>
      <c r="E830" s="1">
        <v>45929</v>
      </c>
      <c r="F830">
        <v>3</v>
      </c>
      <c r="G830">
        <v>2926</v>
      </c>
      <c r="H830">
        <v>91996</v>
      </c>
      <c r="I830">
        <v>0</v>
      </c>
      <c r="J830">
        <f t="shared" si="24"/>
        <v>91996</v>
      </c>
      <c r="K830" t="s">
        <v>1640</v>
      </c>
      <c r="L830">
        <v>2926</v>
      </c>
      <c r="M830" s="1">
        <f t="shared" si="25"/>
        <v>45929</v>
      </c>
      <c r="N830" t="s">
        <v>1641</v>
      </c>
      <c r="O830">
        <v>0</v>
      </c>
    </row>
    <row r="831" spans="1:15">
      <c r="A831" s="6" t="s">
        <v>14</v>
      </c>
      <c r="B831" t="s">
        <v>15</v>
      </c>
      <c r="C831" t="s">
        <v>108</v>
      </c>
      <c r="D831" t="s">
        <v>109</v>
      </c>
      <c r="E831" s="1">
        <v>45929</v>
      </c>
      <c r="F831">
        <v>3</v>
      </c>
      <c r="G831">
        <v>2709</v>
      </c>
      <c r="H831">
        <v>85845</v>
      </c>
      <c r="I831">
        <v>0</v>
      </c>
      <c r="J831">
        <f t="shared" si="24"/>
        <v>85845</v>
      </c>
      <c r="K831" t="s">
        <v>1640</v>
      </c>
      <c r="L831">
        <v>2709</v>
      </c>
      <c r="M831" s="1">
        <f t="shared" si="25"/>
        <v>45929</v>
      </c>
      <c r="N831" t="s">
        <v>1641</v>
      </c>
      <c r="O831">
        <v>0</v>
      </c>
    </row>
    <row r="832" spans="1:15">
      <c r="A832" s="6" t="s">
        <v>14</v>
      </c>
      <c r="B832" t="s">
        <v>15</v>
      </c>
      <c r="C832" t="s">
        <v>110</v>
      </c>
      <c r="D832" t="s">
        <v>1644</v>
      </c>
      <c r="E832" s="1">
        <v>45929</v>
      </c>
      <c r="F832">
        <v>3</v>
      </c>
      <c r="G832">
        <v>3901</v>
      </c>
      <c r="H832">
        <v>73000</v>
      </c>
      <c r="I832">
        <v>0</v>
      </c>
      <c r="J832">
        <f t="shared" si="24"/>
        <v>73000</v>
      </c>
      <c r="K832" t="s">
        <v>1640</v>
      </c>
      <c r="L832">
        <v>3901</v>
      </c>
      <c r="M832" s="1">
        <f t="shared" si="25"/>
        <v>45929</v>
      </c>
      <c r="N832" t="s">
        <v>1641</v>
      </c>
      <c r="O832">
        <v>0</v>
      </c>
    </row>
    <row r="833" spans="1:15">
      <c r="A833" s="6" t="s">
        <v>14</v>
      </c>
      <c r="B833" t="s">
        <v>15</v>
      </c>
      <c r="C833" t="s">
        <v>111</v>
      </c>
      <c r="D833" t="s">
        <v>112</v>
      </c>
      <c r="E833" s="1">
        <v>45929</v>
      </c>
      <c r="F833">
        <v>3</v>
      </c>
      <c r="G833">
        <v>2210</v>
      </c>
      <c r="H833">
        <v>78900</v>
      </c>
      <c r="I833">
        <v>0</v>
      </c>
      <c r="J833">
        <f t="shared" si="24"/>
        <v>78900</v>
      </c>
      <c r="K833" t="s">
        <v>1640</v>
      </c>
      <c r="L833">
        <v>2210</v>
      </c>
      <c r="M833" s="1">
        <f t="shared" si="25"/>
        <v>45929</v>
      </c>
      <c r="N833" t="s">
        <v>1641</v>
      </c>
      <c r="O833">
        <v>0</v>
      </c>
    </row>
    <row r="834" spans="1:15">
      <c r="A834" s="6" t="s">
        <v>14</v>
      </c>
      <c r="B834" t="s">
        <v>15</v>
      </c>
      <c r="C834" t="s">
        <v>113</v>
      </c>
      <c r="D834" t="s">
        <v>114</v>
      </c>
      <c r="E834" s="1">
        <v>45929</v>
      </c>
      <c r="F834">
        <v>3</v>
      </c>
      <c r="G834">
        <v>5280</v>
      </c>
      <c r="H834">
        <v>160091</v>
      </c>
      <c r="I834">
        <v>0</v>
      </c>
      <c r="J834">
        <f t="shared" si="24"/>
        <v>160091</v>
      </c>
      <c r="K834" t="s">
        <v>1640</v>
      </c>
      <c r="L834">
        <v>5280</v>
      </c>
      <c r="M834" s="1">
        <f t="shared" si="25"/>
        <v>45929</v>
      </c>
      <c r="N834" t="s">
        <v>1641</v>
      </c>
      <c r="O834">
        <v>0</v>
      </c>
    </row>
    <row r="835" spans="1:15">
      <c r="A835" s="6" t="s">
        <v>14</v>
      </c>
      <c r="B835" t="s">
        <v>15</v>
      </c>
      <c r="C835" t="s">
        <v>117</v>
      </c>
      <c r="D835" t="s">
        <v>118</v>
      </c>
      <c r="E835" s="1">
        <v>45929</v>
      </c>
      <c r="F835">
        <v>3</v>
      </c>
      <c r="G835">
        <v>2520</v>
      </c>
      <c r="H835">
        <v>73000</v>
      </c>
      <c r="I835">
        <v>0</v>
      </c>
      <c r="J835">
        <f t="shared" ref="J835:J898" si="26">H835-I835</f>
        <v>73000</v>
      </c>
      <c r="K835" t="s">
        <v>1640</v>
      </c>
      <c r="L835">
        <v>2520</v>
      </c>
      <c r="M835" s="1">
        <f t="shared" ref="M835:M898" si="27">E835</f>
        <v>45929</v>
      </c>
      <c r="N835" t="s">
        <v>1641</v>
      </c>
      <c r="O835">
        <v>0</v>
      </c>
    </row>
    <row r="836" spans="1:15">
      <c r="A836" s="6" t="s">
        <v>14</v>
      </c>
      <c r="B836" t="s">
        <v>15</v>
      </c>
      <c r="C836" t="s">
        <v>119</v>
      </c>
      <c r="D836" t="s">
        <v>120</v>
      </c>
      <c r="E836" s="1">
        <v>45929</v>
      </c>
      <c r="F836">
        <v>3</v>
      </c>
      <c r="G836">
        <v>3280</v>
      </c>
      <c r="H836">
        <v>95000</v>
      </c>
      <c r="I836">
        <v>0</v>
      </c>
      <c r="J836">
        <f t="shared" si="26"/>
        <v>95000</v>
      </c>
      <c r="K836" t="s">
        <v>1640</v>
      </c>
      <c r="L836">
        <v>3280</v>
      </c>
      <c r="M836" s="1">
        <f t="shared" si="27"/>
        <v>45929</v>
      </c>
      <c r="N836" t="s">
        <v>1641</v>
      </c>
      <c r="O836">
        <v>0</v>
      </c>
    </row>
    <row r="837" spans="1:15">
      <c r="A837" s="6" t="s">
        <v>14</v>
      </c>
      <c r="B837" t="s">
        <v>15</v>
      </c>
      <c r="C837" t="s">
        <v>121</v>
      </c>
      <c r="D837" t="s">
        <v>122</v>
      </c>
      <c r="E837" s="1">
        <v>45929</v>
      </c>
      <c r="F837">
        <v>3</v>
      </c>
      <c r="G837">
        <v>3995</v>
      </c>
      <c r="H837">
        <v>73818</v>
      </c>
      <c r="I837">
        <v>0</v>
      </c>
      <c r="J837">
        <f t="shared" si="26"/>
        <v>73818</v>
      </c>
      <c r="K837" t="s">
        <v>1640</v>
      </c>
      <c r="L837">
        <v>3995</v>
      </c>
      <c r="M837" s="1">
        <f t="shared" si="27"/>
        <v>45929</v>
      </c>
      <c r="N837" t="s">
        <v>1641</v>
      </c>
      <c r="O837">
        <v>0</v>
      </c>
    </row>
    <row r="838" spans="1:15">
      <c r="A838" s="6" t="s">
        <v>14</v>
      </c>
      <c r="B838" t="s">
        <v>15</v>
      </c>
      <c r="C838" t="s">
        <v>123</v>
      </c>
      <c r="D838" t="s">
        <v>124</v>
      </c>
      <c r="E838" s="1">
        <v>45929</v>
      </c>
      <c r="F838">
        <v>3</v>
      </c>
      <c r="G838">
        <v>2700</v>
      </c>
      <c r="H838">
        <v>78148</v>
      </c>
      <c r="I838">
        <v>0</v>
      </c>
      <c r="J838">
        <f t="shared" si="26"/>
        <v>78148</v>
      </c>
      <c r="K838" t="s">
        <v>1640</v>
      </c>
      <c r="L838">
        <v>2700</v>
      </c>
      <c r="M838" s="1">
        <f t="shared" si="27"/>
        <v>45929</v>
      </c>
      <c r="N838" t="s">
        <v>1641</v>
      </c>
      <c r="O838">
        <v>0</v>
      </c>
    </row>
    <row r="839" spans="1:15">
      <c r="A839" s="6" t="s">
        <v>14</v>
      </c>
      <c r="B839" t="s">
        <v>15</v>
      </c>
      <c r="C839" t="s">
        <v>125</v>
      </c>
      <c r="D839" t="s">
        <v>126</v>
      </c>
      <c r="E839" s="1">
        <v>45929</v>
      </c>
      <c r="F839">
        <v>3</v>
      </c>
      <c r="G839">
        <v>2774</v>
      </c>
      <c r="H839">
        <v>84023</v>
      </c>
      <c r="I839">
        <v>0</v>
      </c>
      <c r="J839">
        <f t="shared" si="26"/>
        <v>84023</v>
      </c>
      <c r="K839" t="s">
        <v>1640</v>
      </c>
      <c r="L839">
        <v>2774</v>
      </c>
      <c r="M839" s="1">
        <f t="shared" si="27"/>
        <v>45929</v>
      </c>
      <c r="N839" t="s">
        <v>1641</v>
      </c>
      <c r="O839">
        <v>0</v>
      </c>
    </row>
    <row r="840" spans="1:15">
      <c r="A840" s="6" t="s">
        <v>14</v>
      </c>
      <c r="B840" t="s">
        <v>15</v>
      </c>
      <c r="C840" t="s">
        <v>127</v>
      </c>
      <c r="D840" t="s">
        <v>128</v>
      </c>
      <c r="E840" s="1">
        <v>45929</v>
      </c>
      <c r="F840">
        <v>3</v>
      </c>
      <c r="G840">
        <v>3000</v>
      </c>
      <c r="H840">
        <v>89318</v>
      </c>
      <c r="I840">
        <v>0</v>
      </c>
      <c r="J840">
        <f t="shared" si="26"/>
        <v>89318</v>
      </c>
      <c r="K840" t="s">
        <v>1640</v>
      </c>
      <c r="L840">
        <v>3000</v>
      </c>
      <c r="M840" s="1">
        <f t="shared" si="27"/>
        <v>45929</v>
      </c>
      <c r="N840" t="s">
        <v>1641</v>
      </c>
      <c r="O840">
        <v>0</v>
      </c>
    </row>
    <row r="841" spans="1:15">
      <c r="A841" s="6" t="s">
        <v>14</v>
      </c>
      <c r="B841" t="s">
        <v>15</v>
      </c>
      <c r="C841" t="s">
        <v>129</v>
      </c>
      <c r="D841" t="s">
        <v>130</v>
      </c>
      <c r="E841" s="1">
        <v>45929</v>
      </c>
      <c r="F841">
        <v>3</v>
      </c>
      <c r="G841">
        <v>3080</v>
      </c>
      <c r="H841">
        <v>94515</v>
      </c>
      <c r="I841">
        <v>0</v>
      </c>
      <c r="J841">
        <f t="shared" si="26"/>
        <v>94515</v>
      </c>
      <c r="K841" t="s">
        <v>1640</v>
      </c>
      <c r="L841">
        <v>3080</v>
      </c>
      <c r="M841" s="1">
        <f t="shared" si="27"/>
        <v>45929</v>
      </c>
      <c r="N841" t="s">
        <v>1641</v>
      </c>
      <c r="O841">
        <v>0</v>
      </c>
    </row>
    <row r="842" spans="1:15">
      <c r="A842" s="6" t="s">
        <v>14</v>
      </c>
      <c r="B842" t="s">
        <v>15</v>
      </c>
      <c r="C842" t="s">
        <v>131</v>
      </c>
      <c r="D842" t="s">
        <v>132</v>
      </c>
      <c r="E842" s="1">
        <v>45929</v>
      </c>
      <c r="F842">
        <v>3</v>
      </c>
      <c r="G842">
        <v>3250</v>
      </c>
      <c r="H842">
        <v>98883</v>
      </c>
      <c r="I842">
        <v>0</v>
      </c>
      <c r="J842">
        <f t="shared" si="26"/>
        <v>98883</v>
      </c>
      <c r="K842" t="s">
        <v>1640</v>
      </c>
      <c r="L842">
        <v>3250</v>
      </c>
      <c r="M842" s="1">
        <f t="shared" si="27"/>
        <v>45929</v>
      </c>
      <c r="N842" t="s">
        <v>1641</v>
      </c>
      <c r="O842">
        <v>0</v>
      </c>
    </row>
    <row r="843" spans="1:15">
      <c r="A843" s="6" t="s">
        <v>14</v>
      </c>
      <c r="B843" t="s">
        <v>15</v>
      </c>
      <c r="C843" t="s">
        <v>133</v>
      </c>
      <c r="D843" t="s">
        <v>134</v>
      </c>
      <c r="E843" s="1">
        <v>45929</v>
      </c>
      <c r="F843">
        <v>3</v>
      </c>
      <c r="G843">
        <v>3150</v>
      </c>
      <c r="H843">
        <v>93833</v>
      </c>
      <c r="I843">
        <v>0</v>
      </c>
      <c r="J843">
        <f t="shared" si="26"/>
        <v>93833</v>
      </c>
      <c r="K843" t="s">
        <v>1640</v>
      </c>
      <c r="L843">
        <v>3150</v>
      </c>
      <c r="M843" s="1">
        <f t="shared" si="27"/>
        <v>45929</v>
      </c>
      <c r="N843" t="s">
        <v>1641</v>
      </c>
      <c r="O843">
        <v>0</v>
      </c>
    </row>
    <row r="844" spans="1:15">
      <c r="A844" s="6" t="s">
        <v>14</v>
      </c>
      <c r="B844" t="s">
        <v>15</v>
      </c>
      <c r="C844" t="s">
        <v>135</v>
      </c>
      <c r="D844" t="s">
        <v>136</v>
      </c>
      <c r="E844" s="1">
        <v>45929</v>
      </c>
      <c r="F844">
        <v>3</v>
      </c>
      <c r="G844">
        <v>5244</v>
      </c>
      <c r="H844">
        <v>98888</v>
      </c>
      <c r="I844">
        <v>0</v>
      </c>
      <c r="J844">
        <f t="shared" si="26"/>
        <v>98888</v>
      </c>
      <c r="K844" t="s">
        <v>1640</v>
      </c>
      <c r="L844">
        <v>5244</v>
      </c>
      <c r="M844" s="1">
        <f t="shared" si="27"/>
        <v>45929</v>
      </c>
      <c r="N844" t="s">
        <v>1641</v>
      </c>
      <c r="O844">
        <v>0</v>
      </c>
    </row>
    <row r="845" spans="1:15">
      <c r="A845" s="6" t="s">
        <v>14</v>
      </c>
      <c r="B845" t="s">
        <v>15</v>
      </c>
      <c r="C845" t="s">
        <v>137</v>
      </c>
      <c r="D845" t="s">
        <v>138</v>
      </c>
      <c r="E845" s="1">
        <v>45929</v>
      </c>
      <c r="F845">
        <v>3</v>
      </c>
      <c r="G845">
        <v>4664</v>
      </c>
      <c r="H845">
        <v>140559</v>
      </c>
      <c r="I845">
        <v>0</v>
      </c>
      <c r="J845">
        <f t="shared" si="26"/>
        <v>140559</v>
      </c>
      <c r="K845" t="s">
        <v>1640</v>
      </c>
      <c r="L845">
        <v>4664</v>
      </c>
      <c r="M845" s="1">
        <f t="shared" si="27"/>
        <v>45929</v>
      </c>
      <c r="N845" t="s">
        <v>1641</v>
      </c>
      <c r="O845">
        <v>0</v>
      </c>
    </row>
    <row r="846" spans="1:15">
      <c r="A846" s="6" t="s">
        <v>14</v>
      </c>
      <c r="B846" t="s">
        <v>15</v>
      </c>
      <c r="C846" t="s">
        <v>139</v>
      </c>
      <c r="D846" t="s">
        <v>140</v>
      </c>
      <c r="E846" s="1">
        <v>45929</v>
      </c>
      <c r="F846">
        <v>3</v>
      </c>
      <c r="G846">
        <v>5382</v>
      </c>
      <c r="H846">
        <v>98888</v>
      </c>
      <c r="I846">
        <v>0</v>
      </c>
      <c r="J846">
        <f t="shared" si="26"/>
        <v>98888</v>
      </c>
      <c r="K846" t="s">
        <v>1640</v>
      </c>
      <c r="L846">
        <v>5382</v>
      </c>
      <c r="M846" s="1">
        <f t="shared" si="27"/>
        <v>45929</v>
      </c>
      <c r="N846" t="s">
        <v>1641</v>
      </c>
      <c r="O846">
        <v>0</v>
      </c>
    </row>
    <row r="847" spans="1:15">
      <c r="A847" s="6" t="s">
        <v>14</v>
      </c>
      <c r="B847" t="s">
        <v>15</v>
      </c>
      <c r="C847" t="s">
        <v>141</v>
      </c>
      <c r="D847" t="s">
        <v>142</v>
      </c>
      <c r="E847" s="1">
        <v>45929</v>
      </c>
      <c r="F847">
        <v>3</v>
      </c>
      <c r="G847">
        <v>5382</v>
      </c>
      <c r="H847">
        <v>98888</v>
      </c>
      <c r="I847">
        <v>0</v>
      </c>
      <c r="J847">
        <f t="shared" si="26"/>
        <v>98888</v>
      </c>
      <c r="K847" t="s">
        <v>1640</v>
      </c>
      <c r="L847">
        <v>5382</v>
      </c>
      <c r="M847" s="1">
        <f t="shared" si="27"/>
        <v>45929</v>
      </c>
      <c r="N847" t="s">
        <v>1641</v>
      </c>
      <c r="O847">
        <v>0</v>
      </c>
    </row>
    <row r="848" spans="1:15">
      <c r="A848" s="6" t="s">
        <v>14</v>
      </c>
      <c r="B848" t="s">
        <v>15</v>
      </c>
      <c r="C848" t="s">
        <v>143</v>
      </c>
      <c r="D848" t="s">
        <v>144</v>
      </c>
      <c r="E848" s="1">
        <v>45929</v>
      </c>
      <c r="F848">
        <v>3</v>
      </c>
      <c r="G848">
        <v>5704</v>
      </c>
      <c r="H848">
        <v>108000</v>
      </c>
      <c r="I848">
        <v>0</v>
      </c>
      <c r="J848">
        <f t="shared" si="26"/>
        <v>108000</v>
      </c>
      <c r="K848" t="s">
        <v>1640</v>
      </c>
      <c r="L848">
        <v>5704</v>
      </c>
      <c r="M848" s="1">
        <f t="shared" si="27"/>
        <v>45929</v>
      </c>
      <c r="N848" t="s">
        <v>1641</v>
      </c>
      <c r="O848">
        <v>0</v>
      </c>
    </row>
    <row r="849" spans="1:15">
      <c r="A849" s="6" t="s">
        <v>14</v>
      </c>
      <c r="B849" t="s">
        <v>15</v>
      </c>
      <c r="C849" t="s">
        <v>145</v>
      </c>
      <c r="D849" t="s">
        <v>146</v>
      </c>
      <c r="E849" s="1">
        <v>45929</v>
      </c>
      <c r="F849">
        <v>3</v>
      </c>
      <c r="G849">
        <v>2237.1999999999998</v>
      </c>
      <c r="H849">
        <v>78000</v>
      </c>
      <c r="I849">
        <v>0</v>
      </c>
      <c r="J849">
        <f t="shared" si="26"/>
        <v>78000</v>
      </c>
      <c r="K849" t="s">
        <v>1640</v>
      </c>
      <c r="L849">
        <v>2237.1999999999998</v>
      </c>
      <c r="M849" s="1">
        <f t="shared" si="27"/>
        <v>45929</v>
      </c>
      <c r="N849" t="s">
        <v>1641</v>
      </c>
      <c r="O849">
        <v>0</v>
      </c>
    </row>
    <row r="850" spans="1:15">
      <c r="A850" s="6" t="s">
        <v>14</v>
      </c>
      <c r="B850" t="s">
        <v>15</v>
      </c>
      <c r="C850" t="s">
        <v>147</v>
      </c>
      <c r="D850" t="s">
        <v>148</v>
      </c>
      <c r="E850" s="1">
        <v>45929</v>
      </c>
      <c r="F850">
        <v>3</v>
      </c>
      <c r="G850">
        <v>2752</v>
      </c>
      <c r="H850">
        <v>81225</v>
      </c>
      <c r="I850">
        <v>0</v>
      </c>
      <c r="J850">
        <f t="shared" si="26"/>
        <v>81225</v>
      </c>
      <c r="K850" t="s">
        <v>1640</v>
      </c>
      <c r="L850">
        <v>2752</v>
      </c>
      <c r="M850" s="1">
        <f t="shared" si="27"/>
        <v>45929</v>
      </c>
      <c r="N850" t="s">
        <v>1641</v>
      </c>
      <c r="O850">
        <v>0</v>
      </c>
    </row>
    <row r="851" spans="1:15">
      <c r="A851" s="6" t="s">
        <v>14</v>
      </c>
      <c r="B851" t="s">
        <v>15</v>
      </c>
      <c r="C851" t="s">
        <v>149</v>
      </c>
      <c r="D851" t="s">
        <v>150</v>
      </c>
      <c r="E851" s="1">
        <v>45929</v>
      </c>
      <c r="F851">
        <v>3</v>
      </c>
      <c r="G851">
        <v>3445</v>
      </c>
      <c r="H851">
        <v>104637</v>
      </c>
      <c r="I851">
        <v>0</v>
      </c>
      <c r="J851">
        <f t="shared" si="26"/>
        <v>104637</v>
      </c>
      <c r="K851" t="s">
        <v>1640</v>
      </c>
      <c r="L851">
        <v>3445</v>
      </c>
      <c r="M851" s="1">
        <f t="shared" si="27"/>
        <v>45929</v>
      </c>
      <c r="N851" t="s">
        <v>1641</v>
      </c>
      <c r="O851">
        <v>0</v>
      </c>
    </row>
    <row r="852" spans="1:15">
      <c r="A852" s="6" t="s">
        <v>14</v>
      </c>
      <c r="B852" t="s">
        <v>15</v>
      </c>
      <c r="C852" t="s">
        <v>151</v>
      </c>
      <c r="D852" t="s">
        <v>152</v>
      </c>
      <c r="E852" s="1">
        <v>45929</v>
      </c>
      <c r="F852">
        <v>3</v>
      </c>
      <c r="G852">
        <v>4288</v>
      </c>
      <c r="H852">
        <v>79477</v>
      </c>
      <c r="I852">
        <v>0</v>
      </c>
      <c r="J852">
        <f t="shared" si="26"/>
        <v>79477</v>
      </c>
      <c r="K852" t="s">
        <v>1640</v>
      </c>
      <c r="L852">
        <v>4288</v>
      </c>
      <c r="M852" s="1">
        <f t="shared" si="27"/>
        <v>45929</v>
      </c>
      <c r="N852" t="s">
        <v>1641</v>
      </c>
      <c r="O852">
        <v>0</v>
      </c>
    </row>
    <row r="853" spans="1:15">
      <c r="A853" s="6" t="s">
        <v>14</v>
      </c>
      <c r="B853" t="s">
        <v>15</v>
      </c>
      <c r="C853" t="s">
        <v>153</v>
      </c>
      <c r="D853" t="s">
        <v>154</v>
      </c>
      <c r="E853" s="1">
        <v>45929</v>
      </c>
      <c r="F853">
        <v>3</v>
      </c>
      <c r="G853">
        <v>3306</v>
      </c>
      <c r="H853">
        <v>100000</v>
      </c>
      <c r="I853">
        <v>0</v>
      </c>
      <c r="J853">
        <f t="shared" si="26"/>
        <v>100000</v>
      </c>
      <c r="K853" t="s">
        <v>1640</v>
      </c>
      <c r="L853">
        <v>3306</v>
      </c>
      <c r="M853" s="1">
        <f t="shared" si="27"/>
        <v>45929</v>
      </c>
      <c r="N853" t="s">
        <v>1641</v>
      </c>
      <c r="O853">
        <v>0</v>
      </c>
    </row>
    <row r="854" spans="1:15">
      <c r="A854" s="6" t="s">
        <v>14</v>
      </c>
      <c r="B854" t="s">
        <v>15</v>
      </c>
      <c r="C854" t="s">
        <v>155</v>
      </c>
      <c r="D854" t="s">
        <v>156</v>
      </c>
      <c r="E854" s="1">
        <v>45929</v>
      </c>
      <c r="F854">
        <v>3</v>
      </c>
      <c r="G854">
        <v>5520</v>
      </c>
      <c r="H854">
        <v>170000</v>
      </c>
      <c r="I854">
        <v>0</v>
      </c>
      <c r="J854">
        <f t="shared" si="26"/>
        <v>170000</v>
      </c>
      <c r="K854" t="s">
        <v>1640</v>
      </c>
      <c r="L854">
        <v>5520</v>
      </c>
      <c r="M854" s="1">
        <f t="shared" si="27"/>
        <v>45929</v>
      </c>
      <c r="N854" t="s">
        <v>1641</v>
      </c>
      <c r="O854">
        <v>0</v>
      </c>
    </row>
    <row r="855" spans="1:15">
      <c r="A855" s="6" t="s">
        <v>14</v>
      </c>
      <c r="B855" t="s">
        <v>15</v>
      </c>
      <c r="C855" t="s">
        <v>157</v>
      </c>
      <c r="D855" t="s">
        <v>158</v>
      </c>
      <c r="E855" s="1">
        <v>45929</v>
      </c>
      <c r="F855">
        <v>3</v>
      </c>
      <c r="G855">
        <v>2970</v>
      </c>
      <c r="H855">
        <v>89244</v>
      </c>
      <c r="I855">
        <v>0</v>
      </c>
      <c r="J855">
        <f t="shared" si="26"/>
        <v>89244</v>
      </c>
      <c r="K855" t="s">
        <v>1640</v>
      </c>
      <c r="L855">
        <v>2970</v>
      </c>
      <c r="M855" s="1">
        <f t="shared" si="27"/>
        <v>45929</v>
      </c>
      <c r="N855" t="s">
        <v>1641</v>
      </c>
      <c r="O855">
        <v>0</v>
      </c>
    </row>
    <row r="856" spans="1:15">
      <c r="A856" s="6" t="s">
        <v>14</v>
      </c>
      <c r="B856" t="s">
        <v>15</v>
      </c>
      <c r="C856" t="s">
        <v>159</v>
      </c>
      <c r="D856" t="s">
        <v>160</v>
      </c>
      <c r="E856" s="1">
        <v>45929</v>
      </c>
      <c r="F856">
        <v>3</v>
      </c>
      <c r="G856">
        <v>5428</v>
      </c>
      <c r="H856">
        <v>100000</v>
      </c>
      <c r="I856">
        <v>0</v>
      </c>
      <c r="J856">
        <f t="shared" si="26"/>
        <v>100000</v>
      </c>
      <c r="K856" t="s">
        <v>1640</v>
      </c>
      <c r="L856">
        <v>5428</v>
      </c>
      <c r="M856" s="1">
        <f t="shared" si="27"/>
        <v>45929</v>
      </c>
      <c r="N856" t="s">
        <v>1641</v>
      </c>
      <c r="O856">
        <v>0</v>
      </c>
    </row>
    <row r="857" spans="1:15">
      <c r="A857" s="6" t="s">
        <v>14</v>
      </c>
      <c r="B857" t="s">
        <v>15</v>
      </c>
      <c r="C857" t="s">
        <v>161</v>
      </c>
      <c r="D857" t="s">
        <v>162</v>
      </c>
      <c r="E857" s="1">
        <v>45929</v>
      </c>
      <c r="F857">
        <v>3</v>
      </c>
      <c r="G857">
        <v>2862</v>
      </c>
      <c r="H857">
        <v>86000</v>
      </c>
      <c r="I857">
        <v>0</v>
      </c>
      <c r="J857">
        <f t="shared" si="26"/>
        <v>86000</v>
      </c>
      <c r="K857" t="s">
        <v>1640</v>
      </c>
      <c r="L857">
        <v>2862</v>
      </c>
      <c r="M857" s="1">
        <f t="shared" si="27"/>
        <v>45929</v>
      </c>
      <c r="N857" t="s">
        <v>1641</v>
      </c>
      <c r="O857">
        <v>0</v>
      </c>
    </row>
    <row r="858" spans="1:15">
      <c r="A858" s="6" t="s">
        <v>14</v>
      </c>
      <c r="B858" t="s">
        <v>15</v>
      </c>
      <c r="C858" t="s">
        <v>167</v>
      </c>
      <c r="D858" t="s">
        <v>168</v>
      </c>
      <c r="E858" s="1">
        <v>45929</v>
      </c>
      <c r="F858">
        <v>3</v>
      </c>
      <c r="G858">
        <v>4536</v>
      </c>
      <c r="H858">
        <v>86485</v>
      </c>
      <c r="I858">
        <v>0</v>
      </c>
      <c r="J858">
        <f t="shared" si="26"/>
        <v>86485</v>
      </c>
      <c r="K858" t="s">
        <v>1640</v>
      </c>
      <c r="L858">
        <v>4536</v>
      </c>
      <c r="M858" s="1">
        <f t="shared" si="27"/>
        <v>45929</v>
      </c>
      <c r="N858" t="s">
        <v>1641</v>
      </c>
      <c r="O858">
        <v>0</v>
      </c>
    </row>
    <row r="859" spans="1:15">
      <c r="A859" s="6" t="s">
        <v>14</v>
      </c>
      <c r="B859" t="s">
        <v>15</v>
      </c>
      <c r="C859" t="s">
        <v>169</v>
      </c>
      <c r="D859" t="s">
        <v>170</v>
      </c>
      <c r="E859" s="1">
        <v>45929</v>
      </c>
      <c r="F859">
        <v>3</v>
      </c>
      <c r="G859">
        <v>2805</v>
      </c>
      <c r="H859">
        <v>83860</v>
      </c>
      <c r="I859">
        <v>0</v>
      </c>
      <c r="J859">
        <f t="shared" si="26"/>
        <v>83860</v>
      </c>
      <c r="K859" t="s">
        <v>1640</v>
      </c>
      <c r="L859">
        <v>2805</v>
      </c>
      <c r="M859" s="1">
        <f t="shared" si="27"/>
        <v>45929</v>
      </c>
      <c r="N859" t="s">
        <v>1641</v>
      </c>
      <c r="O859">
        <v>0</v>
      </c>
    </row>
    <row r="860" spans="1:15">
      <c r="A860" s="6" t="s">
        <v>14</v>
      </c>
      <c r="B860" t="s">
        <v>15</v>
      </c>
      <c r="C860" t="s">
        <v>171</v>
      </c>
      <c r="D860" t="s">
        <v>172</v>
      </c>
      <c r="E860" s="1">
        <v>45929</v>
      </c>
      <c r="F860">
        <v>3</v>
      </c>
      <c r="G860">
        <v>5635</v>
      </c>
      <c r="H860">
        <v>169978</v>
      </c>
      <c r="I860">
        <v>0</v>
      </c>
      <c r="J860">
        <f t="shared" si="26"/>
        <v>169978</v>
      </c>
      <c r="K860" t="s">
        <v>1640</v>
      </c>
      <c r="L860">
        <v>5635</v>
      </c>
      <c r="M860" s="1">
        <f t="shared" si="27"/>
        <v>45929</v>
      </c>
      <c r="N860" t="s">
        <v>1641</v>
      </c>
      <c r="O860">
        <v>0</v>
      </c>
    </row>
    <row r="861" spans="1:15">
      <c r="A861" s="6" t="s">
        <v>14</v>
      </c>
      <c r="B861" t="s">
        <v>15</v>
      </c>
      <c r="C861" t="s">
        <v>173</v>
      </c>
      <c r="D861" t="s">
        <v>174</v>
      </c>
      <c r="E861" s="1">
        <v>45929</v>
      </c>
      <c r="F861">
        <v>3</v>
      </c>
      <c r="G861">
        <v>3024</v>
      </c>
      <c r="H861">
        <v>94861</v>
      </c>
      <c r="I861">
        <v>0</v>
      </c>
      <c r="J861">
        <f t="shared" si="26"/>
        <v>94861</v>
      </c>
      <c r="K861" t="s">
        <v>1640</v>
      </c>
      <c r="L861">
        <v>3024</v>
      </c>
      <c r="M861" s="1">
        <f t="shared" si="27"/>
        <v>45929</v>
      </c>
      <c r="N861" t="s">
        <v>1641</v>
      </c>
      <c r="O861">
        <v>0</v>
      </c>
    </row>
    <row r="862" spans="1:15">
      <c r="A862" s="6" t="s">
        <v>14</v>
      </c>
      <c r="B862" t="s">
        <v>15</v>
      </c>
      <c r="C862" t="s">
        <v>175</v>
      </c>
      <c r="D862" t="s">
        <v>176</v>
      </c>
      <c r="E862" s="1">
        <v>45929</v>
      </c>
      <c r="F862">
        <v>3</v>
      </c>
      <c r="G862">
        <v>2800</v>
      </c>
      <c r="H862">
        <v>84036</v>
      </c>
      <c r="I862">
        <v>0</v>
      </c>
      <c r="J862">
        <f t="shared" si="26"/>
        <v>84036</v>
      </c>
      <c r="K862" t="s">
        <v>1640</v>
      </c>
      <c r="L862">
        <v>2800</v>
      </c>
      <c r="M862" s="1">
        <f t="shared" si="27"/>
        <v>45929</v>
      </c>
      <c r="N862" t="s">
        <v>1641</v>
      </c>
      <c r="O862">
        <v>0</v>
      </c>
    </row>
    <row r="863" spans="1:15">
      <c r="A863" s="6" t="s">
        <v>14</v>
      </c>
      <c r="B863" t="s">
        <v>15</v>
      </c>
      <c r="C863" t="s">
        <v>177</v>
      </c>
      <c r="D863" t="s">
        <v>178</v>
      </c>
      <c r="E863" s="1">
        <v>45929</v>
      </c>
      <c r="F863">
        <v>3</v>
      </c>
      <c r="G863">
        <v>3055</v>
      </c>
      <c r="H863">
        <v>73660</v>
      </c>
      <c r="I863">
        <v>0</v>
      </c>
      <c r="J863">
        <f t="shared" si="26"/>
        <v>73660</v>
      </c>
      <c r="K863" t="s">
        <v>1640</v>
      </c>
      <c r="L863">
        <v>3055</v>
      </c>
      <c r="M863" s="1">
        <f t="shared" si="27"/>
        <v>45929</v>
      </c>
      <c r="N863" t="s">
        <v>1641</v>
      </c>
      <c r="O863">
        <v>0</v>
      </c>
    </row>
    <row r="864" spans="1:15">
      <c r="A864" s="6" t="s">
        <v>14</v>
      </c>
      <c r="B864" t="s">
        <v>15</v>
      </c>
      <c r="C864" t="s">
        <v>179</v>
      </c>
      <c r="D864" t="s">
        <v>180</v>
      </c>
      <c r="E864" s="1">
        <v>45929</v>
      </c>
      <c r="F864">
        <v>3</v>
      </c>
      <c r="G864">
        <v>3933</v>
      </c>
      <c r="H864">
        <v>125000</v>
      </c>
      <c r="I864">
        <v>0</v>
      </c>
      <c r="J864">
        <f t="shared" si="26"/>
        <v>125000</v>
      </c>
      <c r="K864" t="s">
        <v>1640</v>
      </c>
      <c r="L864">
        <v>3933</v>
      </c>
      <c r="M864" s="1">
        <f t="shared" si="27"/>
        <v>45929</v>
      </c>
      <c r="N864" t="s">
        <v>1641</v>
      </c>
      <c r="O864">
        <v>0</v>
      </c>
    </row>
    <row r="865" spans="1:15">
      <c r="A865" s="6" t="s">
        <v>14</v>
      </c>
      <c r="B865" t="s">
        <v>15</v>
      </c>
      <c r="C865" t="s">
        <v>181</v>
      </c>
      <c r="D865" t="s">
        <v>182</v>
      </c>
      <c r="E865" s="1">
        <v>45929</v>
      </c>
      <c r="F865">
        <v>3</v>
      </c>
      <c r="G865">
        <v>4600</v>
      </c>
      <c r="H865">
        <v>84886</v>
      </c>
      <c r="I865">
        <v>0</v>
      </c>
      <c r="J865">
        <f t="shared" si="26"/>
        <v>84886</v>
      </c>
      <c r="K865" t="s">
        <v>1640</v>
      </c>
      <c r="L865">
        <v>4600</v>
      </c>
      <c r="M865" s="1">
        <f t="shared" si="27"/>
        <v>45929</v>
      </c>
      <c r="N865" t="s">
        <v>1641</v>
      </c>
      <c r="O865">
        <v>0</v>
      </c>
    </row>
    <row r="866" spans="1:15">
      <c r="A866" s="6" t="s">
        <v>14</v>
      </c>
      <c r="B866" t="s">
        <v>15</v>
      </c>
      <c r="C866" t="s">
        <v>183</v>
      </c>
      <c r="D866" t="s">
        <v>184</v>
      </c>
      <c r="E866" s="1">
        <v>45929</v>
      </c>
      <c r="F866">
        <v>3</v>
      </c>
      <c r="G866">
        <v>2924</v>
      </c>
      <c r="H866">
        <v>87520</v>
      </c>
      <c r="I866">
        <v>0</v>
      </c>
      <c r="J866">
        <f t="shared" si="26"/>
        <v>87520</v>
      </c>
      <c r="K866" t="s">
        <v>1640</v>
      </c>
      <c r="L866">
        <v>2924</v>
      </c>
      <c r="M866" s="1">
        <f t="shared" si="27"/>
        <v>45929</v>
      </c>
      <c r="N866" t="s">
        <v>1641</v>
      </c>
      <c r="O866">
        <v>0</v>
      </c>
    </row>
    <row r="867" spans="1:15">
      <c r="A867" s="6" t="s">
        <v>14</v>
      </c>
      <c r="B867" t="s">
        <v>15</v>
      </c>
      <c r="C867" t="s">
        <v>185</v>
      </c>
      <c r="D867" t="s">
        <v>186</v>
      </c>
      <c r="E867" s="1">
        <v>45929</v>
      </c>
      <c r="F867">
        <v>3</v>
      </c>
      <c r="G867">
        <v>5616</v>
      </c>
      <c r="H867">
        <v>106000</v>
      </c>
      <c r="I867">
        <v>0</v>
      </c>
      <c r="J867">
        <f t="shared" si="26"/>
        <v>106000</v>
      </c>
      <c r="K867" t="s">
        <v>1640</v>
      </c>
      <c r="L867">
        <v>5616</v>
      </c>
      <c r="M867" s="1">
        <f t="shared" si="27"/>
        <v>45929</v>
      </c>
      <c r="N867" t="s">
        <v>1641</v>
      </c>
      <c r="O867">
        <v>0</v>
      </c>
    </row>
    <row r="868" spans="1:15">
      <c r="A868" s="6" t="s">
        <v>14</v>
      </c>
      <c r="B868" t="s">
        <v>15</v>
      </c>
      <c r="C868" t="s">
        <v>187</v>
      </c>
      <c r="D868" t="s">
        <v>188</v>
      </c>
      <c r="E868" s="1">
        <v>45929</v>
      </c>
      <c r="F868">
        <v>3</v>
      </c>
      <c r="G868">
        <v>2263</v>
      </c>
      <c r="H868">
        <v>73000</v>
      </c>
      <c r="I868">
        <v>0</v>
      </c>
      <c r="J868">
        <f t="shared" si="26"/>
        <v>73000</v>
      </c>
      <c r="K868" t="s">
        <v>1640</v>
      </c>
      <c r="L868">
        <v>2263</v>
      </c>
      <c r="M868" s="1">
        <f t="shared" si="27"/>
        <v>45929</v>
      </c>
      <c r="N868" t="s">
        <v>1641</v>
      </c>
      <c r="O868">
        <v>0</v>
      </c>
    </row>
    <row r="869" spans="1:15">
      <c r="A869" s="6" t="s">
        <v>14</v>
      </c>
      <c r="B869" t="s">
        <v>15</v>
      </c>
      <c r="C869" t="s">
        <v>191</v>
      </c>
      <c r="D869" t="s">
        <v>192</v>
      </c>
      <c r="E869" s="1">
        <v>45929</v>
      </c>
      <c r="F869">
        <v>3</v>
      </c>
      <c r="G869">
        <v>3933</v>
      </c>
      <c r="H869">
        <v>74625</v>
      </c>
      <c r="I869">
        <v>0</v>
      </c>
      <c r="J869">
        <f t="shared" si="26"/>
        <v>74625</v>
      </c>
      <c r="K869" t="s">
        <v>1640</v>
      </c>
      <c r="L869">
        <v>3933</v>
      </c>
      <c r="M869" s="1">
        <f t="shared" si="27"/>
        <v>45929</v>
      </c>
      <c r="N869" t="s">
        <v>1641</v>
      </c>
      <c r="O869">
        <v>0</v>
      </c>
    </row>
    <row r="870" spans="1:15">
      <c r="A870" s="6" t="s">
        <v>14</v>
      </c>
      <c r="B870" t="s">
        <v>15</v>
      </c>
      <c r="C870" t="s">
        <v>193</v>
      </c>
      <c r="D870" t="s">
        <v>194</v>
      </c>
      <c r="E870" s="1">
        <v>45929</v>
      </c>
      <c r="F870">
        <v>3</v>
      </c>
      <c r="G870">
        <v>4725</v>
      </c>
      <c r="H870">
        <v>88848</v>
      </c>
      <c r="I870">
        <v>0</v>
      </c>
      <c r="J870">
        <f t="shared" si="26"/>
        <v>88848</v>
      </c>
      <c r="K870" t="s">
        <v>1640</v>
      </c>
      <c r="L870">
        <v>4725</v>
      </c>
      <c r="M870" s="1">
        <f t="shared" si="27"/>
        <v>45929</v>
      </c>
      <c r="N870" t="s">
        <v>1641</v>
      </c>
      <c r="O870">
        <v>0</v>
      </c>
    </row>
    <row r="871" spans="1:15">
      <c r="A871" s="6" t="s">
        <v>14</v>
      </c>
      <c r="B871" t="s">
        <v>15</v>
      </c>
      <c r="C871" t="s">
        <v>195</v>
      </c>
      <c r="D871" t="s">
        <v>196</v>
      </c>
      <c r="E871" s="1">
        <v>45929</v>
      </c>
      <c r="F871">
        <v>3</v>
      </c>
      <c r="G871">
        <v>2340</v>
      </c>
      <c r="H871">
        <v>69800</v>
      </c>
      <c r="I871">
        <v>0</v>
      </c>
      <c r="J871">
        <f t="shared" si="26"/>
        <v>69800</v>
      </c>
      <c r="K871" t="s">
        <v>1640</v>
      </c>
      <c r="L871">
        <v>2340</v>
      </c>
      <c r="M871" s="1">
        <f t="shared" si="27"/>
        <v>45929</v>
      </c>
      <c r="N871" t="s">
        <v>1641</v>
      </c>
      <c r="O871">
        <v>0</v>
      </c>
    </row>
    <row r="872" spans="1:15">
      <c r="A872" s="6" t="s">
        <v>14</v>
      </c>
      <c r="B872" t="s">
        <v>15</v>
      </c>
      <c r="C872" t="s">
        <v>197</v>
      </c>
      <c r="D872" t="s">
        <v>198</v>
      </c>
      <c r="E872" s="1">
        <v>45929</v>
      </c>
      <c r="F872">
        <v>3</v>
      </c>
      <c r="G872">
        <v>2730</v>
      </c>
      <c r="H872">
        <v>84220</v>
      </c>
      <c r="I872">
        <v>0</v>
      </c>
      <c r="J872">
        <f t="shared" si="26"/>
        <v>84220</v>
      </c>
      <c r="K872" t="s">
        <v>1640</v>
      </c>
      <c r="L872">
        <v>2730</v>
      </c>
      <c r="M872" s="1">
        <f t="shared" si="27"/>
        <v>45929</v>
      </c>
      <c r="N872" t="s">
        <v>1641</v>
      </c>
      <c r="O872">
        <v>0</v>
      </c>
    </row>
    <row r="873" spans="1:15">
      <c r="A873" s="6" t="s">
        <v>14</v>
      </c>
      <c r="B873" t="s">
        <v>15</v>
      </c>
      <c r="C873" t="s">
        <v>201</v>
      </c>
      <c r="D873" t="s">
        <v>202</v>
      </c>
      <c r="E873" s="1">
        <v>45929</v>
      </c>
      <c r="F873">
        <v>3</v>
      </c>
      <c r="G873">
        <v>2814</v>
      </c>
      <c r="H873">
        <v>81975</v>
      </c>
      <c r="I873">
        <v>0</v>
      </c>
      <c r="J873">
        <f t="shared" si="26"/>
        <v>81975</v>
      </c>
      <c r="K873" t="s">
        <v>1640</v>
      </c>
      <c r="L873">
        <v>2814</v>
      </c>
      <c r="M873" s="1">
        <f t="shared" si="27"/>
        <v>45929</v>
      </c>
      <c r="N873" t="s">
        <v>1641</v>
      </c>
      <c r="O873">
        <v>0</v>
      </c>
    </row>
    <row r="874" spans="1:15">
      <c r="A874" s="6" t="s">
        <v>14</v>
      </c>
      <c r="B874" t="s">
        <v>15</v>
      </c>
      <c r="C874" t="s">
        <v>203</v>
      </c>
      <c r="D874" t="s">
        <v>204</v>
      </c>
      <c r="E874" s="1">
        <v>45929</v>
      </c>
      <c r="F874">
        <v>3</v>
      </c>
      <c r="G874">
        <v>2460</v>
      </c>
      <c r="H874">
        <v>74625</v>
      </c>
      <c r="I874">
        <v>0</v>
      </c>
      <c r="J874">
        <f t="shared" si="26"/>
        <v>74625</v>
      </c>
      <c r="K874" t="s">
        <v>1640</v>
      </c>
      <c r="L874">
        <v>2460</v>
      </c>
      <c r="M874" s="1">
        <f t="shared" si="27"/>
        <v>45929</v>
      </c>
      <c r="N874" t="s">
        <v>1641</v>
      </c>
      <c r="O874">
        <v>0</v>
      </c>
    </row>
    <row r="875" spans="1:15">
      <c r="A875" s="6" t="s">
        <v>14</v>
      </c>
      <c r="B875" t="s">
        <v>15</v>
      </c>
      <c r="C875" t="s">
        <v>207</v>
      </c>
      <c r="D875" t="s">
        <v>208</v>
      </c>
      <c r="E875" s="1">
        <v>45929</v>
      </c>
      <c r="F875">
        <v>3</v>
      </c>
      <c r="G875">
        <v>2360</v>
      </c>
      <c r="H875">
        <v>73000</v>
      </c>
      <c r="I875">
        <v>0</v>
      </c>
      <c r="J875">
        <f t="shared" si="26"/>
        <v>73000</v>
      </c>
      <c r="K875" t="s">
        <v>1640</v>
      </c>
      <c r="L875">
        <v>2360</v>
      </c>
      <c r="M875" s="1">
        <f t="shared" si="27"/>
        <v>45929</v>
      </c>
      <c r="N875" t="s">
        <v>1641</v>
      </c>
      <c r="O875">
        <v>0</v>
      </c>
    </row>
    <row r="876" spans="1:15">
      <c r="A876" s="6" t="s">
        <v>14</v>
      </c>
      <c r="B876" t="s">
        <v>15</v>
      </c>
      <c r="C876" t="s">
        <v>211</v>
      </c>
      <c r="D876" t="s">
        <v>212</v>
      </c>
      <c r="E876" s="1">
        <v>45929</v>
      </c>
      <c r="F876">
        <v>3</v>
      </c>
      <c r="G876">
        <v>2000</v>
      </c>
      <c r="H876">
        <v>55200</v>
      </c>
      <c r="I876">
        <v>0</v>
      </c>
      <c r="J876">
        <f t="shared" si="26"/>
        <v>55200</v>
      </c>
      <c r="K876" t="s">
        <v>1640</v>
      </c>
      <c r="L876">
        <v>2000</v>
      </c>
      <c r="M876" s="1">
        <f t="shared" si="27"/>
        <v>45929</v>
      </c>
      <c r="N876" t="s">
        <v>1641</v>
      </c>
      <c r="O876">
        <v>0</v>
      </c>
    </row>
    <row r="877" spans="1:15">
      <c r="A877" s="6" t="s">
        <v>14</v>
      </c>
      <c r="B877" t="s">
        <v>15</v>
      </c>
      <c r="C877" t="s">
        <v>213</v>
      </c>
      <c r="D877" t="s">
        <v>214</v>
      </c>
      <c r="E877" s="1">
        <v>45929</v>
      </c>
      <c r="F877">
        <v>3</v>
      </c>
      <c r="G877">
        <v>2940</v>
      </c>
      <c r="H877">
        <v>86200</v>
      </c>
      <c r="I877">
        <v>0</v>
      </c>
      <c r="J877">
        <f t="shared" si="26"/>
        <v>86200</v>
      </c>
      <c r="K877" t="s">
        <v>1640</v>
      </c>
      <c r="L877">
        <v>2940</v>
      </c>
      <c r="M877" s="1">
        <f t="shared" si="27"/>
        <v>45929</v>
      </c>
      <c r="N877" t="s">
        <v>1641</v>
      </c>
      <c r="O877">
        <v>0</v>
      </c>
    </row>
    <row r="878" spans="1:15">
      <c r="A878" s="6" t="s">
        <v>14</v>
      </c>
      <c r="B878" t="s">
        <v>15</v>
      </c>
      <c r="C878" t="s">
        <v>215</v>
      </c>
      <c r="D878" t="s">
        <v>216</v>
      </c>
      <c r="E878" s="1">
        <v>45929</v>
      </c>
      <c r="F878">
        <v>3</v>
      </c>
      <c r="G878">
        <v>2640</v>
      </c>
      <c r="H878">
        <v>78314</v>
      </c>
      <c r="I878">
        <v>0</v>
      </c>
      <c r="J878">
        <f t="shared" si="26"/>
        <v>78314</v>
      </c>
      <c r="K878" t="s">
        <v>1640</v>
      </c>
      <c r="L878">
        <v>2640</v>
      </c>
      <c r="M878" s="1">
        <f t="shared" si="27"/>
        <v>45929</v>
      </c>
      <c r="N878" t="s">
        <v>1641</v>
      </c>
      <c r="O878">
        <v>0</v>
      </c>
    </row>
    <row r="879" spans="1:15">
      <c r="A879" s="6" t="s">
        <v>14</v>
      </c>
      <c r="B879" t="s">
        <v>15</v>
      </c>
      <c r="C879" t="s">
        <v>217</v>
      </c>
      <c r="D879" t="s">
        <v>218</v>
      </c>
      <c r="E879" s="1">
        <v>45929</v>
      </c>
      <c r="F879">
        <v>3</v>
      </c>
      <c r="G879">
        <v>3036</v>
      </c>
      <c r="H879">
        <v>90000</v>
      </c>
      <c r="I879">
        <v>0</v>
      </c>
      <c r="J879">
        <f t="shared" si="26"/>
        <v>90000</v>
      </c>
      <c r="K879" t="s">
        <v>1640</v>
      </c>
      <c r="L879">
        <v>3036</v>
      </c>
      <c r="M879" s="1">
        <f t="shared" si="27"/>
        <v>45929</v>
      </c>
      <c r="N879" t="s">
        <v>1641</v>
      </c>
      <c r="O879">
        <v>0</v>
      </c>
    </row>
    <row r="880" spans="1:15">
      <c r="A880" s="6" t="s">
        <v>14</v>
      </c>
      <c r="B880" t="s">
        <v>15</v>
      </c>
      <c r="C880" t="s">
        <v>219</v>
      </c>
      <c r="D880" t="s">
        <v>220</v>
      </c>
      <c r="E880" s="1">
        <v>45929</v>
      </c>
      <c r="F880">
        <v>3</v>
      </c>
      <c r="G880">
        <v>3914</v>
      </c>
      <c r="H880">
        <v>73000</v>
      </c>
      <c r="I880">
        <v>0</v>
      </c>
      <c r="J880">
        <f t="shared" si="26"/>
        <v>73000</v>
      </c>
      <c r="K880" t="s">
        <v>1640</v>
      </c>
      <c r="L880">
        <v>3914</v>
      </c>
      <c r="M880" s="1">
        <f t="shared" si="27"/>
        <v>45929</v>
      </c>
      <c r="N880" t="s">
        <v>1641</v>
      </c>
      <c r="O880">
        <v>0</v>
      </c>
    </row>
    <row r="881" spans="1:15">
      <c r="A881" s="6" t="s">
        <v>14</v>
      </c>
      <c r="B881" t="s">
        <v>15</v>
      </c>
      <c r="C881" t="s">
        <v>221</v>
      </c>
      <c r="D881" t="s">
        <v>222</v>
      </c>
      <c r="E881" s="1">
        <v>45929</v>
      </c>
      <c r="F881">
        <v>3</v>
      </c>
      <c r="G881">
        <v>2420</v>
      </c>
      <c r="H881">
        <v>73000</v>
      </c>
      <c r="I881">
        <v>0</v>
      </c>
      <c r="J881">
        <f t="shared" si="26"/>
        <v>73000</v>
      </c>
      <c r="K881" t="s">
        <v>1640</v>
      </c>
      <c r="L881">
        <v>2420</v>
      </c>
      <c r="M881" s="1">
        <f t="shared" si="27"/>
        <v>45929</v>
      </c>
      <c r="N881" t="s">
        <v>1641</v>
      </c>
      <c r="O881">
        <v>0</v>
      </c>
    </row>
    <row r="882" spans="1:15">
      <c r="A882" s="6" t="s">
        <v>14</v>
      </c>
      <c r="B882" t="s">
        <v>15</v>
      </c>
      <c r="C882" t="s">
        <v>225</v>
      </c>
      <c r="D882" t="s">
        <v>226</v>
      </c>
      <c r="E882" s="1">
        <v>45929</v>
      </c>
      <c r="F882">
        <v>3</v>
      </c>
      <c r="G882">
        <v>4860</v>
      </c>
      <c r="H882">
        <v>92000</v>
      </c>
      <c r="I882">
        <v>0</v>
      </c>
      <c r="J882">
        <f t="shared" si="26"/>
        <v>92000</v>
      </c>
      <c r="K882" t="s">
        <v>1640</v>
      </c>
      <c r="L882">
        <v>4860</v>
      </c>
      <c r="M882" s="1">
        <f t="shared" si="27"/>
        <v>45929</v>
      </c>
      <c r="N882" t="s">
        <v>1641</v>
      </c>
      <c r="O882">
        <v>0</v>
      </c>
    </row>
    <row r="883" spans="1:15">
      <c r="A883" s="6" t="s">
        <v>14</v>
      </c>
      <c r="B883" t="s">
        <v>15</v>
      </c>
      <c r="C883" t="s">
        <v>229</v>
      </c>
      <c r="D883" t="s">
        <v>230</v>
      </c>
      <c r="E883" s="1">
        <v>45929</v>
      </c>
      <c r="F883">
        <v>3</v>
      </c>
      <c r="G883">
        <v>4200</v>
      </c>
      <c r="H883">
        <v>77000</v>
      </c>
      <c r="I883">
        <v>0</v>
      </c>
      <c r="J883">
        <f t="shared" si="26"/>
        <v>77000</v>
      </c>
      <c r="K883" t="s">
        <v>1640</v>
      </c>
      <c r="L883">
        <v>4200</v>
      </c>
      <c r="M883" s="1">
        <f t="shared" si="27"/>
        <v>45929</v>
      </c>
      <c r="N883" t="s">
        <v>1641</v>
      </c>
      <c r="O883">
        <v>0</v>
      </c>
    </row>
    <row r="884" spans="1:15">
      <c r="A884" s="6" t="s">
        <v>14</v>
      </c>
      <c r="B884" t="s">
        <v>15</v>
      </c>
      <c r="C884" t="s">
        <v>233</v>
      </c>
      <c r="D884" t="s">
        <v>1645</v>
      </c>
      <c r="E884" s="1">
        <v>45929</v>
      </c>
      <c r="F884">
        <v>3</v>
      </c>
      <c r="G884">
        <v>4320</v>
      </c>
      <c r="H884">
        <v>80000</v>
      </c>
      <c r="I884">
        <v>0</v>
      </c>
      <c r="J884">
        <f t="shared" si="26"/>
        <v>80000</v>
      </c>
      <c r="K884" t="s">
        <v>1640</v>
      </c>
      <c r="L884">
        <v>4320</v>
      </c>
      <c r="M884" s="1">
        <f t="shared" si="27"/>
        <v>45929</v>
      </c>
      <c r="N884" t="s">
        <v>1641</v>
      </c>
      <c r="O884">
        <v>0</v>
      </c>
    </row>
    <row r="885" spans="1:15">
      <c r="A885" s="6" t="s">
        <v>14</v>
      </c>
      <c r="B885" t="s">
        <v>15</v>
      </c>
      <c r="C885" t="s">
        <v>236</v>
      </c>
      <c r="D885" t="s">
        <v>237</v>
      </c>
      <c r="E885" s="1">
        <v>45929</v>
      </c>
      <c r="F885">
        <v>3</v>
      </c>
      <c r="G885">
        <v>2430</v>
      </c>
      <c r="H885">
        <v>73000</v>
      </c>
      <c r="I885">
        <v>0</v>
      </c>
      <c r="J885">
        <f t="shared" si="26"/>
        <v>73000</v>
      </c>
      <c r="K885" t="s">
        <v>1640</v>
      </c>
      <c r="L885">
        <v>2430</v>
      </c>
      <c r="M885" s="1">
        <f t="shared" si="27"/>
        <v>45929</v>
      </c>
      <c r="N885" t="s">
        <v>1641</v>
      </c>
      <c r="O885">
        <v>0</v>
      </c>
    </row>
    <row r="886" spans="1:15">
      <c r="A886" s="6" t="s">
        <v>14</v>
      </c>
      <c r="B886" t="s">
        <v>15</v>
      </c>
      <c r="C886" t="s">
        <v>238</v>
      </c>
      <c r="D886" t="s">
        <v>239</v>
      </c>
      <c r="E886" s="1">
        <v>45929</v>
      </c>
      <c r="F886">
        <v>3</v>
      </c>
      <c r="G886">
        <v>4060</v>
      </c>
      <c r="H886">
        <v>74625</v>
      </c>
      <c r="I886">
        <v>0</v>
      </c>
      <c r="J886">
        <f t="shared" si="26"/>
        <v>74625</v>
      </c>
      <c r="K886" t="s">
        <v>1640</v>
      </c>
      <c r="L886">
        <v>4060</v>
      </c>
      <c r="M886" s="1">
        <f t="shared" si="27"/>
        <v>45929</v>
      </c>
      <c r="N886" t="s">
        <v>1641</v>
      </c>
      <c r="O886">
        <v>0</v>
      </c>
    </row>
    <row r="887" spans="1:15">
      <c r="A887" s="6" t="s">
        <v>14</v>
      </c>
      <c r="B887" t="s">
        <v>15</v>
      </c>
      <c r="C887" t="s">
        <v>240</v>
      </c>
      <c r="D887" t="s">
        <v>241</v>
      </c>
      <c r="E887" s="1">
        <v>45929</v>
      </c>
      <c r="F887">
        <v>3</v>
      </c>
      <c r="G887">
        <v>3080</v>
      </c>
      <c r="H887">
        <v>100000</v>
      </c>
      <c r="I887">
        <v>0</v>
      </c>
      <c r="J887">
        <f t="shared" si="26"/>
        <v>100000</v>
      </c>
      <c r="K887" t="s">
        <v>1640</v>
      </c>
      <c r="L887">
        <v>3080</v>
      </c>
      <c r="M887" s="1">
        <f t="shared" si="27"/>
        <v>45929</v>
      </c>
      <c r="N887" t="s">
        <v>1641</v>
      </c>
      <c r="O887">
        <v>0</v>
      </c>
    </row>
    <row r="888" spans="1:15">
      <c r="A888" s="6" t="s">
        <v>14</v>
      </c>
      <c r="B888" t="s">
        <v>15</v>
      </c>
      <c r="C888" t="s">
        <v>242</v>
      </c>
      <c r="D888" t="s">
        <v>243</v>
      </c>
      <c r="E888" s="1">
        <v>45929</v>
      </c>
      <c r="F888">
        <v>3</v>
      </c>
      <c r="G888">
        <v>2886</v>
      </c>
      <c r="H888">
        <v>84677</v>
      </c>
      <c r="I888">
        <v>0</v>
      </c>
      <c r="J888">
        <f t="shared" si="26"/>
        <v>84677</v>
      </c>
      <c r="K888" t="s">
        <v>1640</v>
      </c>
      <c r="L888">
        <v>2886</v>
      </c>
      <c r="M888" s="1">
        <f t="shared" si="27"/>
        <v>45929</v>
      </c>
      <c r="N888" t="s">
        <v>1641</v>
      </c>
      <c r="O888">
        <v>0</v>
      </c>
    </row>
    <row r="889" spans="1:15">
      <c r="A889" s="6" t="s">
        <v>14</v>
      </c>
      <c r="B889" t="s">
        <v>15</v>
      </c>
      <c r="C889" t="s">
        <v>250</v>
      </c>
      <c r="D889" t="s">
        <v>251</v>
      </c>
      <c r="E889" s="1">
        <v>45929</v>
      </c>
      <c r="F889">
        <v>3</v>
      </c>
      <c r="G889">
        <v>3432</v>
      </c>
      <c r="H889">
        <v>120000</v>
      </c>
      <c r="I889">
        <v>0</v>
      </c>
      <c r="J889">
        <f t="shared" si="26"/>
        <v>120000</v>
      </c>
      <c r="K889" t="s">
        <v>1640</v>
      </c>
      <c r="L889">
        <v>3432</v>
      </c>
      <c r="M889" s="1">
        <f t="shared" si="27"/>
        <v>45929</v>
      </c>
      <c r="N889" t="s">
        <v>1641</v>
      </c>
      <c r="O889">
        <v>0</v>
      </c>
    </row>
    <row r="890" spans="1:15">
      <c r="A890" s="6" t="s">
        <v>14</v>
      </c>
      <c r="B890" t="s">
        <v>15</v>
      </c>
      <c r="C890" t="s">
        <v>262</v>
      </c>
      <c r="D890" t="s">
        <v>263</v>
      </c>
      <c r="E890" s="1">
        <v>45929</v>
      </c>
      <c r="F890">
        <v>3</v>
      </c>
      <c r="G890">
        <v>2592</v>
      </c>
      <c r="H890">
        <v>78645</v>
      </c>
      <c r="I890">
        <v>0</v>
      </c>
      <c r="J890">
        <f t="shared" si="26"/>
        <v>78645</v>
      </c>
      <c r="K890" t="s">
        <v>1640</v>
      </c>
      <c r="L890">
        <v>2592</v>
      </c>
      <c r="M890" s="1">
        <f t="shared" si="27"/>
        <v>45929</v>
      </c>
      <c r="N890" t="s">
        <v>1641</v>
      </c>
      <c r="O890">
        <v>0</v>
      </c>
    </row>
    <row r="891" spans="1:15">
      <c r="A891" s="6" t="s">
        <v>14</v>
      </c>
      <c r="B891" t="s">
        <v>15</v>
      </c>
      <c r="C891" t="s">
        <v>306</v>
      </c>
      <c r="D891" t="s">
        <v>307</v>
      </c>
      <c r="E891" s="1">
        <v>45929</v>
      </c>
      <c r="F891">
        <v>3</v>
      </c>
      <c r="G891">
        <v>2728</v>
      </c>
      <c r="H891">
        <v>77921</v>
      </c>
      <c r="I891">
        <v>0</v>
      </c>
      <c r="J891">
        <f t="shared" si="26"/>
        <v>77921</v>
      </c>
      <c r="K891" t="s">
        <v>1640</v>
      </c>
      <c r="L891">
        <v>2728</v>
      </c>
      <c r="M891" s="1">
        <f t="shared" si="27"/>
        <v>45929</v>
      </c>
      <c r="N891" t="s">
        <v>1641</v>
      </c>
      <c r="O891">
        <v>0</v>
      </c>
    </row>
    <row r="892" spans="1:15">
      <c r="A892" s="6" t="s">
        <v>14</v>
      </c>
      <c r="B892" t="s">
        <v>15</v>
      </c>
      <c r="C892" t="s">
        <v>308</v>
      </c>
      <c r="D892" t="s">
        <v>309</v>
      </c>
      <c r="E892" s="1">
        <v>45929</v>
      </c>
      <c r="F892">
        <v>3</v>
      </c>
      <c r="G892">
        <v>2808</v>
      </c>
      <c r="H892">
        <v>88414</v>
      </c>
      <c r="I892">
        <v>0</v>
      </c>
      <c r="J892">
        <f t="shared" si="26"/>
        <v>88414</v>
      </c>
      <c r="K892" t="s">
        <v>1640</v>
      </c>
      <c r="L892">
        <v>2808</v>
      </c>
      <c r="M892" s="1">
        <f t="shared" si="27"/>
        <v>45929</v>
      </c>
      <c r="N892" t="s">
        <v>1641</v>
      </c>
      <c r="O892">
        <v>0</v>
      </c>
    </row>
    <row r="893" spans="1:15">
      <c r="A893" s="6" t="s">
        <v>14</v>
      </c>
      <c r="B893" t="s">
        <v>15</v>
      </c>
      <c r="C893" t="s">
        <v>310</v>
      </c>
      <c r="D893" t="s">
        <v>311</v>
      </c>
      <c r="E893" s="1">
        <v>45929</v>
      </c>
      <c r="F893">
        <v>3</v>
      </c>
      <c r="G893">
        <v>1410</v>
      </c>
      <c r="H893">
        <v>98000</v>
      </c>
      <c r="I893">
        <v>0</v>
      </c>
      <c r="J893">
        <f t="shared" si="26"/>
        <v>98000</v>
      </c>
      <c r="K893" t="s">
        <v>1640</v>
      </c>
      <c r="L893">
        <v>1410</v>
      </c>
      <c r="M893" s="1">
        <f t="shared" si="27"/>
        <v>45929</v>
      </c>
      <c r="N893" t="s">
        <v>1641</v>
      </c>
      <c r="O893">
        <v>0</v>
      </c>
    </row>
    <row r="894" spans="1:15">
      <c r="A894" s="6" t="s">
        <v>14</v>
      </c>
      <c r="B894" t="s">
        <v>15</v>
      </c>
      <c r="C894" t="s">
        <v>312</v>
      </c>
      <c r="D894" t="s">
        <v>313</v>
      </c>
      <c r="E894" s="1">
        <v>45929</v>
      </c>
      <c r="F894">
        <v>3</v>
      </c>
      <c r="G894">
        <v>1782</v>
      </c>
      <c r="H894">
        <v>52000</v>
      </c>
      <c r="I894">
        <v>0</v>
      </c>
      <c r="J894">
        <f t="shared" si="26"/>
        <v>52000</v>
      </c>
      <c r="K894" t="s">
        <v>1640</v>
      </c>
      <c r="L894">
        <v>1782</v>
      </c>
      <c r="M894" s="1">
        <f t="shared" si="27"/>
        <v>45929</v>
      </c>
      <c r="N894" t="s">
        <v>1641</v>
      </c>
      <c r="O894">
        <v>0</v>
      </c>
    </row>
    <row r="895" spans="1:15">
      <c r="A895" s="6" t="s">
        <v>14</v>
      </c>
      <c r="B895" t="s">
        <v>15</v>
      </c>
      <c r="C895" t="s">
        <v>314</v>
      </c>
      <c r="D895" t="s">
        <v>315</v>
      </c>
      <c r="E895" s="1">
        <v>45929</v>
      </c>
      <c r="F895">
        <v>3</v>
      </c>
      <c r="G895">
        <v>3710</v>
      </c>
      <c r="H895">
        <v>106791.67</v>
      </c>
      <c r="I895">
        <v>0</v>
      </c>
      <c r="J895">
        <f t="shared" si="26"/>
        <v>106791.67</v>
      </c>
      <c r="K895" t="s">
        <v>1640</v>
      </c>
      <c r="L895">
        <v>3710</v>
      </c>
      <c r="M895" s="1">
        <f t="shared" si="27"/>
        <v>45929</v>
      </c>
      <c r="N895" t="s">
        <v>1641</v>
      </c>
      <c r="O895">
        <v>0</v>
      </c>
    </row>
    <row r="896" spans="1:15">
      <c r="A896" s="6" t="s">
        <v>14</v>
      </c>
      <c r="B896" t="s">
        <v>15</v>
      </c>
      <c r="C896" t="s">
        <v>316</v>
      </c>
      <c r="D896" t="s">
        <v>317</v>
      </c>
      <c r="E896" s="1">
        <v>45929</v>
      </c>
      <c r="F896">
        <v>3</v>
      </c>
      <c r="G896">
        <v>0</v>
      </c>
      <c r="H896">
        <v>77507.5</v>
      </c>
      <c r="I896">
        <v>0</v>
      </c>
      <c r="J896">
        <f t="shared" si="26"/>
        <v>77507.5</v>
      </c>
      <c r="K896" t="s">
        <v>1640</v>
      </c>
      <c r="L896">
        <v>0</v>
      </c>
      <c r="M896" s="1">
        <f t="shared" si="27"/>
        <v>45929</v>
      </c>
      <c r="N896" t="s">
        <v>1641</v>
      </c>
      <c r="O896">
        <v>0</v>
      </c>
    </row>
    <row r="897" spans="1:15">
      <c r="A897" s="6" t="s">
        <v>14</v>
      </c>
      <c r="B897" t="s">
        <v>15</v>
      </c>
      <c r="C897" t="s">
        <v>318</v>
      </c>
      <c r="D897" t="s">
        <v>319</v>
      </c>
      <c r="E897" s="1">
        <v>45929</v>
      </c>
      <c r="F897">
        <v>3</v>
      </c>
      <c r="G897">
        <v>3330</v>
      </c>
      <c r="H897">
        <v>80000</v>
      </c>
      <c r="I897">
        <v>0</v>
      </c>
      <c r="J897">
        <f t="shared" si="26"/>
        <v>80000</v>
      </c>
      <c r="K897" t="s">
        <v>1640</v>
      </c>
      <c r="L897">
        <v>3330</v>
      </c>
      <c r="M897" s="1">
        <f t="shared" si="27"/>
        <v>45929</v>
      </c>
      <c r="N897" t="s">
        <v>1641</v>
      </c>
      <c r="O897">
        <v>0</v>
      </c>
    </row>
    <row r="898" spans="1:15">
      <c r="A898" s="6" t="s">
        <v>14</v>
      </c>
      <c r="B898" t="s">
        <v>15</v>
      </c>
      <c r="C898" t="s">
        <v>322</v>
      </c>
      <c r="D898" t="s">
        <v>323</v>
      </c>
      <c r="E898" s="1">
        <v>45929</v>
      </c>
      <c r="F898">
        <v>3</v>
      </c>
      <c r="G898">
        <v>1105</v>
      </c>
      <c r="H898">
        <v>19454</v>
      </c>
      <c r="I898">
        <v>0</v>
      </c>
      <c r="J898">
        <f t="shared" si="26"/>
        <v>19454</v>
      </c>
      <c r="K898" t="s">
        <v>1640</v>
      </c>
      <c r="L898">
        <v>1105</v>
      </c>
      <c r="M898" s="1">
        <f t="shared" si="27"/>
        <v>45929</v>
      </c>
      <c r="N898" t="s">
        <v>1641</v>
      </c>
      <c r="O898">
        <v>0</v>
      </c>
    </row>
    <row r="899" spans="1:15">
      <c r="A899" s="6" t="s">
        <v>14</v>
      </c>
      <c r="B899" t="s">
        <v>15</v>
      </c>
      <c r="C899" t="s">
        <v>324</v>
      </c>
      <c r="D899" t="s">
        <v>325</v>
      </c>
      <c r="E899" s="1">
        <v>45929</v>
      </c>
      <c r="F899">
        <v>3</v>
      </c>
      <c r="G899">
        <v>2250</v>
      </c>
      <c r="H899">
        <v>69260</v>
      </c>
      <c r="I899">
        <v>0</v>
      </c>
      <c r="J899">
        <f t="shared" ref="J899:J962" si="28">H899-I899</f>
        <v>69260</v>
      </c>
      <c r="K899" t="s">
        <v>1640</v>
      </c>
      <c r="L899">
        <v>2250</v>
      </c>
      <c r="M899" s="1">
        <f t="shared" ref="M899:M962" si="29">E899</f>
        <v>45929</v>
      </c>
      <c r="N899" t="s">
        <v>1641</v>
      </c>
      <c r="O899">
        <v>0</v>
      </c>
    </row>
    <row r="900" spans="1:15">
      <c r="A900" s="6" t="s">
        <v>14</v>
      </c>
      <c r="B900" t="s">
        <v>15</v>
      </c>
      <c r="C900" t="s">
        <v>326</v>
      </c>
      <c r="D900" t="s">
        <v>327</v>
      </c>
      <c r="E900" s="1">
        <v>45929</v>
      </c>
      <c r="F900">
        <v>3</v>
      </c>
      <c r="G900">
        <v>4092</v>
      </c>
      <c r="H900">
        <v>122717</v>
      </c>
      <c r="I900">
        <v>0</v>
      </c>
      <c r="J900">
        <f t="shared" si="28"/>
        <v>122717</v>
      </c>
      <c r="K900" t="s">
        <v>1640</v>
      </c>
      <c r="L900">
        <v>4092</v>
      </c>
      <c r="M900" s="1">
        <f t="shared" si="29"/>
        <v>45929</v>
      </c>
      <c r="N900" t="s">
        <v>1641</v>
      </c>
      <c r="O900">
        <v>0</v>
      </c>
    </row>
    <row r="901" spans="1:15">
      <c r="A901" s="6" t="s">
        <v>14</v>
      </c>
      <c r="B901" t="s">
        <v>15</v>
      </c>
      <c r="C901" t="s">
        <v>328</v>
      </c>
      <c r="D901" t="s">
        <v>329</v>
      </c>
      <c r="E901" s="1">
        <v>45929</v>
      </c>
      <c r="F901">
        <v>3</v>
      </c>
      <c r="G901">
        <v>3780</v>
      </c>
      <c r="H901">
        <v>114888</v>
      </c>
      <c r="I901">
        <v>0</v>
      </c>
      <c r="J901">
        <f t="shared" si="28"/>
        <v>114888</v>
      </c>
      <c r="K901" t="s">
        <v>1640</v>
      </c>
      <c r="L901">
        <v>3780</v>
      </c>
      <c r="M901" s="1">
        <f t="shared" si="29"/>
        <v>45929</v>
      </c>
      <c r="N901" t="s">
        <v>1641</v>
      </c>
      <c r="O901">
        <v>0</v>
      </c>
    </row>
    <row r="902" spans="1:15">
      <c r="A902" s="6" t="s">
        <v>14</v>
      </c>
      <c r="B902" t="s">
        <v>15</v>
      </c>
      <c r="C902" t="s">
        <v>330</v>
      </c>
      <c r="D902" t="s">
        <v>331</v>
      </c>
      <c r="E902" s="1">
        <v>45929</v>
      </c>
      <c r="F902">
        <v>3</v>
      </c>
      <c r="G902">
        <v>3519</v>
      </c>
      <c r="H902">
        <v>102530</v>
      </c>
      <c r="I902">
        <v>0</v>
      </c>
      <c r="J902">
        <f t="shared" si="28"/>
        <v>102530</v>
      </c>
      <c r="K902" t="s">
        <v>1640</v>
      </c>
      <c r="L902">
        <v>3519</v>
      </c>
      <c r="M902" s="1">
        <f t="shared" si="29"/>
        <v>45929</v>
      </c>
      <c r="N902" t="s">
        <v>1641</v>
      </c>
      <c r="O902">
        <v>0</v>
      </c>
    </row>
    <row r="903" spans="1:15">
      <c r="A903" s="6" t="s">
        <v>14</v>
      </c>
      <c r="B903" t="s">
        <v>15</v>
      </c>
      <c r="C903" t="s">
        <v>332</v>
      </c>
      <c r="D903" t="s">
        <v>333</v>
      </c>
      <c r="E903" s="1">
        <v>45929</v>
      </c>
      <c r="F903">
        <v>3</v>
      </c>
      <c r="G903">
        <v>3840</v>
      </c>
      <c r="H903">
        <v>130500</v>
      </c>
      <c r="I903">
        <v>0</v>
      </c>
      <c r="J903">
        <f t="shared" si="28"/>
        <v>130500</v>
      </c>
      <c r="K903" t="s">
        <v>1640</v>
      </c>
      <c r="L903">
        <v>3840</v>
      </c>
      <c r="M903" s="1">
        <f t="shared" si="29"/>
        <v>45929</v>
      </c>
      <c r="N903" t="s">
        <v>1641</v>
      </c>
      <c r="O903">
        <v>0</v>
      </c>
    </row>
    <row r="904" spans="1:15">
      <c r="A904" s="6" t="s">
        <v>14</v>
      </c>
      <c r="B904" t="s">
        <v>15</v>
      </c>
      <c r="C904" t="s">
        <v>334</v>
      </c>
      <c r="D904" t="s">
        <v>335</v>
      </c>
      <c r="E904" s="1">
        <v>45929</v>
      </c>
      <c r="F904">
        <v>3</v>
      </c>
      <c r="G904">
        <v>4060</v>
      </c>
      <c r="H904">
        <v>119788</v>
      </c>
      <c r="I904">
        <v>0</v>
      </c>
      <c r="J904">
        <f t="shared" si="28"/>
        <v>119788</v>
      </c>
      <c r="K904" t="s">
        <v>1640</v>
      </c>
      <c r="L904">
        <v>4060</v>
      </c>
      <c r="M904" s="1">
        <f t="shared" si="29"/>
        <v>45929</v>
      </c>
      <c r="N904" t="s">
        <v>1641</v>
      </c>
      <c r="O904">
        <v>0</v>
      </c>
    </row>
    <row r="905" spans="1:15">
      <c r="A905" s="6" t="s">
        <v>14</v>
      </c>
      <c r="B905" t="s">
        <v>15</v>
      </c>
      <c r="C905" t="s">
        <v>336</v>
      </c>
      <c r="D905" t="s">
        <v>337</v>
      </c>
      <c r="E905" s="1">
        <v>45929</v>
      </c>
      <c r="F905">
        <v>3</v>
      </c>
      <c r="G905">
        <v>2400</v>
      </c>
      <c r="H905">
        <v>44000</v>
      </c>
      <c r="I905">
        <v>0</v>
      </c>
      <c r="J905">
        <f t="shared" si="28"/>
        <v>44000</v>
      </c>
      <c r="K905" t="s">
        <v>1640</v>
      </c>
      <c r="L905">
        <v>2400</v>
      </c>
      <c r="M905" s="1">
        <f t="shared" si="29"/>
        <v>45929</v>
      </c>
      <c r="N905" t="s">
        <v>1641</v>
      </c>
      <c r="O905">
        <v>0</v>
      </c>
    </row>
    <row r="906" spans="1:15">
      <c r="A906" s="6" t="s">
        <v>14</v>
      </c>
      <c r="B906" t="s">
        <v>15</v>
      </c>
      <c r="C906" t="s">
        <v>338</v>
      </c>
      <c r="D906" t="s">
        <v>339</v>
      </c>
      <c r="E906" s="1">
        <v>45929</v>
      </c>
      <c r="F906">
        <v>3</v>
      </c>
      <c r="G906">
        <v>3060</v>
      </c>
      <c r="H906">
        <v>92000</v>
      </c>
      <c r="I906">
        <v>0</v>
      </c>
      <c r="J906">
        <f t="shared" si="28"/>
        <v>92000</v>
      </c>
      <c r="K906" t="s">
        <v>1640</v>
      </c>
      <c r="L906">
        <v>3060</v>
      </c>
      <c r="M906" s="1">
        <f t="shared" si="29"/>
        <v>45929</v>
      </c>
      <c r="N906" t="s">
        <v>1641</v>
      </c>
      <c r="O906">
        <v>0</v>
      </c>
    </row>
    <row r="907" spans="1:15">
      <c r="A907" s="6" t="s">
        <v>14</v>
      </c>
      <c r="B907" t="s">
        <v>15</v>
      </c>
      <c r="C907" t="s">
        <v>340</v>
      </c>
      <c r="D907" t="s">
        <v>341</v>
      </c>
      <c r="E907" s="1">
        <v>45929</v>
      </c>
      <c r="F907">
        <v>3</v>
      </c>
      <c r="G907">
        <v>3835</v>
      </c>
      <c r="H907">
        <v>118000</v>
      </c>
      <c r="I907">
        <v>0</v>
      </c>
      <c r="J907">
        <f t="shared" si="28"/>
        <v>118000</v>
      </c>
      <c r="K907" t="s">
        <v>1640</v>
      </c>
      <c r="L907">
        <v>3835</v>
      </c>
      <c r="M907" s="1">
        <f t="shared" si="29"/>
        <v>45929</v>
      </c>
      <c r="N907" t="s">
        <v>1641</v>
      </c>
      <c r="O907">
        <v>0</v>
      </c>
    </row>
    <row r="908" spans="1:15">
      <c r="A908" s="6" t="s">
        <v>14</v>
      </c>
      <c r="B908" t="s">
        <v>15</v>
      </c>
      <c r="C908" t="s">
        <v>342</v>
      </c>
      <c r="D908" t="s">
        <v>343</v>
      </c>
      <c r="E908" s="1">
        <v>45929</v>
      </c>
      <c r="F908">
        <v>3</v>
      </c>
      <c r="G908">
        <v>5760</v>
      </c>
      <c r="H908">
        <v>173888</v>
      </c>
      <c r="I908">
        <v>0</v>
      </c>
      <c r="J908">
        <f t="shared" si="28"/>
        <v>173888</v>
      </c>
      <c r="K908" t="s">
        <v>1640</v>
      </c>
      <c r="L908">
        <v>5760</v>
      </c>
      <c r="M908" s="1">
        <f t="shared" si="29"/>
        <v>45929</v>
      </c>
      <c r="N908" t="s">
        <v>1641</v>
      </c>
      <c r="O908">
        <v>0</v>
      </c>
    </row>
    <row r="909" spans="1:15">
      <c r="A909" s="6" t="s">
        <v>14</v>
      </c>
      <c r="B909" t="s">
        <v>15</v>
      </c>
      <c r="C909" t="s">
        <v>344</v>
      </c>
      <c r="D909" t="s">
        <v>345</v>
      </c>
      <c r="E909" s="1">
        <v>45929</v>
      </c>
      <c r="F909">
        <v>3</v>
      </c>
      <c r="G909">
        <v>4230</v>
      </c>
      <c r="H909">
        <v>119000</v>
      </c>
      <c r="I909">
        <v>0</v>
      </c>
      <c r="J909">
        <f t="shared" si="28"/>
        <v>119000</v>
      </c>
      <c r="K909" t="s">
        <v>1640</v>
      </c>
      <c r="L909">
        <v>4230</v>
      </c>
      <c r="M909" s="1">
        <f t="shared" si="29"/>
        <v>45929</v>
      </c>
      <c r="N909" t="s">
        <v>1641</v>
      </c>
      <c r="O909">
        <v>0</v>
      </c>
    </row>
    <row r="910" spans="1:15">
      <c r="A910" s="6" t="s">
        <v>14</v>
      </c>
      <c r="B910" t="s">
        <v>15</v>
      </c>
      <c r="C910" t="s">
        <v>346</v>
      </c>
      <c r="D910" t="s">
        <v>347</v>
      </c>
      <c r="E910" s="1">
        <v>45929</v>
      </c>
      <c r="F910">
        <v>3</v>
      </c>
      <c r="G910">
        <v>3420</v>
      </c>
      <c r="H910">
        <v>109415</v>
      </c>
      <c r="I910">
        <v>0</v>
      </c>
      <c r="J910">
        <f t="shared" si="28"/>
        <v>109415</v>
      </c>
      <c r="K910" t="s">
        <v>1640</v>
      </c>
      <c r="L910">
        <v>3420</v>
      </c>
      <c r="M910" s="1">
        <f t="shared" si="29"/>
        <v>45929</v>
      </c>
      <c r="N910" t="s">
        <v>1641</v>
      </c>
      <c r="O910">
        <v>0</v>
      </c>
    </row>
    <row r="911" spans="1:15">
      <c r="A911" s="6" t="s">
        <v>14</v>
      </c>
      <c r="B911" t="s">
        <v>15</v>
      </c>
      <c r="C911" t="s">
        <v>350</v>
      </c>
      <c r="D911" t="s">
        <v>351</v>
      </c>
      <c r="E911" s="1">
        <v>45929</v>
      </c>
      <c r="F911">
        <v>3</v>
      </c>
      <c r="G911">
        <v>2940</v>
      </c>
      <c r="H911">
        <v>90777</v>
      </c>
      <c r="I911">
        <v>0</v>
      </c>
      <c r="J911">
        <f t="shared" si="28"/>
        <v>90777</v>
      </c>
      <c r="K911" t="s">
        <v>1640</v>
      </c>
      <c r="L911">
        <v>2940</v>
      </c>
      <c r="M911" s="1">
        <f t="shared" si="29"/>
        <v>45929</v>
      </c>
      <c r="N911" t="s">
        <v>1641</v>
      </c>
      <c r="O911">
        <v>0</v>
      </c>
    </row>
    <row r="912" spans="1:15">
      <c r="A912" s="6" t="s">
        <v>14</v>
      </c>
      <c r="B912" t="s">
        <v>15</v>
      </c>
      <c r="C912" t="s">
        <v>352</v>
      </c>
      <c r="D912" t="s">
        <v>353</v>
      </c>
      <c r="E912" s="1">
        <v>45929</v>
      </c>
      <c r="F912">
        <v>3</v>
      </c>
      <c r="G912">
        <v>3250</v>
      </c>
      <c r="H912">
        <v>97686</v>
      </c>
      <c r="I912">
        <v>0</v>
      </c>
      <c r="J912">
        <f t="shared" si="28"/>
        <v>97686</v>
      </c>
      <c r="K912" t="s">
        <v>1640</v>
      </c>
      <c r="L912">
        <v>3250</v>
      </c>
      <c r="M912" s="1">
        <f t="shared" si="29"/>
        <v>45929</v>
      </c>
      <c r="N912" t="s">
        <v>1641</v>
      </c>
      <c r="O912">
        <v>0</v>
      </c>
    </row>
    <row r="913" spans="1:15">
      <c r="A913" s="6" t="s">
        <v>14</v>
      </c>
      <c r="B913" t="s">
        <v>15</v>
      </c>
      <c r="C913" t="s">
        <v>354</v>
      </c>
      <c r="D913" t="s">
        <v>355</v>
      </c>
      <c r="E913" s="1">
        <v>45929</v>
      </c>
      <c r="F913">
        <v>3</v>
      </c>
      <c r="G913">
        <v>3976</v>
      </c>
      <c r="H913">
        <v>117000</v>
      </c>
      <c r="I913">
        <v>0</v>
      </c>
      <c r="J913">
        <f t="shared" si="28"/>
        <v>117000</v>
      </c>
      <c r="K913" t="s">
        <v>1640</v>
      </c>
      <c r="L913">
        <v>3976</v>
      </c>
      <c r="M913" s="1">
        <f t="shared" si="29"/>
        <v>45929</v>
      </c>
      <c r="N913" t="s">
        <v>1641</v>
      </c>
      <c r="O913">
        <v>0</v>
      </c>
    </row>
    <row r="914" spans="1:15">
      <c r="A914" s="6" t="s">
        <v>14</v>
      </c>
      <c r="B914" t="s">
        <v>15</v>
      </c>
      <c r="C914" t="s">
        <v>356</v>
      </c>
      <c r="D914" t="s">
        <v>357</v>
      </c>
      <c r="E914" s="1">
        <v>45929</v>
      </c>
      <c r="F914">
        <v>3</v>
      </c>
      <c r="G914">
        <v>4176</v>
      </c>
      <c r="H914">
        <v>126800</v>
      </c>
      <c r="I914">
        <v>0</v>
      </c>
      <c r="J914">
        <f t="shared" si="28"/>
        <v>126800</v>
      </c>
      <c r="K914" t="s">
        <v>1640</v>
      </c>
      <c r="L914">
        <v>4176</v>
      </c>
      <c r="M914" s="1">
        <f t="shared" si="29"/>
        <v>45929</v>
      </c>
      <c r="N914" t="s">
        <v>1641</v>
      </c>
      <c r="O914">
        <v>0</v>
      </c>
    </row>
    <row r="915" spans="1:15">
      <c r="A915" s="6" t="s">
        <v>14</v>
      </c>
      <c r="B915" t="s">
        <v>15</v>
      </c>
      <c r="C915" t="s">
        <v>358</v>
      </c>
      <c r="D915" t="s">
        <v>359</v>
      </c>
      <c r="E915" s="1">
        <v>45929</v>
      </c>
      <c r="F915">
        <v>3</v>
      </c>
      <c r="G915">
        <v>3360</v>
      </c>
      <c r="H915">
        <v>121800</v>
      </c>
      <c r="I915">
        <v>0</v>
      </c>
      <c r="J915">
        <f t="shared" si="28"/>
        <v>121800</v>
      </c>
      <c r="K915" t="s">
        <v>1640</v>
      </c>
      <c r="L915">
        <v>3360</v>
      </c>
      <c r="M915" s="1">
        <f t="shared" si="29"/>
        <v>45929</v>
      </c>
      <c r="N915" t="s">
        <v>1641</v>
      </c>
      <c r="O915">
        <v>0</v>
      </c>
    </row>
    <row r="916" spans="1:15">
      <c r="A916" s="6" t="s">
        <v>14</v>
      </c>
      <c r="B916" t="s">
        <v>15</v>
      </c>
      <c r="C916" t="s">
        <v>360</v>
      </c>
      <c r="D916" t="s">
        <v>361</v>
      </c>
      <c r="E916" s="1">
        <v>45929</v>
      </c>
      <c r="F916">
        <v>3</v>
      </c>
      <c r="G916">
        <v>2696.1</v>
      </c>
      <c r="H916">
        <v>80000</v>
      </c>
      <c r="I916">
        <v>0</v>
      </c>
      <c r="J916">
        <f t="shared" si="28"/>
        <v>80000</v>
      </c>
      <c r="K916" t="s">
        <v>1640</v>
      </c>
      <c r="L916">
        <v>2696.1</v>
      </c>
      <c r="M916" s="1">
        <f t="shared" si="29"/>
        <v>45929</v>
      </c>
      <c r="N916" t="s">
        <v>1641</v>
      </c>
      <c r="O916">
        <v>0</v>
      </c>
    </row>
    <row r="917" spans="1:15">
      <c r="A917" s="6" t="s">
        <v>14</v>
      </c>
      <c r="B917" t="s">
        <v>15</v>
      </c>
      <c r="C917" t="s">
        <v>362</v>
      </c>
      <c r="D917" t="s">
        <v>363</v>
      </c>
      <c r="E917" s="1">
        <v>45929</v>
      </c>
      <c r="F917">
        <v>3</v>
      </c>
      <c r="G917">
        <v>2035.5</v>
      </c>
      <c r="H917">
        <v>59000</v>
      </c>
      <c r="I917">
        <v>0</v>
      </c>
      <c r="J917">
        <f t="shared" si="28"/>
        <v>59000</v>
      </c>
      <c r="K917" t="s">
        <v>1640</v>
      </c>
      <c r="L917">
        <v>2035.5</v>
      </c>
      <c r="M917" s="1">
        <f t="shared" si="29"/>
        <v>45929</v>
      </c>
      <c r="N917" t="s">
        <v>1641</v>
      </c>
      <c r="O917">
        <v>0</v>
      </c>
    </row>
    <row r="918" spans="1:15">
      <c r="A918" s="6" t="s">
        <v>14</v>
      </c>
      <c r="B918" t="s">
        <v>15</v>
      </c>
      <c r="C918" t="s">
        <v>364</v>
      </c>
      <c r="D918" t="s">
        <v>365</v>
      </c>
      <c r="E918" s="1">
        <v>45929</v>
      </c>
      <c r="F918">
        <v>3</v>
      </c>
      <c r="G918">
        <v>2795</v>
      </c>
      <c r="H918">
        <v>83042</v>
      </c>
      <c r="I918">
        <v>0</v>
      </c>
      <c r="J918">
        <f t="shared" si="28"/>
        <v>83042</v>
      </c>
      <c r="K918" t="s">
        <v>1640</v>
      </c>
      <c r="L918">
        <v>2795</v>
      </c>
      <c r="M918" s="1">
        <f t="shared" si="29"/>
        <v>45929</v>
      </c>
      <c r="N918" t="s">
        <v>1641</v>
      </c>
      <c r="O918">
        <v>0</v>
      </c>
    </row>
    <row r="919" spans="1:15">
      <c r="A919" s="6" t="s">
        <v>14</v>
      </c>
      <c r="B919" t="s">
        <v>15</v>
      </c>
      <c r="C919" t="s">
        <v>366</v>
      </c>
      <c r="D919" t="s">
        <v>367</v>
      </c>
      <c r="E919" s="1">
        <v>45929</v>
      </c>
      <c r="F919">
        <v>3</v>
      </c>
      <c r="G919">
        <v>2180</v>
      </c>
      <c r="H919">
        <v>104008</v>
      </c>
      <c r="I919">
        <v>0</v>
      </c>
      <c r="J919">
        <f t="shared" si="28"/>
        <v>104008</v>
      </c>
      <c r="K919" t="s">
        <v>1640</v>
      </c>
      <c r="L919">
        <v>2180</v>
      </c>
      <c r="M919" s="1">
        <f t="shared" si="29"/>
        <v>45929</v>
      </c>
      <c r="N919" t="s">
        <v>1641</v>
      </c>
      <c r="O919">
        <v>0</v>
      </c>
    </row>
    <row r="920" spans="1:15">
      <c r="A920" s="6" t="s">
        <v>14</v>
      </c>
      <c r="B920" t="s">
        <v>15</v>
      </c>
      <c r="C920" t="s">
        <v>368</v>
      </c>
      <c r="D920" t="s">
        <v>369</v>
      </c>
      <c r="E920" s="1">
        <v>45929</v>
      </c>
      <c r="F920">
        <v>3</v>
      </c>
      <c r="G920">
        <v>1615</v>
      </c>
      <c r="H920">
        <v>28553</v>
      </c>
      <c r="I920">
        <v>0</v>
      </c>
      <c r="J920">
        <f t="shared" si="28"/>
        <v>28553</v>
      </c>
      <c r="K920" t="s">
        <v>1640</v>
      </c>
      <c r="L920">
        <v>1615</v>
      </c>
      <c r="M920" s="1">
        <f t="shared" si="29"/>
        <v>45929</v>
      </c>
      <c r="N920" t="s">
        <v>1641</v>
      </c>
      <c r="O920">
        <v>0</v>
      </c>
    </row>
    <row r="921" spans="1:15">
      <c r="A921" s="6" t="s">
        <v>14</v>
      </c>
      <c r="B921" t="s">
        <v>15</v>
      </c>
      <c r="C921" t="s">
        <v>370</v>
      </c>
      <c r="D921" t="s">
        <v>371</v>
      </c>
      <c r="E921" s="1">
        <v>45929</v>
      </c>
      <c r="F921">
        <v>3</v>
      </c>
      <c r="G921">
        <v>2597</v>
      </c>
      <c r="H921">
        <v>77700</v>
      </c>
      <c r="I921">
        <v>0</v>
      </c>
      <c r="J921">
        <f t="shared" si="28"/>
        <v>77700</v>
      </c>
      <c r="K921" t="s">
        <v>1640</v>
      </c>
      <c r="L921">
        <v>2597</v>
      </c>
      <c r="M921" s="1">
        <f t="shared" si="29"/>
        <v>45929</v>
      </c>
      <c r="N921" t="s">
        <v>1641</v>
      </c>
      <c r="O921">
        <v>0</v>
      </c>
    </row>
    <row r="922" spans="1:15">
      <c r="A922" s="6" t="s">
        <v>14</v>
      </c>
      <c r="B922" t="s">
        <v>15</v>
      </c>
      <c r="C922" t="s">
        <v>372</v>
      </c>
      <c r="D922" t="s">
        <v>1646</v>
      </c>
      <c r="E922" s="1">
        <v>45929</v>
      </c>
      <c r="F922">
        <v>3</v>
      </c>
      <c r="G922">
        <v>4015</v>
      </c>
      <c r="H922">
        <v>121169</v>
      </c>
      <c r="I922">
        <v>0</v>
      </c>
      <c r="J922">
        <f t="shared" si="28"/>
        <v>121169</v>
      </c>
      <c r="K922" t="s">
        <v>1640</v>
      </c>
      <c r="L922">
        <v>4015</v>
      </c>
      <c r="M922" s="1">
        <f t="shared" si="29"/>
        <v>45929</v>
      </c>
      <c r="N922" t="s">
        <v>1641</v>
      </c>
      <c r="O922">
        <v>0</v>
      </c>
    </row>
    <row r="923" spans="1:15">
      <c r="A923" s="6" t="s">
        <v>14</v>
      </c>
      <c r="B923" t="s">
        <v>15</v>
      </c>
      <c r="C923" t="s">
        <v>373</v>
      </c>
      <c r="D923" t="s">
        <v>374</v>
      </c>
      <c r="E923" s="1">
        <v>45929</v>
      </c>
      <c r="F923">
        <v>3</v>
      </c>
      <c r="G923">
        <v>7370</v>
      </c>
      <c r="H923">
        <v>220995</v>
      </c>
      <c r="I923">
        <v>0</v>
      </c>
      <c r="J923">
        <f t="shared" si="28"/>
        <v>220995</v>
      </c>
      <c r="K923" t="s">
        <v>1640</v>
      </c>
      <c r="L923">
        <v>7370</v>
      </c>
      <c r="M923" s="1">
        <f t="shared" si="29"/>
        <v>45929</v>
      </c>
      <c r="N923" t="s">
        <v>1641</v>
      </c>
      <c r="O923">
        <v>0</v>
      </c>
    </row>
    <row r="924" spans="1:15">
      <c r="A924" s="6" t="s">
        <v>14</v>
      </c>
      <c r="B924" t="s">
        <v>15</v>
      </c>
      <c r="C924" t="s">
        <v>375</v>
      </c>
      <c r="D924" t="s">
        <v>376</v>
      </c>
      <c r="E924" s="1">
        <v>45929</v>
      </c>
      <c r="F924">
        <v>3</v>
      </c>
      <c r="G924">
        <v>2652</v>
      </c>
      <c r="H924">
        <v>77033</v>
      </c>
      <c r="I924">
        <v>0</v>
      </c>
      <c r="J924">
        <f t="shared" si="28"/>
        <v>77033</v>
      </c>
      <c r="K924" t="s">
        <v>1640</v>
      </c>
      <c r="L924">
        <v>2652</v>
      </c>
      <c r="M924" s="1">
        <f t="shared" si="29"/>
        <v>45929</v>
      </c>
      <c r="N924" t="s">
        <v>1641</v>
      </c>
      <c r="O924">
        <v>0</v>
      </c>
    </row>
    <row r="925" spans="1:15">
      <c r="A925" s="6" t="s">
        <v>14</v>
      </c>
      <c r="B925" t="s">
        <v>15</v>
      </c>
      <c r="C925" t="s">
        <v>377</v>
      </c>
      <c r="D925" t="s">
        <v>378</v>
      </c>
      <c r="E925" s="1">
        <v>45929</v>
      </c>
      <c r="F925">
        <v>3</v>
      </c>
      <c r="G925">
        <v>2200</v>
      </c>
      <c r="H925">
        <v>66000</v>
      </c>
      <c r="I925">
        <v>0</v>
      </c>
      <c r="J925">
        <f t="shared" si="28"/>
        <v>66000</v>
      </c>
      <c r="K925" t="s">
        <v>1640</v>
      </c>
      <c r="L925">
        <v>2200</v>
      </c>
      <c r="M925" s="1">
        <f t="shared" si="29"/>
        <v>45929</v>
      </c>
      <c r="N925" t="s">
        <v>1641</v>
      </c>
      <c r="O925">
        <v>0</v>
      </c>
    </row>
    <row r="926" spans="1:15">
      <c r="A926" s="6" t="s">
        <v>14</v>
      </c>
      <c r="B926" t="s">
        <v>15</v>
      </c>
      <c r="C926" t="s">
        <v>379</v>
      </c>
      <c r="D926" t="s">
        <v>380</v>
      </c>
      <c r="E926" s="1">
        <v>45929</v>
      </c>
      <c r="F926">
        <v>3</v>
      </c>
      <c r="G926">
        <v>2000</v>
      </c>
      <c r="H926">
        <v>33828</v>
      </c>
      <c r="I926">
        <v>0</v>
      </c>
      <c r="J926">
        <f t="shared" si="28"/>
        <v>33828</v>
      </c>
      <c r="K926" t="s">
        <v>1640</v>
      </c>
      <c r="L926">
        <v>2000</v>
      </c>
      <c r="M926" s="1">
        <f t="shared" si="29"/>
        <v>45929</v>
      </c>
      <c r="N926" t="s">
        <v>1641</v>
      </c>
      <c r="O926">
        <v>0</v>
      </c>
    </row>
    <row r="927" spans="1:15">
      <c r="A927" s="6" t="s">
        <v>14</v>
      </c>
      <c r="B927" t="s">
        <v>15</v>
      </c>
      <c r="C927" t="s">
        <v>381</v>
      </c>
      <c r="D927" t="s">
        <v>382</v>
      </c>
      <c r="E927" s="1">
        <v>45929</v>
      </c>
      <c r="F927">
        <v>3</v>
      </c>
      <c r="G927">
        <v>4234</v>
      </c>
      <c r="H927">
        <v>129002</v>
      </c>
      <c r="I927">
        <v>0</v>
      </c>
      <c r="J927">
        <f t="shared" si="28"/>
        <v>129002</v>
      </c>
      <c r="K927" t="s">
        <v>1640</v>
      </c>
      <c r="L927">
        <v>4234</v>
      </c>
      <c r="M927" s="1">
        <f t="shared" si="29"/>
        <v>45929</v>
      </c>
      <c r="N927" t="s">
        <v>1641</v>
      </c>
      <c r="O927">
        <v>0</v>
      </c>
    </row>
    <row r="928" spans="1:15">
      <c r="A928" s="6" t="s">
        <v>14</v>
      </c>
      <c r="B928" t="s">
        <v>15</v>
      </c>
      <c r="C928" t="s">
        <v>383</v>
      </c>
      <c r="D928" t="s">
        <v>384</v>
      </c>
      <c r="E928" s="1">
        <v>45929</v>
      </c>
      <c r="F928">
        <v>3</v>
      </c>
      <c r="G928">
        <v>1540</v>
      </c>
      <c r="H928">
        <v>44340</v>
      </c>
      <c r="I928">
        <v>0</v>
      </c>
      <c r="J928">
        <f t="shared" si="28"/>
        <v>44340</v>
      </c>
      <c r="K928" t="s">
        <v>1640</v>
      </c>
      <c r="L928">
        <v>1540</v>
      </c>
      <c r="M928" s="1">
        <f t="shared" si="29"/>
        <v>45929</v>
      </c>
      <c r="N928" t="s">
        <v>1641</v>
      </c>
      <c r="O928">
        <v>0</v>
      </c>
    </row>
    <row r="929" spans="1:15">
      <c r="A929" s="6" t="s">
        <v>14</v>
      </c>
      <c r="B929" t="s">
        <v>15</v>
      </c>
      <c r="C929" t="s">
        <v>385</v>
      </c>
      <c r="D929" t="s">
        <v>386</v>
      </c>
      <c r="E929" s="1">
        <v>45929</v>
      </c>
      <c r="F929">
        <v>3</v>
      </c>
      <c r="G929">
        <v>2914</v>
      </c>
      <c r="H929">
        <v>87624</v>
      </c>
      <c r="I929">
        <v>0</v>
      </c>
      <c r="J929">
        <f t="shared" si="28"/>
        <v>87624</v>
      </c>
      <c r="K929" t="s">
        <v>1640</v>
      </c>
      <c r="L929">
        <v>2914</v>
      </c>
      <c r="M929" s="1">
        <f t="shared" si="29"/>
        <v>45929</v>
      </c>
      <c r="N929" t="s">
        <v>1641</v>
      </c>
      <c r="O929">
        <v>0</v>
      </c>
    </row>
    <row r="930" spans="1:15">
      <c r="A930" s="6" t="s">
        <v>14</v>
      </c>
      <c r="B930" t="s">
        <v>15</v>
      </c>
      <c r="C930" t="s">
        <v>387</v>
      </c>
      <c r="D930" t="s">
        <v>388</v>
      </c>
      <c r="E930" s="1">
        <v>45929</v>
      </c>
      <c r="F930">
        <v>3</v>
      </c>
      <c r="G930">
        <v>2584</v>
      </c>
      <c r="H930">
        <v>78213</v>
      </c>
      <c r="I930">
        <v>0</v>
      </c>
      <c r="J930">
        <f t="shared" si="28"/>
        <v>78213</v>
      </c>
      <c r="K930" t="s">
        <v>1640</v>
      </c>
      <c r="L930">
        <v>2584</v>
      </c>
      <c r="M930" s="1">
        <f t="shared" si="29"/>
        <v>45929</v>
      </c>
      <c r="N930" t="s">
        <v>1641</v>
      </c>
      <c r="O930">
        <v>0</v>
      </c>
    </row>
    <row r="931" spans="1:15">
      <c r="A931" s="6" t="s">
        <v>14</v>
      </c>
      <c r="B931" t="s">
        <v>15</v>
      </c>
      <c r="C931" t="s">
        <v>389</v>
      </c>
      <c r="D931" t="s">
        <v>390</v>
      </c>
      <c r="E931" s="1">
        <v>45929</v>
      </c>
      <c r="F931">
        <v>3</v>
      </c>
      <c r="G931">
        <v>2397</v>
      </c>
      <c r="H931">
        <v>86683</v>
      </c>
      <c r="I931">
        <v>0</v>
      </c>
      <c r="J931">
        <f t="shared" si="28"/>
        <v>86683</v>
      </c>
      <c r="K931" t="s">
        <v>1640</v>
      </c>
      <c r="L931">
        <v>2397</v>
      </c>
      <c r="M931" s="1">
        <f t="shared" si="29"/>
        <v>45929</v>
      </c>
      <c r="N931" t="s">
        <v>1641</v>
      </c>
      <c r="O931">
        <v>0</v>
      </c>
    </row>
    <row r="932" spans="1:15">
      <c r="A932" s="6" t="s">
        <v>14</v>
      </c>
      <c r="B932" t="s">
        <v>15</v>
      </c>
      <c r="C932" t="s">
        <v>391</v>
      </c>
      <c r="D932" t="s">
        <v>392</v>
      </c>
      <c r="E932" s="1">
        <v>45929</v>
      </c>
      <c r="F932">
        <v>3</v>
      </c>
      <c r="G932">
        <v>4242.12</v>
      </c>
      <c r="H932">
        <v>124469</v>
      </c>
      <c r="I932">
        <v>0</v>
      </c>
      <c r="J932">
        <f t="shared" si="28"/>
        <v>124469</v>
      </c>
      <c r="K932" t="s">
        <v>1640</v>
      </c>
      <c r="L932">
        <v>4242.12</v>
      </c>
      <c r="M932" s="1">
        <f t="shared" si="29"/>
        <v>45929</v>
      </c>
      <c r="N932" t="s">
        <v>1641</v>
      </c>
      <c r="O932">
        <v>0</v>
      </c>
    </row>
    <row r="933" spans="1:15">
      <c r="A933" s="6" t="s">
        <v>14</v>
      </c>
      <c r="B933" t="s">
        <v>15</v>
      </c>
      <c r="C933" t="s">
        <v>393</v>
      </c>
      <c r="D933" t="s">
        <v>394</v>
      </c>
      <c r="E933" s="1">
        <v>45929</v>
      </c>
      <c r="F933">
        <v>3</v>
      </c>
      <c r="G933">
        <v>2585</v>
      </c>
      <c r="H933">
        <v>93000</v>
      </c>
      <c r="I933">
        <v>0</v>
      </c>
      <c r="J933">
        <f t="shared" si="28"/>
        <v>93000</v>
      </c>
      <c r="K933" t="s">
        <v>1640</v>
      </c>
      <c r="L933">
        <v>2585</v>
      </c>
      <c r="M933" s="1">
        <f t="shared" si="29"/>
        <v>45929</v>
      </c>
      <c r="N933" t="s">
        <v>1641</v>
      </c>
      <c r="O933">
        <v>0</v>
      </c>
    </row>
    <row r="934" spans="1:15">
      <c r="A934" s="6" t="s">
        <v>14</v>
      </c>
      <c r="B934" t="s">
        <v>15</v>
      </c>
      <c r="C934" t="s">
        <v>395</v>
      </c>
      <c r="D934" t="s">
        <v>396</v>
      </c>
      <c r="E934" s="1">
        <v>45929</v>
      </c>
      <c r="F934">
        <v>3</v>
      </c>
      <c r="G934">
        <v>1512</v>
      </c>
      <c r="H934">
        <v>27000</v>
      </c>
      <c r="I934">
        <v>0</v>
      </c>
      <c r="J934">
        <f t="shared" si="28"/>
        <v>27000</v>
      </c>
      <c r="K934" t="s">
        <v>1640</v>
      </c>
      <c r="L934">
        <v>1512</v>
      </c>
      <c r="M934" s="1">
        <f t="shared" si="29"/>
        <v>45929</v>
      </c>
      <c r="N934" t="s">
        <v>1641</v>
      </c>
      <c r="O934">
        <v>0</v>
      </c>
    </row>
    <row r="935" spans="1:15">
      <c r="A935" s="6" t="s">
        <v>14</v>
      </c>
      <c r="B935" t="s">
        <v>15</v>
      </c>
      <c r="C935" t="s">
        <v>397</v>
      </c>
      <c r="D935" t="s">
        <v>398</v>
      </c>
      <c r="E935" s="1">
        <v>45929</v>
      </c>
      <c r="F935">
        <v>3</v>
      </c>
      <c r="G935">
        <v>2800</v>
      </c>
      <c r="H935">
        <v>84713</v>
      </c>
      <c r="I935">
        <v>0</v>
      </c>
      <c r="J935">
        <f t="shared" si="28"/>
        <v>84713</v>
      </c>
      <c r="K935" t="s">
        <v>1640</v>
      </c>
      <c r="L935">
        <v>2800</v>
      </c>
      <c r="M935" s="1">
        <f t="shared" si="29"/>
        <v>45929</v>
      </c>
      <c r="N935" t="s">
        <v>1641</v>
      </c>
      <c r="O935">
        <v>0</v>
      </c>
    </row>
    <row r="936" spans="1:15">
      <c r="A936" s="6" t="s">
        <v>14</v>
      </c>
      <c r="B936" t="s">
        <v>15</v>
      </c>
      <c r="C936" t="s">
        <v>399</v>
      </c>
      <c r="D936" t="s">
        <v>400</v>
      </c>
      <c r="E936" s="1">
        <v>45929</v>
      </c>
      <c r="F936">
        <v>3</v>
      </c>
      <c r="G936">
        <v>3080</v>
      </c>
      <c r="H936">
        <v>91000</v>
      </c>
      <c r="I936">
        <v>0</v>
      </c>
      <c r="J936">
        <f t="shared" si="28"/>
        <v>91000</v>
      </c>
      <c r="K936" t="s">
        <v>1640</v>
      </c>
      <c r="L936">
        <v>3080</v>
      </c>
      <c r="M936" s="1">
        <f t="shared" si="29"/>
        <v>45929</v>
      </c>
      <c r="N936" t="s">
        <v>1641</v>
      </c>
      <c r="O936">
        <v>0</v>
      </c>
    </row>
    <row r="937" spans="1:15">
      <c r="A937" s="6" t="s">
        <v>14</v>
      </c>
      <c r="B937" t="s">
        <v>15</v>
      </c>
      <c r="C937" t="s">
        <v>401</v>
      </c>
      <c r="D937" t="s">
        <v>402</v>
      </c>
      <c r="E937" s="1">
        <v>45929</v>
      </c>
      <c r="F937">
        <v>3</v>
      </c>
      <c r="G937">
        <v>3536</v>
      </c>
      <c r="H937">
        <v>121325</v>
      </c>
      <c r="I937">
        <v>0</v>
      </c>
      <c r="J937">
        <f t="shared" si="28"/>
        <v>121325</v>
      </c>
      <c r="K937" t="s">
        <v>1640</v>
      </c>
      <c r="L937">
        <v>3536</v>
      </c>
      <c r="M937" s="1">
        <f t="shared" si="29"/>
        <v>45929</v>
      </c>
      <c r="N937" t="s">
        <v>1641</v>
      </c>
      <c r="O937">
        <v>0</v>
      </c>
    </row>
    <row r="938" spans="1:15">
      <c r="A938" s="6" t="s">
        <v>14</v>
      </c>
      <c r="B938" t="s">
        <v>15</v>
      </c>
      <c r="C938" t="s">
        <v>403</v>
      </c>
      <c r="D938" t="s">
        <v>404</v>
      </c>
      <c r="E938" s="1">
        <v>45929</v>
      </c>
      <c r="F938">
        <v>3</v>
      </c>
      <c r="G938">
        <v>2990</v>
      </c>
      <c r="H938">
        <v>107000</v>
      </c>
      <c r="I938">
        <v>0</v>
      </c>
      <c r="J938">
        <f t="shared" si="28"/>
        <v>107000</v>
      </c>
      <c r="K938" t="s">
        <v>1640</v>
      </c>
      <c r="L938">
        <v>2990</v>
      </c>
      <c r="M938" s="1">
        <f t="shared" si="29"/>
        <v>45929</v>
      </c>
      <c r="N938" t="s">
        <v>1641</v>
      </c>
      <c r="O938">
        <v>0</v>
      </c>
    </row>
    <row r="939" spans="1:15">
      <c r="A939" s="6" t="s">
        <v>14</v>
      </c>
      <c r="B939" t="s">
        <v>15</v>
      </c>
      <c r="C939" t="s">
        <v>405</v>
      </c>
      <c r="D939" t="s">
        <v>406</v>
      </c>
      <c r="E939" s="1">
        <v>45929</v>
      </c>
      <c r="F939">
        <v>3</v>
      </c>
      <c r="G939">
        <v>3075</v>
      </c>
      <c r="H939">
        <v>89337</v>
      </c>
      <c r="I939">
        <v>0</v>
      </c>
      <c r="J939">
        <f t="shared" si="28"/>
        <v>89337</v>
      </c>
      <c r="K939" t="s">
        <v>1640</v>
      </c>
      <c r="L939">
        <v>3075</v>
      </c>
      <c r="M939" s="1">
        <f t="shared" si="29"/>
        <v>45929</v>
      </c>
      <c r="N939" t="s">
        <v>1641</v>
      </c>
      <c r="O939">
        <v>0</v>
      </c>
    </row>
    <row r="940" spans="1:15">
      <c r="A940" s="6" t="s">
        <v>14</v>
      </c>
      <c r="B940" t="s">
        <v>15</v>
      </c>
      <c r="C940" t="s">
        <v>407</v>
      </c>
      <c r="D940" t="s">
        <v>408</v>
      </c>
      <c r="E940" s="1">
        <v>45929</v>
      </c>
      <c r="F940">
        <v>3</v>
      </c>
      <c r="G940">
        <v>3375</v>
      </c>
      <c r="H940">
        <v>98000</v>
      </c>
      <c r="I940">
        <v>0</v>
      </c>
      <c r="J940">
        <f t="shared" si="28"/>
        <v>98000</v>
      </c>
      <c r="K940" t="s">
        <v>1640</v>
      </c>
      <c r="L940">
        <v>3375</v>
      </c>
      <c r="M940" s="1">
        <f t="shared" si="29"/>
        <v>45929</v>
      </c>
      <c r="N940" t="s">
        <v>1641</v>
      </c>
      <c r="O940">
        <v>0</v>
      </c>
    </row>
    <row r="941" spans="1:15">
      <c r="A941" s="6" t="s">
        <v>14</v>
      </c>
      <c r="B941" t="s">
        <v>15</v>
      </c>
      <c r="C941" t="s">
        <v>409</v>
      </c>
      <c r="D941" t="s">
        <v>410</v>
      </c>
      <c r="E941" s="1">
        <v>45929</v>
      </c>
      <c r="F941">
        <v>3</v>
      </c>
      <c r="G941">
        <v>2898</v>
      </c>
      <c r="H941">
        <v>88101</v>
      </c>
      <c r="I941">
        <v>0</v>
      </c>
      <c r="J941">
        <f t="shared" si="28"/>
        <v>88101</v>
      </c>
      <c r="K941" t="s">
        <v>1640</v>
      </c>
      <c r="L941">
        <v>2898</v>
      </c>
      <c r="M941" s="1">
        <f t="shared" si="29"/>
        <v>45929</v>
      </c>
      <c r="N941" t="s">
        <v>1641</v>
      </c>
      <c r="O941">
        <v>0</v>
      </c>
    </row>
    <row r="942" spans="1:15">
      <c r="A942" s="6" t="s">
        <v>14</v>
      </c>
      <c r="B942" t="s">
        <v>15</v>
      </c>
      <c r="C942" t="s">
        <v>411</v>
      </c>
      <c r="D942" t="s">
        <v>412</v>
      </c>
      <c r="E942" s="1">
        <v>45929</v>
      </c>
      <c r="F942">
        <v>3</v>
      </c>
      <c r="G942">
        <v>1058</v>
      </c>
      <c r="H942">
        <v>9216</v>
      </c>
      <c r="I942">
        <v>0</v>
      </c>
      <c r="J942">
        <f t="shared" si="28"/>
        <v>9216</v>
      </c>
      <c r="K942" t="s">
        <v>1640</v>
      </c>
      <c r="L942">
        <v>1058</v>
      </c>
      <c r="M942" s="1">
        <f t="shared" si="29"/>
        <v>45929</v>
      </c>
      <c r="N942" t="s">
        <v>1641</v>
      </c>
      <c r="O942">
        <v>0</v>
      </c>
    </row>
    <row r="943" spans="1:15">
      <c r="A943" s="6" t="s">
        <v>14</v>
      </c>
      <c r="B943" t="s">
        <v>15</v>
      </c>
      <c r="C943" t="s">
        <v>413</v>
      </c>
      <c r="D943" t="s">
        <v>414</v>
      </c>
      <c r="E943" s="1">
        <v>45929</v>
      </c>
      <c r="F943">
        <v>3</v>
      </c>
      <c r="G943">
        <v>1734</v>
      </c>
      <c r="H943">
        <v>50000</v>
      </c>
      <c r="I943">
        <v>0</v>
      </c>
      <c r="J943">
        <f t="shared" si="28"/>
        <v>50000</v>
      </c>
      <c r="K943" t="s">
        <v>1640</v>
      </c>
      <c r="L943">
        <v>1734</v>
      </c>
      <c r="M943" s="1">
        <f t="shared" si="29"/>
        <v>45929</v>
      </c>
      <c r="N943" t="s">
        <v>1641</v>
      </c>
      <c r="O943">
        <v>0</v>
      </c>
    </row>
    <row r="944" spans="1:15">
      <c r="A944" s="6" t="s">
        <v>14</v>
      </c>
      <c r="B944" t="s">
        <v>15</v>
      </c>
      <c r="C944" t="s">
        <v>415</v>
      </c>
      <c r="D944" t="s">
        <v>416</v>
      </c>
      <c r="E944" s="1">
        <v>45929</v>
      </c>
      <c r="F944">
        <v>3</v>
      </c>
      <c r="G944">
        <v>1632</v>
      </c>
      <c r="H944">
        <v>46731</v>
      </c>
      <c r="I944">
        <v>0</v>
      </c>
      <c r="J944">
        <f t="shared" si="28"/>
        <v>46731</v>
      </c>
      <c r="K944" t="s">
        <v>1640</v>
      </c>
      <c r="L944">
        <v>1632</v>
      </c>
      <c r="M944" s="1">
        <f t="shared" si="29"/>
        <v>45929</v>
      </c>
      <c r="N944" t="s">
        <v>1641</v>
      </c>
      <c r="O944">
        <v>0</v>
      </c>
    </row>
    <row r="945" spans="1:15">
      <c r="A945" s="6" t="s">
        <v>14</v>
      </c>
      <c r="B945" t="s">
        <v>15</v>
      </c>
      <c r="C945" t="s">
        <v>417</v>
      </c>
      <c r="D945" t="s">
        <v>418</v>
      </c>
      <c r="E945" s="1">
        <v>45929</v>
      </c>
      <c r="F945">
        <v>3</v>
      </c>
      <c r="G945">
        <v>1500</v>
      </c>
      <c r="H945">
        <v>26749</v>
      </c>
      <c r="I945">
        <v>0</v>
      </c>
      <c r="J945">
        <f t="shared" si="28"/>
        <v>26749</v>
      </c>
      <c r="K945" t="s">
        <v>1640</v>
      </c>
      <c r="L945">
        <v>1500</v>
      </c>
      <c r="M945" s="1">
        <f t="shared" si="29"/>
        <v>45929</v>
      </c>
      <c r="N945" t="s">
        <v>1641</v>
      </c>
      <c r="O945">
        <v>0</v>
      </c>
    </row>
    <row r="946" spans="1:15">
      <c r="A946" s="6" t="s">
        <v>14</v>
      </c>
      <c r="B946" t="s">
        <v>15</v>
      </c>
      <c r="C946" t="s">
        <v>419</v>
      </c>
      <c r="D946" t="s">
        <v>420</v>
      </c>
      <c r="E946" s="1">
        <v>45929</v>
      </c>
      <c r="F946">
        <v>3</v>
      </c>
      <c r="G946">
        <v>476</v>
      </c>
      <c r="H946">
        <v>8410</v>
      </c>
      <c r="I946">
        <v>0</v>
      </c>
      <c r="J946">
        <f t="shared" si="28"/>
        <v>8410</v>
      </c>
      <c r="K946" t="s">
        <v>1640</v>
      </c>
      <c r="L946">
        <v>476</v>
      </c>
      <c r="M946" s="1">
        <f t="shared" si="29"/>
        <v>45929</v>
      </c>
      <c r="N946" t="s">
        <v>1641</v>
      </c>
      <c r="O946">
        <v>0</v>
      </c>
    </row>
    <row r="947" spans="1:15">
      <c r="A947" s="6" t="s">
        <v>14</v>
      </c>
      <c r="B947" t="s">
        <v>15</v>
      </c>
      <c r="C947" t="s">
        <v>421</v>
      </c>
      <c r="D947" t="s">
        <v>422</v>
      </c>
      <c r="E947" s="1">
        <v>45929</v>
      </c>
      <c r="F947">
        <v>3</v>
      </c>
      <c r="G947">
        <v>4100</v>
      </c>
      <c r="H947">
        <v>70000</v>
      </c>
      <c r="I947">
        <v>0</v>
      </c>
      <c r="J947">
        <f t="shared" si="28"/>
        <v>70000</v>
      </c>
      <c r="K947" t="s">
        <v>1640</v>
      </c>
      <c r="L947">
        <v>4100</v>
      </c>
      <c r="M947" s="1">
        <f t="shared" si="29"/>
        <v>45929</v>
      </c>
      <c r="N947" t="s">
        <v>1641</v>
      </c>
      <c r="O947">
        <v>0</v>
      </c>
    </row>
    <row r="948" spans="1:15">
      <c r="A948" s="6" t="s">
        <v>14</v>
      </c>
      <c r="B948" t="s">
        <v>15</v>
      </c>
      <c r="C948" t="s">
        <v>423</v>
      </c>
      <c r="D948" t="s">
        <v>424</v>
      </c>
      <c r="E948" s="1">
        <v>45929</v>
      </c>
      <c r="F948">
        <v>3</v>
      </c>
      <c r="G948">
        <v>2160</v>
      </c>
      <c r="H948">
        <v>75570</v>
      </c>
      <c r="I948">
        <v>0</v>
      </c>
      <c r="J948">
        <f t="shared" si="28"/>
        <v>75570</v>
      </c>
      <c r="K948" t="s">
        <v>1640</v>
      </c>
      <c r="L948">
        <v>2160</v>
      </c>
      <c r="M948" s="1">
        <f t="shared" si="29"/>
        <v>45929</v>
      </c>
      <c r="N948" t="s">
        <v>1641</v>
      </c>
      <c r="O948">
        <v>0</v>
      </c>
    </row>
    <row r="949" spans="1:15">
      <c r="A949" s="6" t="s">
        <v>14</v>
      </c>
      <c r="B949" t="s">
        <v>15</v>
      </c>
      <c r="C949" t="s">
        <v>427</v>
      </c>
      <c r="D949" t="s">
        <v>428</v>
      </c>
      <c r="E949" s="1">
        <v>45929</v>
      </c>
      <c r="F949">
        <v>3</v>
      </c>
      <c r="G949">
        <v>4200</v>
      </c>
      <c r="H949">
        <v>151204</v>
      </c>
      <c r="I949">
        <v>0</v>
      </c>
      <c r="J949">
        <f t="shared" si="28"/>
        <v>151204</v>
      </c>
      <c r="K949" t="s">
        <v>1640</v>
      </c>
      <c r="L949">
        <v>4200</v>
      </c>
      <c r="M949" s="1">
        <f t="shared" si="29"/>
        <v>45929</v>
      </c>
      <c r="N949" t="s">
        <v>1641</v>
      </c>
      <c r="O949">
        <v>0</v>
      </c>
    </row>
    <row r="950" spans="1:15">
      <c r="A950" s="6" t="s">
        <v>14</v>
      </c>
      <c r="B950" t="s">
        <v>15</v>
      </c>
      <c r="C950" t="s">
        <v>429</v>
      </c>
      <c r="D950" t="s">
        <v>430</v>
      </c>
      <c r="E950" s="1">
        <v>45929</v>
      </c>
      <c r="F950">
        <v>3</v>
      </c>
      <c r="G950">
        <v>3213</v>
      </c>
      <c r="H950">
        <v>120000</v>
      </c>
      <c r="I950">
        <v>0</v>
      </c>
      <c r="J950">
        <f t="shared" si="28"/>
        <v>120000</v>
      </c>
      <c r="K950" t="s">
        <v>1640</v>
      </c>
      <c r="L950">
        <v>3213</v>
      </c>
      <c r="M950" s="1">
        <f t="shared" si="29"/>
        <v>45929</v>
      </c>
      <c r="N950" t="s">
        <v>1641</v>
      </c>
      <c r="O950">
        <v>0</v>
      </c>
    </row>
    <row r="951" spans="1:15">
      <c r="A951" s="6" t="s">
        <v>14</v>
      </c>
      <c r="B951" t="s">
        <v>15</v>
      </c>
      <c r="C951" t="s">
        <v>431</v>
      </c>
      <c r="D951" t="s">
        <v>432</v>
      </c>
      <c r="E951" s="1">
        <v>45929</v>
      </c>
      <c r="F951">
        <v>3</v>
      </c>
      <c r="G951">
        <v>4400</v>
      </c>
      <c r="H951">
        <v>159619</v>
      </c>
      <c r="I951">
        <v>0</v>
      </c>
      <c r="J951">
        <f t="shared" si="28"/>
        <v>159619</v>
      </c>
      <c r="K951" t="s">
        <v>1640</v>
      </c>
      <c r="L951">
        <v>4400</v>
      </c>
      <c r="M951" s="1">
        <f t="shared" si="29"/>
        <v>45929</v>
      </c>
      <c r="N951" t="s">
        <v>1641</v>
      </c>
      <c r="O951">
        <v>0</v>
      </c>
    </row>
    <row r="952" spans="1:15">
      <c r="A952" s="6" t="s">
        <v>14</v>
      </c>
      <c r="B952" t="s">
        <v>15</v>
      </c>
      <c r="C952" t="s">
        <v>433</v>
      </c>
      <c r="D952" t="s">
        <v>434</v>
      </c>
      <c r="E952" s="1">
        <v>45929</v>
      </c>
      <c r="F952">
        <v>3</v>
      </c>
      <c r="G952">
        <v>2542</v>
      </c>
      <c r="H952">
        <v>76000</v>
      </c>
      <c r="I952">
        <v>0</v>
      </c>
      <c r="J952">
        <f t="shared" si="28"/>
        <v>76000</v>
      </c>
      <c r="K952" t="s">
        <v>1640</v>
      </c>
      <c r="L952">
        <v>2542</v>
      </c>
      <c r="M952" s="1">
        <f t="shared" si="29"/>
        <v>45929</v>
      </c>
      <c r="N952" t="s">
        <v>1641</v>
      </c>
      <c r="O952">
        <v>0</v>
      </c>
    </row>
    <row r="953" spans="1:15">
      <c r="A953" s="6" t="s">
        <v>14</v>
      </c>
      <c r="B953" t="s">
        <v>15</v>
      </c>
      <c r="C953" t="s">
        <v>435</v>
      </c>
      <c r="D953" t="s">
        <v>436</v>
      </c>
      <c r="E953" s="1">
        <v>45929</v>
      </c>
      <c r="F953">
        <v>3</v>
      </c>
      <c r="G953">
        <v>826</v>
      </c>
      <c r="H953">
        <v>22053</v>
      </c>
      <c r="I953">
        <v>0</v>
      </c>
      <c r="J953">
        <f t="shared" si="28"/>
        <v>22053</v>
      </c>
      <c r="K953" t="s">
        <v>1640</v>
      </c>
      <c r="L953">
        <v>826</v>
      </c>
      <c r="M953" s="1">
        <f t="shared" si="29"/>
        <v>45929</v>
      </c>
      <c r="N953" t="s">
        <v>1641</v>
      </c>
      <c r="O953">
        <v>0</v>
      </c>
    </row>
    <row r="954" spans="1:15">
      <c r="A954" s="6" t="s">
        <v>14</v>
      </c>
      <c r="B954" t="s">
        <v>15</v>
      </c>
      <c r="C954" t="s">
        <v>437</v>
      </c>
      <c r="D954" t="s">
        <v>438</v>
      </c>
      <c r="E954" s="1">
        <v>45929</v>
      </c>
      <c r="F954">
        <v>3</v>
      </c>
      <c r="G954">
        <v>3525</v>
      </c>
      <c r="H954">
        <v>105878</v>
      </c>
      <c r="I954">
        <v>0</v>
      </c>
      <c r="J954">
        <f t="shared" si="28"/>
        <v>105878</v>
      </c>
      <c r="K954" t="s">
        <v>1640</v>
      </c>
      <c r="L954">
        <v>3525</v>
      </c>
      <c r="M954" s="1">
        <f t="shared" si="29"/>
        <v>45929</v>
      </c>
      <c r="N954" t="s">
        <v>1641</v>
      </c>
      <c r="O954">
        <v>0</v>
      </c>
    </row>
    <row r="955" spans="1:15">
      <c r="A955" s="6" t="s">
        <v>14</v>
      </c>
      <c r="B955" t="s">
        <v>15</v>
      </c>
      <c r="C955" t="s">
        <v>439</v>
      </c>
      <c r="D955" t="s">
        <v>440</v>
      </c>
      <c r="E955" s="1">
        <v>45929</v>
      </c>
      <c r="F955">
        <v>3</v>
      </c>
      <c r="G955">
        <v>1083</v>
      </c>
      <c r="H955">
        <v>20000</v>
      </c>
      <c r="I955">
        <v>0</v>
      </c>
      <c r="J955">
        <f t="shared" si="28"/>
        <v>20000</v>
      </c>
      <c r="K955" t="s">
        <v>1640</v>
      </c>
      <c r="L955">
        <v>1083</v>
      </c>
      <c r="M955" s="1">
        <f t="shared" si="29"/>
        <v>45929</v>
      </c>
      <c r="N955" t="s">
        <v>1641</v>
      </c>
      <c r="O955">
        <v>0</v>
      </c>
    </row>
    <row r="956" spans="1:15">
      <c r="A956" s="6" t="s">
        <v>14</v>
      </c>
      <c r="B956" t="s">
        <v>15</v>
      </c>
      <c r="C956" t="s">
        <v>441</v>
      </c>
      <c r="D956" t="s">
        <v>442</v>
      </c>
      <c r="E956" s="1">
        <v>45929</v>
      </c>
      <c r="F956">
        <v>3</v>
      </c>
      <c r="G956">
        <v>2448</v>
      </c>
      <c r="H956">
        <v>79554</v>
      </c>
      <c r="I956">
        <v>0</v>
      </c>
      <c r="J956">
        <f t="shared" si="28"/>
        <v>79554</v>
      </c>
      <c r="K956" t="s">
        <v>1640</v>
      </c>
      <c r="L956">
        <v>2448</v>
      </c>
      <c r="M956" s="1">
        <f t="shared" si="29"/>
        <v>45929</v>
      </c>
      <c r="N956" t="s">
        <v>1641</v>
      </c>
      <c r="O956">
        <v>0</v>
      </c>
    </row>
    <row r="957" spans="1:15">
      <c r="A957" s="6" t="s">
        <v>14</v>
      </c>
      <c r="B957" t="s">
        <v>15</v>
      </c>
      <c r="C957" t="s">
        <v>443</v>
      </c>
      <c r="D957" t="s">
        <v>444</v>
      </c>
      <c r="E957" s="1">
        <v>45929</v>
      </c>
      <c r="F957">
        <v>3</v>
      </c>
      <c r="G957">
        <v>2914</v>
      </c>
      <c r="H957">
        <v>84000</v>
      </c>
      <c r="I957">
        <v>0</v>
      </c>
      <c r="J957">
        <f t="shared" si="28"/>
        <v>84000</v>
      </c>
      <c r="K957" t="s">
        <v>1640</v>
      </c>
      <c r="L957">
        <v>2914</v>
      </c>
      <c r="M957" s="1">
        <f t="shared" si="29"/>
        <v>45929</v>
      </c>
      <c r="N957" t="s">
        <v>1641</v>
      </c>
      <c r="O957">
        <v>0</v>
      </c>
    </row>
    <row r="958" spans="1:15">
      <c r="A958" s="6" t="s">
        <v>14</v>
      </c>
      <c r="B958" t="s">
        <v>15</v>
      </c>
      <c r="C958" t="s">
        <v>445</v>
      </c>
      <c r="D958" t="s">
        <v>446</v>
      </c>
      <c r="E958" s="1">
        <v>45929</v>
      </c>
      <c r="F958">
        <v>3</v>
      </c>
      <c r="G958">
        <v>2520</v>
      </c>
      <c r="H958">
        <v>76666</v>
      </c>
      <c r="I958">
        <v>0</v>
      </c>
      <c r="J958">
        <f t="shared" si="28"/>
        <v>76666</v>
      </c>
      <c r="K958" t="s">
        <v>1640</v>
      </c>
      <c r="L958">
        <v>2520</v>
      </c>
      <c r="M958" s="1">
        <f t="shared" si="29"/>
        <v>45929</v>
      </c>
      <c r="N958" t="s">
        <v>1641</v>
      </c>
      <c r="O958">
        <v>0</v>
      </c>
    </row>
    <row r="959" spans="1:15">
      <c r="A959" s="6" t="s">
        <v>14</v>
      </c>
      <c r="B959" t="s">
        <v>15</v>
      </c>
      <c r="C959" t="s">
        <v>447</v>
      </c>
      <c r="D959" t="s">
        <v>448</v>
      </c>
      <c r="E959" s="1">
        <v>45929</v>
      </c>
      <c r="F959">
        <v>3</v>
      </c>
      <c r="G959">
        <v>2385</v>
      </c>
      <c r="H959">
        <v>71000</v>
      </c>
      <c r="I959">
        <v>0</v>
      </c>
      <c r="J959">
        <f t="shared" si="28"/>
        <v>71000</v>
      </c>
      <c r="K959" t="s">
        <v>1640</v>
      </c>
      <c r="L959">
        <v>2385</v>
      </c>
      <c r="M959" s="1">
        <f t="shared" si="29"/>
        <v>45929</v>
      </c>
      <c r="N959" t="s">
        <v>1641</v>
      </c>
      <c r="O959">
        <v>0</v>
      </c>
    </row>
    <row r="960" spans="1:15">
      <c r="A960" s="6" t="s">
        <v>14</v>
      </c>
      <c r="B960" t="s">
        <v>15</v>
      </c>
      <c r="C960" t="s">
        <v>449</v>
      </c>
      <c r="D960" t="s">
        <v>450</v>
      </c>
      <c r="E960" s="1">
        <v>45929</v>
      </c>
      <c r="F960">
        <v>3</v>
      </c>
      <c r="G960">
        <v>1920</v>
      </c>
      <c r="H960">
        <v>69900</v>
      </c>
      <c r="I960">
        <v>0</v>
      </c>
      <c r="J960">
        <f t="shared" si="28"/>
        <v>69900</v>
      </c>
      <c r="K960" t="s">
        <v>1640</v>
      </c>
      <c r="L960">
        <v>1920</v>
      </c>
      <c r="M960" s="1">
        <f t="shared" si="29"/>
        <v>45929</v>
      </c>
      <c r="N960" t="s">
        <v>1641</v>
      </c>
      <c r="O960">
        <v>0</v>
      </c>
    </row>
    <row r="961" spans="1:15">
      <c r="A961" s="6" t="s">
        <v>14</v>
      </c>
      <c r="B961" t="s">
        <v>15</v>
      </c>
      <c r="C961" t="s">
        <v>451</v>
      </c>
      <c r="D961" t="s">
        <v>452</v>
      </c>
      <c r="E961" s="1">
        <v>45929</v>
      </c>
      <c r="F961">
        <v>3</v>
      </c>
      <c r="G961">
        <v>1320</v>
      </c>
      <c r="H961">
        <v>106836</v>
      </c>
      <c r="I961">
        <v>0</v>
      </c>
      <c r="J961">
        <f t="shared" si="28"/>
        <v>106836</v>
      </c>
      <c r="K961" t="s">
        <v>1640</v>
      </c>
      <c r="L961">
        <v>1320</v>
      </c>
      <c r="M961" s="1">
        <f t="shared" si="29"/>
        <v>45929</v>
      </c>
      <c r="N961" t="s">
        <v>1641</v>
      </c>
      <c r="O961">
        <v>0</v>
      </c>
    </row>
    <row r="962" spans="1:15">
      <c r="A962" s="6" t="s">
        <v>14</v>
      </c>
      <c r="B962" t="s">
        <v>15</v>
      </c>
      <c r="C962" t="s">
        <v>457</v>
      </c>
      <c r="D962" t="s">
        <v>458</v>
      </c>
      <c r="E962" s="1">
        <v>45929</v>
      </c>
      <c r="F962">
        <v>3</v>
      </c>
      <c r="G962">
        <v>1763</v>
      </c>
      <c r="H962">
        <v>66238</v>
      </c>
      <c r="I962">
        <v>0</v>
      </c>
      <c r="J962">
        <f t="shared" si="28"/>
        <v>66238</v>
      </c>
      <c r="K962" t="s">
        <v>1640</v>
      </c>
      <c r="L962">
        <v>1763</v>
      </c>
      <c r="M962" s="1">
        <f t="shared" si="29"/>
        <v>45929</v>
      </c>
      <c r="N962" t="s">
        <v>1641</v>
      </c>
      <c r="O962">
        <v>0</v>
      </c>
    </row>
    <row r="963" spans="1:15">
      <c r="A963" s="6" t="s">
        <v>14</v>
      </c>
      <c r="B963" t="s">
        <v>15</v>
      </c>
      <c r="C963" t="s">
        <v>459</v>
      </c>
      <c r="D963" t="s">
        <v>460</v>
      </c>
      <c r="E963" s="1">
        <v>45929</v>
      </c>
      <c r="F963">
        <v>3</v>
      </c>
      <c r="G963">
        <v>4018</v>
      </c>
      <c r="H963">
        <v>118888</v>
      </c>
      <c r="I963">
        <v>0</v>
      </c>
      <c r="J963">
        <f t="shared" ref="J963:J1026" si="30">H963-I963</f>
        <v>118888</v>
      </c>
      <c r="K963" t="s">
        <v>1640</v>
      </c>
      <c r="L963">
        <v>4018</v>
      </c>
      <c r="M963" s="1">
        <f t="shared" ref="M963:M1026" si="31">E963</f>
        <v>45929</v>
      </c>
      <c r="N963" t="s">
        <v>1641</v>
      </c>
      <c r="O963">
        <v>0</v>
      </c>
    </row>
    <row r="964" spans="1:15">
      <c r="A964" s="6" t="s">
        <v>14</v>
      </c>
      <c r="B964" t="s">
        <v>15</v>
      </c>
      <c r="C964" t="s">
        <v>461</v>
      </c>
      <c r="D964" t="s">
        <v>462</v>
      </c>
      <c r="E964" s="1">
        <v>45929</v>
      </c>
      <c r="F964">
        <v>3</v>
      </c>
      <c r="G964">
        <v>2700</v>
      </c>
      <c r="H964">
        <v>78259</v>
      </c>
      <c r="I964">
        <v>0</v>
      </c>
      <c r="J964">
        <f t="shared" si="30"/>
        <v>78259</v>
      </c>
      <c r="K964" t="s">
        <v>1640</v>
      </c>
      <c r="L964">
        <v>2700</v>
      </c>
      <c r="M964" s="1">
        <f t="shared" si="31"/>
        <v>45929</v>
      </c>
      <c r="N964" t="s">
        <v>1641</v>
      </c>
      <c r="O964">
        <v>0</v>
      </c>
    </row>
    <row r="965" spans="1:15">
      <c r="A965" s="6" t="s">
        <v>14</v>
      </c>
      <c r="B965" t="s">
        <v>15</v>
      </c>
      <c r="C965" t="s">
        <v>463</v>
      </c>
      <c r="D965" t="s">
        <v>464</v>
      </c>
      <c r="E965" s="1">
        <v>45929</v>
      </c>
      <c r="F965">
        <v>3</v>
      </c>
      <c r="G965">
        <v>3692</v>
      </c>
      <c r="H965">
        <v>112197</v>
      </c>
      <c r="I965">
        <v>0</v>
      </c>
      <c r="J965">
        <f t="shared" si="30"/>
        <v>112197</v>
      </c>
      <c r="K965" t="s">
        <v>1640</v>
      </c>
      <c r="L965">
        <v>3692</v>
      </c>
      <c r="M965" s="1">
        <f t="shared" si="31"/>
        <v>45929</v>
      </c>
      <c r="N965" t="s">
        <v>1641</v>
      </c>
      <c r="O965">
        <v>0</v>
      </c>
    </row>
    <row r="966" spans="1:15">
      <c r="A966" s="6" t="s">
        <v>14</v>
      </c>
      <c r="B966" t="s">
        <v>15</v>
      </c>
      <c r="C966" t="s">
        <v>465</v>
      </c>
      <c r="D966" t="s">
        <v>466</v>
      </c>
      <c r="E966" s="1">
        <v>45929</v>
      </c>
      <c r="F966">
        <v>3</v>
      </c>
      <c r="G966">
        <v>3705</v>
      </c>
      <c r="H966">
        <v>112715</v>
      </c>
      <c r="I966">
        <v>0</v>
      </c>
      <c r="J966">
        <f t="shared" si="30"/>
        <v>112715</v>
      </c>
      <c r="K966" t="s">
        <v>1640</v>
      </c>
      <c r="L966">
        <v>3705</v>
      </c>
      <c r="M966" s="1">
        <f t="shared" si="31"/>
        <v>45929</v>
      </c>
      <c r="N966" t="s">
        <v>1641</v>
      </c>
      <c r="O966">
        <v>0</v>
      </c>
    </row>
    <row r="967" spans="1:15">
      <c r="A967" s="6" t="s">
        <v>14</v>
      </c>
      <c r="B967" t="s">
        <v>15</v>
      </c>
      <c r="C967" t="s">
        <v>467</v>
      </c>
      <c r="D967" t="s">
        <v>468</v>
      </c>
      <c r="E967" s="1">
        <v>45929</v>
      </c>
      <c r="F967">
        <v>3</v>
      </c>
      <c r="G967">
        <v>1320</v>
      </c>
      <c r="H967">
        <v>22853</v>
      </c>
      <c r="I967">
        <v>0</v>
      </c>
      <c r="J967">
        <f t="shared" si="30"/>
        <v>22853</v>
      </c>
      <c r="K967" t="s">
        <v>1640</v>
      </c>
      <c r="L967">
        <v>1320</v>
      </c>
      <c r="M967" s="1">
        <f t="shared" si="31"/>
        <v>45929</v>
      </c>
      <c r="N967" t="s">
        <v>1641</v>
      </c>
      <c r="O967">
        <v>0</v>
      </c>
    </row>
    <row r="968" spans="1:15">
      <c r="A968" s="6" t="s">
        <v>14</v>
      </c>
      <c r="B968" t="s">
        <v>15</v>
      </c>
      <c r="C968" t="s">
        <v>471</v>
      </c>
      <c r="D968" t="s">
        <v>472</v>
      </c>
      <c r="E968" s="1">
        <v>45929</v>
      </c>
      <c r="F968">
        <v>3</v>
      </c>
      <c r="G968">
        <v>3870</v>
      </c>
      <c r="H968">
        <v>118000</v>
      </c>
      <c r="I968">
        <v>0</v>
      </c>
      <c r="J968">
        <f t="shared" si="30"/>
        <v>118000</v>
      </c>
      <c r="K968" t="s">
        <v>1640</v>
      </c>
      <c r="L968">
        <v>3870</v>
      </c>
      <c r="M968" s="1">
        <f t="shared" si="31"/>
        <v>45929</v>
      </c>
      <c r="N968" t="s">
        <v>1641</v>
      </c>
      <c r="O968">
        <v>0</v>
      </c>
    </row>
    <row r="969" spans="1:15">
      <c r="A969" s="6" t="s">
        <v>14</v>
      </c>
      <c r="B969" t="s">
        <v>15</v>
      </c>
      <c r="C969" t="s">
        <v>473</v>
      </c>
      <c r="D969" t="s">
        <v>474</v>
      </c>
      <c r="E969" s="1">
        <v>45929</v>
      </c>
      <c r="F969">
        <v>3</v>
      </c>
      <c r="G969">
        <v>1311</v>
      </c>
      <c r="H969">
        <v>23863</v>
      </c>
      <c r="I969">
        <v>0</v>
      </c>
      <c r="J969">
        <f t="shared" si="30"/>
        <v>23863</v>
      </c>
      <c r="K969" t="s">
        <v>1640</v>
      </c>
      <c r="L969">
        <v>1311</v>
      </c>
      <c r="M969" s="1">
        <f t="shared" si="31"/>
        <v>45929</v>
      </c>
      <c r="N969" t="s">
        <v>1641</v>
      </c>
      <c r="O969">
        <v>0</v>
      </c>
    </row>
    <row r="970" spans="1:15">
      <c r="A970" s="6" t="s">
        <v>14</v>
      </c>
      <c r="B970" t="s">
        <v>15</v>
      </c>
      <c r="C970" t="s">
        <v>475</v>
      </c>
      <c r="D970" t="s">
        <v>476</v>
      </c>
      <c r="E970" s="1">
        <v>45929</v>
      </c>
      <c r="F970">
        <v>3</v>
      </c>
      <c r="G970">
        <v>1566</v>
      </c>
      <c r="H970">
        <v>29297</v>
      </c>
      <c r="I970">
        <v>0</v>
      </c>
      <c r="J970">
        <f t="shared" si="30"/>
        <v>29297</v>
      </c>
      <c r="K970" t="s">
        <v>1640</v>
      </c>
      <c r="L970">
        <v>1566</v>
      </c>
      <c r="M970" s="1">
        <f t="shared" si="31"/>
        <v>45929</v>
      </c>
      <c r="N970" t="s">
        <v>1641</v>
      </c>
      <c r="O970">
        <v>0</v>
      </c>
    </row>
    <row r="971" spans="1:15">
      <c r="A971" s="6" t="s">
        <v>14</v>
      </c>
      <c r="B971" t="s">
        <v>15</v>
      </c>
      <c r="C971" t="s">
        <v>477</v>
      </c>
      <c r="D971" t="s">
        <v>478</v>
      </c>
      <c r="E971" s="1">
        <v>45929</v>
      </c>
      <c r="F971">
        <v>3</v>
      </c>
      <c r="G971">
        <v>2880</v>
      </c>
      <c r="H971">
        <v>90000</v>
      </c>
      <c r="I971">
        <v>0</v>
      </c>
      <c r="J971">
        <f t="shared" si="30"/>
        <v>90000</v>
      </c>
      <c r="K971" t="s">
        <v>1640</v>
      </c>
      <c r="L971">
        <v>2880</v>
      </c>
      <c r="M971" s="1">
        <f t="shared" si="31"/>
        <v>45929</v>
      </c>
      <c r="N971" t="s">
        <v>1641</v>
      </c>
      <c r="O971">
        <v>0</v>
      </c>
    </row>
    <row r="972" spans="1:15">
      <c r="A972" s="6" t="s">
        <v>14</v>
      </c>
      <c r="B972" t="s">
        <v>15</v>
      </c>
      <c r="C972" t="s">
        <v>481</v>
      </c>
      <c r="D972" t="s">
        <v>482</v>
      </c>
      <c r="E972" s="1">
        <v>45929</v>
      </c>
      <c r="F972">
        <v>3</v>
      </c>
      <c r="G972">
        <v>4636</v>
      </c>
      <c r="H972">
        <v>141000</v>
      </c>
      <c r="I972">
        <v>0</v>
      </c>
      <c r="J972">
        <f t="shared" si="30"/>
        <v>141000</v>
      </c>
      <c r="K972" t="s">
        <v>1640</v>
      </c>
      <c r="L972">
        <v>4636</v>
      </c>
      <c r="M972" s="1">
        <f t="shared" si="31"/>
        <v>45929</v>
      </c>
      <c r="N972" t="s">
        <v>1641</v>
      </c>
      <c r="O972">
        <v>0</v>
      </c>
    </row>
    <row r="973" spans="1:15">
      <c r="A973" s="6" t="s">
        <v>14</v>
      </c>
      <c r="B973" t="s">
        <v>15</v>
      </c>
      <c r="C973" t="s">
        <v>483</v>
      </c>
      <c r="D973" t="s">
        <v>484</v>
      </c>
      <c r="E973" s="1">
        <v>45929</v>
      </c>
      <c r="F973">
        <v>3</v>
      </c>
      <c r="G973">
        <v>4280</v>
      </c>
      <c r="H973">
        <v>137380</v>
      </c>
      <c r="I973">
        <v>0</v>
      </c>
      <c r="J973">
        <f t="shared" si="30"/>
        <v>137380</v>
      </c>
      <c r="K973" t="s">
        <v>1640</v>
      </c>
      <c r="L973">
        <v>4280</v>
      </c>
      <c r="M973" s="1">
        <f t="shared" si="31"/>
        <v>45929</v>
      </c>
      <c r="N973" t="s">
        <v>1641</v>
      </c>
      <c r="O973">
        <v>0</v>
      </c>
    </row>
    <row r="974" spans="1:15">
      <c r="A974" s="6" t="s">
        <v>14</v>
      </c>
      <c r="B974" t="s">
        <v>15</v>
      </c>
      <c r="C974" t="s">
        <v>485</v>
      </c>
      <c r="D974" t="s">
        <v>486</v>
      </c>
      <c r="E974" s="1">
        <v>45929</v>
      </c>
      <c r="F974">
        <v>3</v>
      </c>
      <c r="G974">
        <v>3135</v>
      </c>
      <c r="H974">
        <v>93980</v>
      </c>
      <c r="I974">
        <v>0</v>
      </c>
      <c r="J974">
        <f t="shared" si="30"/>
        <v>93980</v>
      </c>
      <c r="K974" t="s">
        <v>1640</v>
      </c>
      <c r="L974">
        <v>3135</v>
      </c>
      <c r="M974" s="1">
        <f t="shared" si="31"/>
        <v>45929</v>
      </c>
      <c r="N974" t="s">
        <v>1641</v>
      </c>
      <c r="O974">
        <v>0</v>
      </c>
    </row>
    <row r="975" spans="1:15">
      <c r="A975" s="6" t="s">
        <v>14</v>
      </c>
      <c r="B975" t="s">
        <v>15</v>
      </c>
      <c r="C975" t="s">
        <v>487</v>
      </c>
      <c r="D975" t="s">
        <v>488</v>
      </c>
      <c r="E975" s="1">
        <v>45929</v>
      </c>
      <c r="F975">
        <v>3</v>
      </c>
      <c r="G975">
        <v>2635.2</v>
      </c>
      <c r="H975">
        <v>77000</v>
      </c>
      <c r="I975">
        <v>0</v>
      </c>
      <c r="J975">
        <f t="shared" si="30"/>
        <v>77000</v>
      </c>
      <c r="K975" t="s">
        <v>1640</v>
      </c>
      <c r="L975">
        <v>2635.2</v>
      </c>
      <c r="M975" s="1">
        <f t="shared" si="31"/>
        <v>45929</v>
      </c>
      <c r="N975" t="s">
        <v>1641</v>
      </c>
      <c r="O975">
        <v>0</v>
      </c>
    </row>
    <row r="976" spans="1:15">
      <c r="A976" s="6" t="s">
        <v>14</v>
      </c>
      <c r="B976" t="s">
        <v>15</v>
      </c>
      <c r="C976" t="s">
        <v>489</v>
      </c>
      <c r="D976" t="s">
        <v>490</v>
      </c>
      <c r="E976" s="1">
        <v>45929</v>
      </c>
      <c r="F976">
        <v>3</v>
      </c>
      <c r="G976">
        <v>1650</v>
      </c>
      <c r="H976">
        <v>28225</v>
      </c>
      <c r="I976">
        <v>0</v>
      </c>
      <c r="J976">
        <f t="shared" si="30"/>
        <v>28225</v>
      </c>
      <c r="K976" t="s">
        <v>1640</v>
      </c>
      <c r="L976">
        <v>1650</v>
      </c>
      <c r="M976" s="1">
        <f t="shared" si="31"/>
        <v>45929</v>
      </c>
      <c r="N976" t="s">
        <v>1641</v>
      </c>
      <c r="O976">
        <v>0</v>
      </c>
    </row>
    <row r="977" spans="1:15">
      <c r="A977" s="6" t="s">
        <v>14</v>
      </c>
      <c r="B977" t="s">
        <v>15</v>
      </c>
      <c r="C977" t="s">
        <v>491</v>
      </c>
      <c r="D977" t="s">
        <v>492</v>
      </c>
      <c r="E977" s="1">
        <v>45929</v>
      </c>
      <c r="F977">
        <v>3</v>
      </c>
      <c r="G977">
        <v>4450</v>
      </c>
      <c r="H977">
        <v>132000</v>
      </c>
      <c r="I977">
        <v>0</v>
      </c>
      <c r="J977">
        <f t="shared" si="30"/>
        <v>132000</v>
      </c>
      <c r="K977" t="s">
        <v>1640</v>
      </c>
      <c r="L977">
        <v>4450</v>
      </c>
      <c r="M977" s="1">
        <f t="shared" si="31"/>
        <v>45929</v>
      </c>
      <c r="N977" t="s">
        <v>1641</v>
      </c>
      <c r="O977">
        <v>0</v>
      </c>
    </row>
    <row r="978" spans="1:15">
      <c r="A978" s="6" t="s">
        <v>14</v>
      </c>
      <c r="B978" t="s">
        <v>15</v>
      </c>
      <c r="C978" t="s">
        <v>493</v>
      </c>
      <c r="D978" t="s">
        <v>494</v>
      </c>
      <c r="E978" s="1">
        <v>45929</v>
      </c>
      <c r="F978">
        <v>3</v>
      </c>
      <c r="G978">
        <v>3538</v>
      </c>
      <c r="H978">
        <v>109196</v>
      </c>
      <c r="I978">
        <v>0</v>
      </c>
      <c r="J978">
        <f t="shared" si="30"/>
        <v>109196</v>
      </c>
      <c r="K978" t="s">
        <v>1640</v>
      </c>
      <c r="L978">
        <v>3538</v>
      </c>
      <c r="M978" s="1">
        <f t="shared" si="31"/>
        <v>45929</v>
      </c>
      <c r="N978" t="s">
        <v>1641</v>
      </c>
      <c r="O978">
        <v>0</v>
      </c>
    </row>
    <row r="979" spans="1:15">
      <c r="A979" s="6" t="s">
        <v>14</v>
      </c>
      <c r="B979" t="s">
        <v>15</v>
      </c>
      <c r="C979" t="s">
        <v>495</v>
      </c>
      <c r="D979" t="s">
        <v>496</v>
      </c>
      <c r="E979" s="1">
        <v>45929</v>
      </c>
      <c r="F979">
        <v>3</v>
      </c>
      <c r="G979">
        <v>1365</v>
      </c>
      <c r="H979">
        <v>24963</v>
      </c>
      <c r="I979">
        <v>0</v>
      </c>
      <c r="J979">
        <f t="shared" si="30"/>
        <v>24963</v>
      </c>
      <c r="K979" t="s">
        <v>1640</v>
      </c>
      <c r="L979">
        <v>1365</v>
      </c>
      <c r="M979" s="1">
        <f t="shared" si="31"/>
        <v>45929</v>
      </c>
      <c r="N979" t="s">
        <v>1641</v>
      </c>
      <c r="O979">
        <v>0</v>
      </c>
    </row>
    <row r="980" spans="1:15">
      <c r="A980" s="6" t="s">
        <v>14</v>
      </c>
      <c r="B980" t="s">
        <v>15</v>
      </c>
      <c r="C980" t="s">
        <v>497</v>
      </c>
      <c r="D980" t="s">
        <v>498</v>
      </c>
      <c r="E980" s="1">
        <v>45929</v>
      </c>
      <c r="F980">
        <v>3</v>
      </c>
      <c r="G980">
        <v>1679</v>
      </c>
      <c r="H980">
        <v>30363</v>
      </c>
      <c r="I980">
        <v>0</v>
      </c>
      <c r="J980">
        <f t="shared" si="30"/>
        <v>30363</v>
      </c>
      <c r="K980" t="s">
        <v>1640</v>
      </c>
      <c r="L980">
        <v>1679</v>
      </c>
      <c r="M980" s="1">
        <f t="shared" si="31"/>
        <v>45929</v>
      </c>
      <c r="N980" t="s">
        <v>1641</v>
      </c>
      <c r="O980">
        <v>0</v>
      </c>
    </row>
    <row r="981" spans="1:15">
      <c r="A981" s="6" t="s">
        <v>14</v>
      </c>
      <c r="B981" t="s">
        <v>15</v>
      </c>
      <c r="C981" t="s">
        <v>501</v>
      </c>
      <c r="D981" t="s">
        <v>502</v>
      </c>
      <c r="E981" s="1">
        <v>45929</v>
      </c>
      <c r="F981">
        <v>3</v>
      </c>
      <c r="G981">
        <v>3300</v>
      </c>
      <c r="H981">
        <v>99900</v>
      </c>
      <c r="I981">
        <v>0</v>
      </c>
      <c r="J981">
        <f t="shared" si="30"/>
        <v>99900</v>
      </c>
      <c r="K981" t="s">
        <v>1640</v>
      </c>
      <c r="L981">
        <v>3300</v>
      </c>
      <c r="M981" s="1">
        <f t="shared" si="31"/>
        <v>45929</v>
      </c>
      <c r="N981" t="s">
        <v>1641</v>
      </c>
      <c r="O981">
        <v>0</v>
      </c>
    </row>
    <row r="982" spans="1:15">
      <c r="A982" s="6" t="s">
        <v>14</v>
      </c>
      <c r="B982" t="s">
        <v>15</v>
      </c>
      <c r="C982" t="s">
        <v>505</v>
      </c>
      <c r="D982" t="s">
        <v>506</v>
      </c>
      <c r="E982" s="1">
        <v>45929</v>
      </c>
      <c r="F982">
        <v>3</v>
      </c>
      <c r="G982">
        <v>494</v>
      </c>
      <c r="H982">
        <v>8910</v>
      </c>
      <c r="I982">
        <v>0</v>
      </c>
      <c r="J982">
        <f t="shared" si="30"/>
        <v>8910</v>
      </c>
      <c r="K982" t="s">
        <v>1640</v>
      </c>
      <c r="L982">
        <v>494</v>
      </c>
      <c r="M982" s="1">
        <f t="shared" si="31"/>
        <v>45929</v>
      </c>
      <c r="N982" t="s">
        <v>1641</v>
      </c>
      <c r="O982">
        <v>0</v>
      </c>
    </row>
    <row r="983" spans="1:15">
      <c r="A983" s="6" t="s">
        <v>14</v>
      </c>
      <c r="B983" t="s">
        <v>15</v>
      </c>
      <c r="C983" t="s">
        <v>507</v>
      </c>
      <c r="D983" t="s">
        <v>508</v>
      </c>
      <c r="E983" s="1">
        <v>45929</v>
      </c>
      <c r="F983">
        <v>3</v>
      </c>
      <c r="G983">
        <v>3480</v>
      </c>
      <c r="H983">
        <v>105075</v>
      </c>
      <c r="I983">
        <v>0</v>
      </c>
      <c r="J983">
        <f t="shared" si="30"/>
        <v>105075</v>
      </c>
      <c r="K983" t="s">
        <v>1640</v>
      </c>
      <c r="L983">
        <v>3480</v>
      </c>
      <c r="M983" s="1">
        <f t="shared" si="31"/>
        <v>45929</v>
      </c>
      <c r="N983" t="s">
        <v>1641</v>
      </c>
      <c r="O983">
        <v>0</v>
      </c>
    </row>
    <row r="984" spans="1:15">
      <c r="A984" s="6" t="s">
        <v>14</v>
      </c>
      <c r="B984" t="s">
        <v>15</v>
      </c>
      <c r="C984" t="s">
        <v>509</v>
      </c>
      <c r="D984" t="s">
        <v>510</v>
      </c>
      <c r="E984" s="1">
        <v>45929</v>
      </c>
      <c r="F984">
        <v>3</v>
      </c>
      <c r="G984">
        <v>3922</v>
      </c>
      <c r="H984">
        <v>119603</v>
      </c>
      <c r="I984">
        <v>0</v>
      </c>
      <c r="J984">
        <f t="shared" si="30"/>
        <v>119603</v>
      </c>
      <c r="K984" t="s">
        <v>1640</v>
      </c>
      <c r="L984">
        <v>3922</v>
      </c>
      <c r="M984" s="1">
        <f t="shared" si="31"/>
        <v>45929</v>
      </c>
      <c r="N984" t="s">
        <v>1641</v>
      </c>
      <c r="O984">
        <v>0</v>
      </c>
    </row>
    <row r="985" spans="1:15">
      <c r="A985" s="6" t="s">
        <v>14</v>
      </c>
      <c r="B985" t="s">
        <v>15</v>
      </c>
      <c r="C985" t="s">
        <v>511</v>
      </c>
      <c r="D985" t="s">
        <v>512</v>
      </c>
      <c r="E985" s="1">
        <v>45929</v>
      </c>
      <c r="F985">
        <v>3</v>
      </c>
      <c r="G985">
        <v>2967</v>
      </c>
      <c r="H985">
        <v>90192</v>
      </c>
      <c r="I985">
        <v>0</v>
      </c>
      <c r="J985">
        <f t="shared" si="30"/>
        <v>90192</v>
      </c>
      <c r="K985" t="s">
        <v>1640</v>
      </c>
      <c r="L985">
        <v>2967</v>
      </c>
      <c r="M985" s="1">
        <f t="shared" si="31"/>
        <v>45929</v>
      </c>
      <c r="N985" t="s">
        <v>1641</v>
      </c>
      <c r="O985">
        <v>0</v>
      </c>
    </row>
    <row r="986" spans="1:15">
      <c r="A986" s="6" t="s">
        <v>14</v>
      </c>
      <c r="B986" t="s">
        <v>15</v>
      </c>
      <c r="C986" t="s">
        <v>513</v>
      </c>
      <c r="D986" t="s">
        <v>514</v>
      </c>
      <c r="E986" s="1">
        <v>45929</v>
      </c>
      <c r="F986">
        <v>3</v>
      </c>
      <c r="G986">
        <v>2565</v>
      </c>
      <c r="H986">
        <v>78200</v>
      </c>
      <c r="I986">
        <v>0</v>
      </c>
      <c r="J986">
        <f t="shared" si="30"/>
        <v>78200</v>
      </c>
      <c r="K986" t="s">
        <v>1640</v>
      </c>
      <c r="L986">
        <v>2565</v>
      </c>
      <c r="M986" s="1">
        <f t="shared" si="31"/>
        <v>45929</v>
      </c>
      <c r="N986" t="s">
        <v>1641</v>
      </c>
      <c r="O986">
        <v>0</v>
      </c>
    </row>
    <row r="987" spans="1:15">
      <c r="A987" s="6" t="s">
        <v>14</v>
      </c>
      <c r="B987" t="s">
        <v>15</v>
      </c>
      <c r="C987" t="s">
        <v>515</v>
      </c>
      <c r="D987" t="s">
        <v>516</v>
      </c>
      <c r="E987" s="1">
        <v>45929</v>
      </c>
      <c r="F987">
        <v>3</v>
      </c>
      <c r="G987">
        <v>2800</v>
      </c>
      <c r="H987">
        <v>50038</v>
      </c>
      <c r="I987">
        <v>0</v>
      </c>
      <c r="J987">
        <f t="shared" si="30"/>
        <v>50038</v>
      </c>
      <c r="K987" t="s">
        <v>1640</v>
      </c>
      <c r="L987">
        <v>2800</v>
      </c>
      <c r="M987" s="1">
        <f t="shared" si="31"/>
        <v>45929</v>
      </c>
      <c r="N987" t="s">
        <v>1641</v>
      </c>
      <c r="O987">
        <v>0</v>
      </c>
    </row>
    <row r="988" spans="1:15">
      <c r="A988" s="6" t="s">
        <v>14</v>
      </c>
      <c r="B988" t="s">
        <v>15</v>
      </c>
      <c r="C988" t="s">
        <v>517</v>
      </c>
      <c r="D988" t="s">
        <v>518</v>
      </c>
      <c r="E988" s="1">
        <v>45929</v>
      </c>
      <c r="F988">
        <v>3</v>
      </c>
      <c r="G988">
        <v>2500</v>
      </c>
      <c r="H988">
        <v>44480</v>
      </c>
      <c r="I988">
        <v>0</v>
      </c>
      <c r="J988">
        <f t="shared" si="30"/>
        <v>44480</v>
      </c>
      <c r="K988" t="s">
        <v>1640</v>
      </c>
      <c r="L988">
        <v>2500</v>
      </c>
      <c r="M988" s="1">
        <f t="shared" si="31"/>
        <v>45929</v>
      </c>
      <c r="N988" t="s">
        <v>1641</v>
      </c>
      <c r="O988">
        <v>0</v>
      </c>
    </row>
    <row r="989" spans="1:15">
      <c r="A989" s="6" t="s">
        <v>14</v>
      </c>
      <c r="B989" t="s">
        <v>15</v>
      </c>
      <c r="C989" t="s">
        <v>519</v>
      </c>
      <c r="D989" t="s">
        <v>520</v>
      </c>
      <c r="E989" s="1">
        <v>45929</v>
      </c>
      <c r="F989">
        <v>3</v>
      </c>
      <c r="G989">
        <v>3696</v>
      </c>
      <c r="H989">
        <v>110000</v>
      </c>
      <c r="I989">
        <v>0</v>
      </c>
      <c r="J989">
        <f t="shared" si="30"/>
        <v>110000</v>
      </c>
      <c r="K989" t="s">
        <v>1640</v>
      </c>
      <c r="L989">
        <v>3696</v>
      </c>
      <c r="M989" s="1">
        <f t="shared" si="31"/>
        <v>45929</v>
      </c>
      <c r="N989" t="s">
        <v>1641</v>
      </c>
      <c r="O989">
        <v>0</v>
      </c>
    </row>
    <row r="990" spans="1:15">
      <c r="A990" s="6" t="s">
        <v>14</v>
      </c>
      <c r="B990" t="s">
        <v>15</v>
      </c>
      <c r="C990" t="s">
        <v>521</v>
      </c>
      <c r="D990" t="s">
        <v>522</v>
      </c>
      <c r="E990" s="1">
        <v>45929</v>
      </c>
      <c r="F990">
        <v>3</v>
      </c>
      <c r="G990">
        <v>1302</v>
      </c>
      <c r="H990">
        <v>23001</v>
      </c>
      <c r="I990">
        <v>0</v>
      </c>
      <c r="J990">
        <f t="shared" si="30"/>
        <v>23001</v>
      </c>
      <c r="K990" t="s">
        <v>1640</v>
      </c>
      <c r="L990">
        <v>1302</v>
      </c>
      <c r="M990" s="1">
        <f t="shared" si="31"/>
        <v>45929</v>
      </c>
      <c r="N990" t="s">
        <v>1641</v>
      </c>
      <c r="O990">
        <v>0</v>
      </c>
    </row>
    <row r="991" spans="1:15">
      <c r="A991" s="6" t="s">
        <v>14</v>
      </c>
      <c r="B991" t="s">
        <v>15</v>
      </c>
      <c r="C991" t="s">
        <v>523</v>
      </c>
      <c r="D991" t="s">
        <v>524</v>
      </c>
      <c r="E991" s="1">
        <v>45929</v>
      </c>
      <c r="F991">
        <v>3</v>
      </c>
      <c r="G991">
        <v>1755</v>
      </c>
      <c r="H991">
        <v>31400</v>
      </c>
      <c r="I991">
        <v>0</v>
      </c>
      <c r="J991">
        <f t="shared" si="30"/>
        <v>31400</v>
      </c>
      <c r="K991" t="s">
        <v>1640</v>
      </c>
      <c r="L991">
        <v>1755</v>
      </c>
      <c r="M991" s="1">
        <f t="shared" si="31"/>
        <v>45929</v>
      </c>
      <c r="N991" t="s">
        <v>1641</v>
      </c>
      <c r="O991">
        <v>0</v>
      </c>
    </row>
    <row r="992" spans="1:15">
      <c r="A992" s="6" t="s">
        <v>14</v>
      </c>
      <c r="B992" t="s">
        <v>15</v>
      </c>
      <c r="C992" t="s">
        <v>525</v>
      </c>
      <c r="D992" t="s">
        <v>526</v>
      </c>
      <c r="E992" s="1">
        <v>45929</v>
      </c>
      <c r="F992">
        <v>3</v>
      </c>
      <c r="G992">
        <v>1540</v>
      </c>
      <c r="H992">
        <v>27578</v>
      </c>
      <c r="I992">
        <v>0</v>
      </c>
      <c r="J992">
        <f t="shared" si="30"/>
        <v>27578</v>
      </c>
      <c r="K992" t="s">
        <v>1640</v>
      </c>
      <c r="L992">
        <v>1540</v>
      </c>
      <c r="M992" s="1">
        <f t="shared" si="31"/>
        <v>45929</v>
      </c>
      <c r="N992" t="s">
        <v>1641</v>
      </c>
      <c r="O992">
        <v>0</v>
      </c>
    </row>
    <row r="993" spans="1:15">
      <c r="A993" s="6" t="s">
        <v>14</v>
      </c>
      <c r="B993" t="s">
        <v>15</v>
      </c>
      <c r="C993" t="s">
        <v>527</v>
      </c>
      <c r="D993" t="s">
        <v>528</v>
      </c>
      <c r="E993" s="1">
        <v>45929</v>
      </c>
      <c r="F993">
        <v>3</v>
      </c>
      <c r="G993">
        <v>4575</v>
      </c>
      <c r="H993">
        <v>135731</v>
      </c>
      <c r="I993">
        <v>0</v>
      </c>
      <c r="J993">
        <f t="shared" si="30"/>
        <v>135731</v>
      </c>
      <c r="K993" t="s">
        <v>1640</v>
      </c>
      <c r="L993">
        <v>4575</v>
      </c>
      <c r="M993" s="1">
        <f t="shared" si="31"/>
        <v>45929</v>
      </c>
      <c r="N993" t="s">
        <v>1641</v>
      </c>
      <c r="O993">
        <v>0</v>
      </c>
    </row>
    <row r="994" spans="1:15">
      <c r="A994" s="6" t="s">
        <v>14</v>
      </c>
      <c r="B994" t="s">
        <v>15</v>
      </c>
      <c r="C994" t="s">
        <v>531</v>
      </c>
      <c r="D994" t="s">
        <v>532</v>
      </c>
      <c r="E994" s="1">
        <v>45929</v>
      </c>
      <c r="F994">
        <v>3</v>
      </c>
      <c r="G994">
        <v>3912</v>
      </c>
      <c r="H994">
        <v>114896</v>
      </c>
      <c r="I994">
        <v>0</v>
      </c>
      <c r="J994">
        <f t="shared" si="30"/>
        <v>114896</v>
      </c>
      <c r="K994" t="s">
        <v>1640</v>
      </c>
      <c r="L994">
        <v>3912</v>
      </c>
      <c r="M994" s="1">
        <f t="shared" si="31"/>
        <v>45929</v>
      </c>
      <c r="N994" t="s">
        <v>1641</v>
      </c>
      <c r="O994">
        <v>0</v>
      </c>
    </row>
    <row r="995" spans="1:15">
      <c r="A995" s="6" t="s">
        <v>14</v>
      </c>
      <c r="B995" t="s">
        <v>15</v>
      </c>
      <c r="C995" t="s">
        <v>533</v>
      </c>
      <c r="D995" t="s">
        <v>534</v>
      </c>
      <c r="E995" s="1">
        <v>45929</v>
      </c>
      <c r="F995">
        <v>3</v>
      </c>
      <c r="G995">
        <v>1250</v>
      </c>
      <c r="H995">
        <v>22478</v>
      </c>
      <c r="I995">
        <v>0</v>
      </c>
      <c r="J995">
        <f t="shared" si="30"/>
        <v>22478</v>
      </c>
      <c r="K995" t="s">
        <v>1640</v>
      </c>
      <c r="L995">
        <v>1250</v>
      </c>
      <c r="M995" s="1">
        <f t="shared" si="31"/>
        <v>45929</v>
      </c>
      <c r="N995" t="s">
        <v>1641</v>
      </c>
      <c r="O995">
        <v>0</v>
      </c>
    </row>
    <row r="996" spans="1:15">
      <c r="A996" s="6" t="s">
        <v>14</v>
      </c>
      <c r="B996" t="s">
        <v>15</v>
      </c>
      <c r="C996" t="s">
        <v>535</v>
      </c>
      <c r="D996" t="s">
        <v>536</v>
      </c>
      <c r="E996" s="1">
        <v>45929</v>
      </c>
      <c r="F996">
        <v>3</v>
      </c>
      <c r="G996">
        <v>3256</v>
      </c>
      <c r="H996">
        <v>98799</v>
      </c>
      <c r="I996">
        <v>0</v>
      </c>
      <c r="J996">
        <f t="shared" si="30"/>
        <v>98799</v>
      </c>
      <c r="K996" t="s">
        <v>1640</v>
      </c>
      <c r="L996">
        <v>3256</v>
      </c>
      <c r="M996" s="1">
        <f t="shared" si="31"/>
        <v>45929</v>
      </c>
      <c r="N996" t="s">
        <v>1641</v>
      </c>
      <c r="O996">
        <v>0</v>
      </c>
    </row>
    <row r="997" spans="1:15">
      <c r="A997" s="6" t="s">
        <v>14</v>
      </c>
      <c r="B997" t="s">
        <v>15</v>
      </c>
      <c r="C997" t="s">
        <v>539</v>
      </c>
      <c r="D997" t="s">
        <v>540</v>
      </c>
      <c r="E997" s="1">
        <v>45929</v>
      </c>
      <c r="F997">
        <v>3</v>
      </c>
      <c r="G997">
        <v>2745</v>
      </c>
      <c r="H997">
        <v>82476</v>
      </c>
      <c r="I997">
        <v>0</v>
      </c>
      <c r="J997">
        <f t="shared" si="30"/>
        <v>82476</v>
      </c>
      <c r="K997" t="s">
        <v>1640</v>
      </c>
      <c r="L997">
        <v>2745</v>
      </c>
      <c r="M997" s="1">
        <f t="shared" si="31"/>
        <v>45929</v>
      </c>
      <c r="N997" t="s">
        <v>1641</v>
      </c>
      <c r="O997">
        <v>0</v>
      </c>
    </row>
    <row r="998" spans="1:15">
      <c r="A998" s="6" t="s">
        <v>14</v>
      </c>
      <c r="B998" t="s">
        <v>15</v>
      </c>
      <c r="C998" t="s">
        <v>541</v>
      </c>
      <c r="D998" t="s">
        <v>542</v>
      </c>
      <c r="E998" s="1">
        <v>45929</v>
      </c>
      <c r="F998">
        <v>3</v>
      </c>
      <c r="G998">
        <v>4290</v>
      </c>
      <c r="H998">
        <v>130000</v>
      </c>
      <c r="I998">
        <v>0</v>
      </c>
      <c r="J998">
        <f t="shared" si="30"/>
        <v>130000</v>
      </c>
      <c r="K998" t="s">
        <v>1640</v>
      </c>
      <c r="L998">
        <v>4290</v>
      </c>
      <c r="M998" s="1">
        <f t="shared" si="31"/>
        <v>45929</v>
      </c>
      <c r="N998" t="s">
        <v>1641</v>
      </c>
      <c r="O998">
        <v>0</v>
      </c>
    </row>
    <row r="999" spans="1:15">
      <c r="A999" s="6" t="s">
        <v>14</v>
      </c>
      <c r="B999" t="s">
        <v>15</v>
      </c>
      <c r="C999" t="s">
        <v>543</v>
      </c>
      <c r="D999" t="s">
        <v>1647</v>
      </c>
      <c r="E999" s="1">
        <v>45929</v>
      </c>
      <c r="F999">
        <v>3</v>
      </c>
      <c r="G999">
        <v>1428</v>
      </c>
      <c r="H999">
        <v>26555</v>
      </c>
      <c r="I999">
        <v>0</v>
      </c>
      <c r="J999">
        <f t="shared" si="30"/>
        <v>26555</v>
      </c>
      <c r="K999" t="s">
        <v>1640</v>
      </c>
      <c r="L999">
        <v>1428</v>
      </c>
      <c r="M999" s="1">
        <f t="shared" si="31"/>
        <v>45929</v>
      </c>
      <c r="N999" t="s">
        <v>1641</v>
      </c>
      <c r="O999">
        <v>0</v>
      </c>
    </row>
    <row r="1000" spans="1:15">
      <c r="A1000" s="6" t="s">
        <v>14</v>
      </c>
      <c r="B1000" t="s">
        <v>15</v>
      </c>
      <c r="C1000" t="s">
        <v>544</v>
      </c>
      <c r="D1000" t="s">
        <v>545</v>
      </c>
      <c r="E1000" s="1">
        <v>45929</v>
      </c>
      <c r="F1000">
        <v>3</v>
      </c>
      <c r="G1000">
        <v>3339</v>
      </c>
      <c r="H1000">
        <v>101368</v>
      </c>
      <c r="I1000">
        <v>0</v>
      </c>
      <c r="J1000">
        <f t="shared" si="30"/>
        <v>101368</v>
      </c>
      <c r="K1000" t="s">
        <v>1640</v>
      </c>
      <c r="L1000">
        <v>3339</v>
      </c>
      <c r="M1000" s="1">
        <f t="shared" si="31"/>
        <v>45929</v>
      </c>
      <c r="N1000" t="s">
        <v>1641</v>
      </c>
      <c r="O1000">
        <v>0</v>
      </c>
    </row>
    <row r="1001" spans="1:15">
      <c r="A1001" s="6" t="s">
        <v>14</v>
      </c>
      <c r="B1001" t="s">
        <v>15</v>
      </c>
      <c r="C1001" t="s">
        <v>546</v>
      </c>
      <c r="D1001" t="s">
        <v>547</v>
      </c>
      <c r="E1001" s="1">
        <v>45929</v>
      </c>
      <c r="F1001">
        <v>3</v>
      </c>
      <c r="G1001">
        <v>1620</v>
      </c>
      <c r="H1001">
        <v>27862</v>
      </c>
      <c r="I1001">
        <v>0</v>
      </c>
      <c r="J1001">
        <f t="shared" si="30"/>
        <v>27862</v>
      </c>
      <c r="K1001" t="s">
        <v>1640</v>
      </c>
      <c r="L1001">
        <v>1620</v>
      </c>
      <c r="M1001" s="1">
        <f t="shared" si="31"/>
        <v>45929</v>
      </c>
      <c r="N1001" t="s">
        <v>1641</v>
      </c>
      <c r="O1001">
        <v>0</v>
      </c>
    </row>
    <row r="1002" spans="1:15">
      <c r="A1002" s="6" t="s">
        <v>14</v>
      </c>
      <c r="B1002" t="s">
        <v>15</v>
      </c>
      <c r="C1002" t="s">
        <v>548</v>
      </c>
      <c r="D1002" t="s">
        <v>549</v>
      </c>
      <c r="E1002" s="1">
        <v>45929</v>
      </c>
      <c r="F1002">
        <v>3</v>
      </c>
      <c r="G1002">
        <v>2632</v>
      </c>
      <c r="H1002">
        <v>78025</v>
      </c>
      <c r="I1002">
        <v>0</v>
      </c>
      <c r="J1002">
        <f t="shared" si="30"/>
        <v>78025</v>
      </c>
      <c r="K1002" t="s">
        <v>1640</v>
      </c>
      <c r="L1002">
        <v>2632</v>
      </c>
      <c r="M1002" s="1">
        <f t="shared" si="31"/>
        <v>45929</v>
      </c>
      <c r="N1002" t="s">
        <v>1641</v>
      </c>
      <c r="O1002">
        <v>0</v>
      </c>
    </row>
    <row r="1003" spans="1:15">
      <c r="A1003" s="6" t="s">
        <v>14</v>
      </c>
      <c r="B1003" t="s">
        <v>15</v>
      </c>
      <c r="C1003" t="s">
        <v>552</v>
      </c>
      <c r="D1003" t="s">
        <v>553</v>
      </c>
      <c r="E1003" s="1">
        <v>45929</v>
      </c>
      <c r="F1003">
        <v>3</v>
      </c>
      <c r="G1003">
        <v>1470</v>
      </c>
      <c r="H1003">
        <v>25490</v>
      </c>
      <c r="I1003">
        <v>0</v>
      </c>
      <c r="J1003">
        <f t="shared" si="30"/>
        <v>25490</v>
      </c>
      <c r="K1003" t="s">
        <v>1640</v>
      </c>
      <c r="L1003">
        <v>1470</v>
      </c>
      <c r="M1003" s="1">
        <f t="shared" si="31"/>
        <v>45929</v>
      </c>
      <c r="N1003" t="s">
        <v>1641</v>
      </c>
      <c r="O1003">
        <v>0</v>
      </c>
    </row>
    <row r="1004" spans="1:15">
      <c r="A1004" s="6" t="s">
        <v>14</v>
      </c>
      <c r="B1004" t="s">
        <v>15</v>
      </c>
      <c r="C1004" t="s">
        <v>554</v>
      </c>
      <c r="D1004" t="s">
        <v>555</v>
      </c>
      <c r="E1004" s="1">
        <v>45929</v>
      </c>
      <c r="F1004">
        <v>3</v>
      </c>
      <c r="G1004">
        <v>5358</v>
      </c>
      <c r="H1004">
        <v>163831</v>
      </c>
      <c r="I1004">
        <v>0</v>
      </c>
      <c r="J1004">
        <f t="shared" si="30"/>
        <v>163831</v>
      </c>
      <c r="K1004" t="s">
        <v>1640</v>
      </c>
      <c r="L1004">
        <v>5358</v>
      </c>
      <c r="M1004" s="1">
        <f t="shared" si="31"/>
        <v>45929</v>
      </c>
      <c r="N1004" t="s">
        <v>1641</v>
      </c>
      <c r="O1004">
        <v>0</v>
      </c>
    </row>
    <row r="1005" spans="1:15">
      <c r="A1005" s="6" t="s">
        <v>14</v>
      </c>
      <c r="B1005" t="s">
        <v>15</v>
      </c>
      <c r="C1005" t="s">
        <v>558</v>
      </c>
      <c r="D1005" t="s">
        <v>559</v>
      </c>
      <c r="E1005" s="1">
        <v>45929</v>
      </c>
      <c r="F1005">
        <v>3</v>
      </c>
      <c r="G1005">
        <v>1440</v>
      </c>
      <c r="H1005">
        <v>25912</v>
      </c>
      <c r="I1005">
        <v>0</v>
      </c>
      <c r="J1005">
        <f t="shared" si="30"/>
        <v>25912</v>
      </c>
      <c r="K1005" t="s">
        <v>1640</v>
      </c>
      <c r="L1005">
        <v>1440</v>
      </c>
      <c r="M1005" s="1">
        <f t="shared" si="31"/>
        <v>45929</v>
      </c>
      <c r="N1005" t="s">
        <v>1641</v>
      </c>
      <c r="O1005">
        <v>0</v>
      </c>
    </row>
    <row r="1006" spans="1:15">
      <c r="A1006" s="6" t="s">
        <v>14</v>
      </c>
      <c r="B1006" t="s">
        <v>15</v>
      </c>
      <c r="C1006" t="s">
        <v>560</v>
      </c>
      <c r="D1006" t="s">
        <v>561</v>
      </c>
      <c r="E1006" s="1">
        <v>45929</v>
      </c>
      <c r="F1006">
        <v>3</v>
      </c>
      <c r="G1006">
        <v>2000</v>
      </c>
      <c r="H1006">
        <v>87000</v>
      </c>
      <c r="I1006">
        <v>0</v>
      </c>
      <c r="J1006">
        <f t="shared" si="30"/>
        <v>87000</v>
      </c>
      <c r="K1006" t="s">
        <v>1640</v>
      </c>
      <c r="L1006">
        <v>2000</v>
      </c>
      <c r="M1006" s="1">
        <f t="shared" si="31"/>
        <v>45929</v>
      </c>
      <c r="N1006" t="s">
        <v>1641</v>
      </c>
      <c r="O1006">
        <v>0</v>
      </c>
    </row>
    <row r="1007" spans="1:15">
      <c r="A1007" s="6" t="s">
        <v>14</v>
      </c>
      <c r="B1007" t="s">
        <v>15</v>
      </c>
      <c r="C1007" t="s">
        <v>562</v>
      </c>
      <c r="D1007" t="s">
        <v>563</v>
      </c>
      <c r="E1007" s="1">
        <v>45929</v>
      </c>
      <c r="F1007">
        <v>3</v>
      </c>
      <c r="G1007">
        <v>3969</v>
      </c>
      <c r="H1007">
        <v>119770</v>
      </c>
      <c r="I1007">
        <v>0</v>
      </c>
      <c r="J1007">
        <f t="shared" si="30"/>
        <v>119770</v>
      </c>
      <c r="K1007" t="s">
        <v>1640</v>
      </c>
      <c r="L1007">
        <v>3969</v>
      </c>
      <c r="M1007" s="1">
        <f t="shared" si="31"/>
        <v>45929</v>
      </c>
      <c r="N1007" t="s">
        <v>1641</v>
      </c>
      <c r="O1007">
        <v>0</v>
      </c>
    </row>
    <row r="1008" spans="1:15">
      <c r="A1008" s="6" t="s">
        <v>14</v>
      </c>
      <c r="B1008" t="s">
        <v>15</v>
      </c>
      <c r="C1008" t="s">
        <v>571</v>
      </c>
      <c r="D1008" t="s">
        <v>572</v>
      </c>
      <c r="E1008" s="1">
        <v>45929</v>
      </c>
      <c r="F1008">
        <v>3</v>
      </c>
      <c r="G1008">
        <v>2271.5</v>
      </c>
      <c r="H1008">
        <v>68100</v>
      </c>
      <c r="I1008">
        <v>0</v>
      </c>
      <c r="J1008">
        <f t="shared" si="30"/>
        <v>68100</v>
      </c>
      <c r="K1008" t="s">
        <v>1640</v>
      </c>
      <c r="L1008">
        <v>2271.5</v>
      </c>
      <c r="M1008" s="1">
        <f t="shared" si="31"/>
        <v>45929</v>
      </c>
      <c r="N1008" t="s">
        <v>1641</v>
      </c>
      <c r="O1008">
        <v>0</v>
      </c>
    </row>
    <row r="1009" spans="1:15">
      <c r="A1009" s="6" t="s">
        <v>14</v>
      </c>
      <c r="B1009" t="s">
        <v>15</v>
      </c>
      <c r="C1009" t="s">
        <v>577</v>
      </c>
      <c r="D1009" t="s">
        <v>578</v>
      </c>
      <c r="E1009" s="1">
        <v>45929</v>
      </c>
      <c r="F1009">
        <v>3</v>
      </c>
      <c r="G1009">
        <v>6132</v>
      </c>
      <c r="H1009">
        <v>179000</v>
      </c>
      <c r="I1009">
        <v>0</v>
      </c>
      <c r="J1009">
        <f t="shared" si="30"/>
        <v>179000</v>
      </c>
      <c r="K1009" t="s">
        <v>1640</v>
      </c>
      <c r="L1009">
        <v>6132</v>
      </c>
      <c r="M1009" s="1">
        <f t="shared" si="31"/>
        <v>45929</v>
      </c>
      <c r="N1009" t="s">
        <v>1641</v>
      </c>
      <c r="O1009">
        <v>0</v>
      </c>
    </row>
    <row r="1010" spans="1:15">
      <c r="A1010" s="6" t="s">
        <v>14</v>
      </c>
      <c r="B1010" t="s">
        <v>15</v>
      </c>
      <c r="C1010" t="s">
        <v>580</v>
      </c>
      <c r="D1010" t="s">
        <v>581</v>
      </c>
      <c r="E1010" s="1">
        <v>45929</v>
      </c>
      <c r="F1010">
        <v>3</v>
      </c>
      <c r="G1010">
        <v>1254</v>
      </c>
      <c r="H1010">
        <v>37493</v>
      </c>
      <c r="I1010">
        <v>0</v>
      </c>
      <c r="J1010">
        <f t="shared" si="30"/>
        <v>37493</v>
      </c>
      <c r="K1010" t="s">
        <v>1640</v>
      </c>
      <c r="L1010">
        <v>1254</v>
      </c>
      <c r="M1010" s="1">
        <f t="shared" si="31"/>
        <v>45929</v>
      </c>
      <c r="N1010" t="s">
        <v>1641</v>
      </c>
      <c r="O1010">
        <v>0</v>
      </c>
    </row>
    <row r="1011" spans="1:15">
      <c r="A1011" s="6" t="s">
        <v>14</v>
      </c>
      <c r="B1011" t="s">
        <v>15</v>
      </c>
      <c r="C1011" t="s">
        <v>582</v>
      </c>
      <c r="D1011" t="s">
        <v>583</v>
      </c>
      <c r="E1011" s="1">
        <v>45929</v>
      </c>
      <c r="F1011">
        <v>3</v>
      </c>
      <c r="G1011">
        <v>2236</v>
      </c>
      <c r="H1011">
        <v>67000</v>
      </c>
      <c r="I1011">
        <v>0</v>
      </c>
      <c r="J1011">
        <f t="shared" si="30"/>
        <v>67000</v>
      </c>
      <c r="K1011" t="s">
        <v>1640</v>
      </c>
      <c r="L1011">
        <v>2236</v>
      </c>
      <c r="M1011" s="1">
        <f t="shared" si="31"/>
        <v>45929</v>
      </c>
      <c r="N1011" t="s">
        <v>1641</v>
      </c>
      <c r="O1011">
        <v>0</v>
      </c>
    </row>
    <row r="1012" spans="1:15">
      <c r="A1012" s="6" t="s">
        <v>14</v>
      </c>
      <c r="B1012" t="s">
        <v>15</v>
      </c>
      <c r="C1012" t="s">
        <v>584</v>
      </c>
      <c r="D1012" t="s">
        <v>585</v>
      </c>
      <c r="E1012" s="1">
        <v>45929</v>
      </c>
      <c r="F1012">
        <v>3</v>
      </c>
      <c r="G1012">
        <v>3024</v>
      </c>
      <c r="H1012">
        <v>86995</v>
      </c>
      <c r="I1012">
        <v>0</v>
      </c>
      <c r="J1012">
        <f t="shared" si="30"/>
        <v>86995</v>
      </c>
      <c r="K1012" t="s">
        <v>1640</v>
      </c>
      <c r="L1012">
        <v>3024</v>
      </c>
      <c r="M1012" s="1">
        <f t="shared" si="31"/>
        <v>45929</v>
      </c>
      <c r="N1012" t="s">
        <v>1641</v>
      </c>
      <c r="O1012">
        <v>0</v>
      </c>
    </row>
    <row r="1013" spans="1:15">
      <c r="A1013" s="6" t="s">
        <v>14</v>
      </c>
      <c r="B1013" t="s">
        <v>15</v>
      </c>
      <c r="C1013" t="s">
        <v>586</v>
      </c>
      <c r="D1013" t="s">
        <v>587</v>
      </c>
      <c r="E1013" s="1">
        <v>45929</v>
      </c>
      <c r="F1013">
        <v>3</v>
      </c>
      <c r="G1013">
        <v>5280</v>
      </c>
      <c r="H1013">
        <v>160380</v>
      </c>
      <c r="I1013">
        <v>0</v>
      </c>
      <c r="J1013">
        <f t="shared" si="30"/>
        <v>160380</v>
      </c>
      <c r="K1013" t="s">
        <v>1640</v>
      </c>
      <c r="L1013">
        <v>5280</v>
      </c>
      <c r="M1013" s="1">
        <f t="shared" si="31"/>
        <v>45929</v>
      </c>
      <c r="N1013" t="s">
        <v>1641</v>
      </c>
      <c r="O1013">
        <v>0</v>
      </c>
    </row>
    <row r="1014" spans="1:15">
      <c r="A1014" s="6" t="s">
        <v>14</v>
      </c>
      <c r="B1014" t="s">
        <v>15</v>
      </c>
      <c r="C1014" t="s">
        <v>590</v>
      </c>
      <c r="D1014" t="s">
        <v>591</v>
      </c>
      <c r="E1014" s="1">
        <v>45929</v>
      </c>
      <c r="F1014">
        <v>3</v>
      </c>
      <c r="G1014">
        <v>1491</v>
      </c>
      <c r="H1014">
        <v>27758</v>
      </c>
      <c r="I1014">
        <v>0</v>
      </c>
      <c r="J1014">
        <f t="shared" si="30"/>
        <v>27758</v>
      </c>
      <c r="K1014" t="s">
        <v>1640</v>
      </c>
      <c r="L1014">
        <v>1491</v>
      </c>
      <c r="M1014" s="1">
        <f t="shared" si="31"/>
        <v>45929</v>
      </c>
      <c r="N1014" t="s">
        <v>1641</v>
      </c>
      <c r="O1014">
        <v>0</v>
      </c>
    </row>
    <row r="1015" spans="1:15">
      <c r="A1015" s="6" t="s">
        <v>14</v>
      </c>
      <c r="B1015" t="s">
        <v>15</v>
      </c>
      <c r="C1015" t="s">
        <v>594</v>
      </c>
      <c r="D1015" t="s">
        <v>595</v>
      </c>
      <c r="E1015" s="1">
        <v>45929</v>
      </c>
      <c r="F1015">
        <v>3</v>
      </c>
      <c r="G1015">
        <v>2772</v>
      </c>
      <c r="H1015">
        <v>84510</v>
      </c>
      <c r="I1015">
        <v>0</v>
      </c>
      <c r="J1015">
        <f t="shared" si="30"/>
        <v>84510</v>
      </c>
      <c r="K1015" t="s">
        <v>1640</v>
      </c>
      <c r="L1015">
        <v>2772</v>
      </c>
      <c r="M1015" s="1">
        <f t="shared" si="31"/>
        <v>45929</v>
      </c>
      <c r="N1015" t="s">
        <v>1641</v>
      </c>
      <c r="O1015">
        <v>0</v>
      </c>
    </row>
    <row r="1016" spans="1:15">
      <c r="A1016" s="6" t="s">
        <v>14</v>
      </c>
      <c r="B1016" t="s">
        <v>15</v>
      </c>
      <c r="C1016" t="s">
        <v>596</v>
      </c>
      <c r="D1016" t="s">
        <v>597</v>
      </c>
      <c r="E1016" s="1">
        <v>45929</v>
      </c>
      <c r="F1016">
        <v>3</v>
      </c>
      <c r="G1016">
        <v>3567</v>
      </c>
      <c r="H1016">
        <v>107595</v>
      </c>
      <c r="I1016">
        <v>0</v>
      </c>
      <c r="J1016">
        <f t="shared" si="30"/>
        <v>107595</v>
      </c>
      <c r="K1016" t="s">
        <v>1640</v>
      </c>
      <c r="L1016">
        <v>3567</v>
      </c>
      <c r="M1016" s="1">
        <f t="shared" si="31"/>
        <v>45929</v>
      </c>
      <c r="N1016" t="s">
        <v>1641</v>
      </c>
      <c r="O1016">
        <v>0</v>
      </c>
    </row>
    <row r="1017" spans="1:15">
      <c r="A1017" s="6" t="s">
        <v>14</v>
      </c>
      <c r="B1017" t="s">
        <v>15</v>
      </c>
      <c r="C1017" t="s">
        <v>598</v>
      </c>
      <c r="D1017" t="s">
        <v>599</v>
      </c>
      <c r="E1017" s="1">
        <v>45929</v>
      </c>
      <c r="F1017">
        <v>3</v>
      </c>
      <c r="G1017">
        <v>4650</v>
      </c>
      <c r="H1017">
        <v>138500</v>
      </c>
      <c r="I1017">
        <v>0</v>
      </c>
      <c r="J1017">
        <f t="shared" si="30"/>
        <v>138500</v>
      </c>
      <c r="K1017" t="s">
        <v>1640</v>
      </c>
      <c r="L1017">
        <v>4650</v>
      </c>
      <c r="M1017" s="1">
        <f t="shared" si="31"/>
        <v>45929</v>
      </c>
      <c r="N1017" t="s">
        <v>1641</v>
      </c>
      <c r="O1017">
        <v>0</v>
      </c>
    </row>
    <row r="1018" spans="1:15">
      <c r="A1018" s="6" t="s">
        <v>14</v>
      </c>
      <c r="B1018" t="s">
        <v>15</v>
      </c>
      <c r="C1018" t="s">
        <v>600</v>
      </c>
      <c r="D1018" t="s">
        <v>601</v>
      </c>
      <c r="E1018" s="1">
        <v>45929</v>
      </c>
      <c r="F1018">
        <v>3</v>
      </c>
      <c r="G1018">
        <v>4524</v>
      </c>
      <c r="H1018">
        <v>136666</v>
      </c>
      <c r="I1018">
        <v>0</v>
      </c>
      <c r="J1018">
        <f t="shared" si="30"/>
        <v>136666</v>
      </c>
      <c r="K1018" t="s">
        <v>1640</v>
      </c>
      <c r="L1018">
        <v>4524</v>
      </c>
      <c r="M1018" s="1">
        <f t="shared" si="31"/>
        <v>45929</v>
      </c>
      <c r="N1018" t="s">
        <v>1641</v>
      </c>
      <c r="O1018">
        <v>0</v>
      </c>
    </row>
    <row r="1019" spans="1:15">
      <c r="A1019" s="6" t="s">
        <v>14</v>
      </c>
      <c r="B1019" t="s">
        <v>15</v>
      </c>
      <c r="C1019" t="s">
        <v>606</v>
      </c>
      <c r="D1019" t="s">
        <v>1650</v>
      </c>
      <c r="E1019" s="1">
        <v>45929</v>
      </c>
      <c r="F1019">
        <v>3</v>
      </c>
      <c r="G1019">
        <v>1080</v>
      </c>
      <c r="H1019">
        <v>19087</v>
      </c>
      <c r="I1019">
        <v>0</v>
      </c>
      <c r="J1019">
        <f t="shared" si="30"/>
        <v>19087</v>
      </c>
      <c r="K1019" t="s">
        <v>1640</v>
      </c>
      <c r="L1019">
        <v>1080</v>
      </c>
      <c r="M1019" s="1">
        <f t="shared" si="31"/>
        <v>45929</v>
      </c>
      <c r="N1019" t="s">
        <v>1641</v>
      </c>
      <c r="O1019">
        <v>0</v>
      </c>
    </row>
    <row r="1020" spans="1:15">
      <c r="A1020" s="6" t="s">
        <v>14</v>
      </c>
      <c r="B1020" t="s">
        <v>15</v>
      </c>
      <c r="C1020" t="s">
        <v>607</v>
      </c>
      <c r="D1020" t="s">
        <v>608</v>
      </c>
      <c r="E1020" s="1">
        <v>45929</v>
      </c>
      <c r="F1020">
        <v>3</v>
      </c>
      <c r="G1020">
        <v>3120</v>
      </c>
      <c r="H1020">
        <v>97745</v>
      </c>
      <c r="I1020">
        <v>0</v>
      </c>
      <c r="J1020">
        <f t="shared" si="30"/>
        <v>97745</v>
      </c>
      <c r="K1020" t="s">
        <v>1640</v>
      </c>
      <c r="L1020">
        <v>3120</v>
      </c>
      <c r="M1020" s="1">
        <f t="shared" si="31"/>
        <v>45929</v>
      </c>
      <c r="N1020" t="s">
        <v>1641</v>
      </c>
      <c r="O1020">
        <v>0</v>
      </c>
    </row>
    <row r="1021" spans="1:15">
      <c r="A1021" s="6" t="s">
        <v>14</v>
      </c>
      <c r="B1021" t="s">
        <v>15</v>
      </c>
      <c r="C1021" t="s">
        <v>609</v>
      </c>
      <c r="D1021" t="s">
        <v>610</v>
      </c>
      <c r="E1021" s="1">
        <v>45929</v>
      </c>
      <c r="F1021">
        <v>3</v>
      </c>
      <c r="G1021">
        <v>2541</v>
      </c>
      <c r="H1021">
        <v>77000</v>
      </c>
      <c r="I1021">
        <v>0</v>
      </c>
      <c r="J1021">
        <f t="shared" si="30"/>
        <v>77000</v>
      </c>
      <c r="K1021" t="s">
        <v>1640</v>
      </c>
      <c r="L1021">
        <v>2541</v>
      </c>
      <c r="M1021" s="1">
        <f t="shared" si="31"/>
        <v>45929</v>
      </c>
      <c r="N1021" t="s">
        <v>1641</v>
      </c>
      <c r="O1021">
        <v>0</v>
      </c>
    </row>
    <row r="1022" spans="1:15">
      <c r="A1022" s="6" t="s">
        <v>14</v>
      </c>
      <c r="B1022" t="s">
        <v>15</v>
      </c>
      <c r="C1022" t="s">
        <v>615</v>
      </c>
      <c r="D1022" t="s">
        <v>616</v>
      </c>
      <c r="E1022" s="1">
        <v>45929</v>
      </c>
      <c r="F1022">
        <v>3</v>
      </c>
      <c r="G1022">
        <v>2250</v>
      </c>
      <c r="H1022">
        <v>68787</v>
      </c>
      <c r="I1022">
        <v>0</v>
      </c>
      <c r="J1022">
        <f t="shared" si="30"/>
        <v>68787</v>
      </c>
      <c r="K1022" t="s">
        <v>1640</v>
      </c>
      <c r="L1022">
        <v>2250</v>
      </c>
      <c r="M1022" s="1">
        <f t="shared" si="31"/>
        <v>45929</v>
      </c>
      <c r="N1022" t="s">
        <v>1641</v>
      </c>
      <c r="O1022">
        <v>0</v>
      </c>
    </row>
    <row r="1023" spans="1:15">
      <c r="A1023" s="6" t="s">
        <v>14</v>
      </c>
      <c r="B1023" t="s">
        <v>15</v>
      </c>
      <c r="C1023" t="s">
        <v>619</v>
      </c>
      <c r="D1023" t="s">
        <v>1651</v>
      </c>
      <c r="E1023" s="1">
        <v>45929</v>
      </c>
      <c r="F1023">
        <v>3</v>
      </c>
      <c r="G1023">
        <v>4272</v>
      </c>
      <c r="H1023">
        <v>129626</v>
      </c>
      <c r="I1023">
        <v>0</v>
      </c>
      <c r="J1023">
        <f t="shared" si="30"/>
        <v>129626</v>
      </c>
      <c r="K1023" t="s">
        <v>1640</v>
      </c>
      <c r="L1023">
        <v>4272</v>
      </c>
      <c r="M1023" s="1">
        <f t="shared" si="31"/>
        <v>45929</v>
      </c>
      <c r="N1023" t="s">
        <v>1641</v>
      </c>
      <c r="O1023">
        <v>0</v>
      </c>
    </row>
    <row r="1024" spans="1:15">
      <c r="A1024" s="6" t="s">
        <v>14</v>
      </c>
      <c r="B1024" t="s">
        <v>15</v>
      </c>
      <c r="C1024" t="s">
        <v>620</v>
      </c>
      <c r="D1024" t="s">
        <v>621</v>
      </c>
      <c r="E1024" s="1">
        <v>45929</v>
      </c>
      <c r="F1024">
        <v>3</v>
      </c>
      <c r="G1024">
        <v>1350</v>
      </c>
      <c r="H1024">
        <v>24498</v>
      </c>
      <c r="I1024">
        <v>0</v>
      </c>
      <c r="J1024">
        <f t="shared" si="30"/>
        <v>24498</v>
      </c>
      <c r="K1024" t="s">
        <v>1640</v>
      </c>
      <c r="L1024">
        <v>1350</v>
      </c>
      <c r="M1024" s="1">
        <f t="shared" si="31"/>
        <v>45929</v>
      </c>
      <c r="N1024" t="s">
        <v>1641</v>
      </c>
      <c r="O1024">
        <v>0</v>
      </c>
    </row>
    <row r="1025" spans="1:15">
      <c r="A1025" s="6" t="s">
        <v>14</v>
      </c>
      <c r="B1025" t="s">
        <v>15</v>
      </c>
      <c r="C1025" t="s">
        <v>624</v>
      </c>
      <c r="D1025" t="s">
        <v>625</v>
      </c>
      <c r="E1025" s="1">
        <v>45929</v>
      </c>
      <c r="F1025">
        <v>3</v>
      </c>
      <c r="G1025">
        <v>3817.8</v>
      </c>
      <c r="H1025">
        <v>109800</v>
      </c>
      <c r="I1025">
        <v>0</v>
      </c>
      <c r="J1025">
        <f t="shared" si="30"/>
        <v>109800</v>
      </c>
      <c r="K1025" t="s">
        <v>1640</v>
      </c>
      <c r="L1025">
        <v>3817.8</v>
      </c>
      <c r="M1025" s="1">
        <f t="shared" si="31"/>
        <v>45929</v>
      </c>
      <c r="N1025" t="s">
        <v>1641</v>
      </c>
      <c r="O1025">
        <v>0</v>
      </c>
    </row>
    <row r="1026" spans="1:15">
      <c r="A1026" s="6" t="s">
        <v>14</v>
      </c>
      <c r="B1026" t="s">
        <v>15</v>
      </c>
      <c r="C1026" t="s">
        <v>626</v>
      </c>
      <c r="D1026" t="s">
        <v>627</v>
      </c>
      <c r="E1026" s="1">
        <v>45929</v>
      </c>
      <c r="F1026">
        <v>3</v>
      </c>
      <c r="G1026">
        <v>3262.5</v>
      </c>
      <c r="H1026">
        <v>105000</v>
      </c>
      <c r="I1026">
        <v>0</v>
      </c>
      <c r="J1026">
        <f t="shared" si="30"/>
        <v>105000</v>
      </c>
      <c r="K1026" t="s">
        <v>1640</v>
      </c>
      <c r="L1026">
        <v>3262.5</v>
      </c>
      <c r="M1026" s="1">
        <f t="shared" si="31"/>
        <v>45929</v>
      </c>
      <c r="N1026" t="s">
        <v>1641</v>
      </c>
      <c r="O1026">
        <v>0</v>
      </c>
    </row>
    <row r="1027" spans="1:15">
      <c r="A1027" s="6" t="s">
        <v>14</v>
      </c>
      <c r="B1027" t="s">
        <v>15</v>
      </c>
      <c r="C1027" t="s">
        <v>630</v>
      </c>
      <c r="D1027" t="s">
        <v>631</v>
      </c>
      <c r="E1027" s="1">
        <v>45929</v>
      </c>
      <c r="F1027">
        <v>3</v>
      </c>
      <c r="G1027">
        <v>3772</v>
      </c>
      <c r="H1027">
        <v>107350</v>
      </c>
      <c r="I1027">
        <v>0</v>
      </c>
      <c r="J1027">
        <f t="shared" ref="J1027:J1090" si="32">H1027-I1027</f>
        <v>107350</v>
      </c>
      <c r="K1027" t="s">
        <v>1640</v>
      </c>
      <c r="L1027">
        <v>3772</v>
      </c>
      <c r="M1027" s="1">
        <f t="shared" ref="M1027:M1090" si="33">E1027</f>
        <v>45929</v>
      </c>
      <c r="N1027" t="s">
        <v>1641</v>
      </c>
      <c r="O1027">
        <v>0</v>
      </c>
    </row>
    <row r="1028" spans="1:15">
      <c r="A1028" s="6" t="s">
        <v>14</v>
      </c>
      <c r="B1028" t="s">
        <v>15</v>
      </c>
      <c r="C1028" t="s">
        <v>632</v>
      </c>
      <c r="D1028" t="s">
        <v>633</v>
      </c>
      <c r="E1028" s="1">
        <v>45929</v>
      </c>
      <c r="F1028">
        <v>3</v>
      </c>
      <c r="G1028">
        <v>2928</v>
      </c>
      <c r="H1028">
        <v>85000</v>
      </c>
      <c r="I1028">
        <v>0</v>
      </c>
      <c r="J1028">
        <f t="shared" si="32"/>
        <v>85000</v>
      </c>
      <c r="K1028" t="s">
        <v>1640</v>
      </c>
      <c r="L1028">
        <v>2928</v>
      </c>
      <c r="M1028" s="1">
        <f t="shared" si="33"/>
        <v>45929</v>
      </c>
      <c r="N1028" t="s">
        <v>1641</v>
      </c>
      <c r="O1028">
        <v>0</v>
      </c>
    </row>
    <row r="1029" spans="1:15">
      <c r="A1029" s="6" t="s">
        <v>14</v>
      </c>
      <c r="B1029" t="s">
        <v>15</v>
      </c>
      <c r="C1029" t="s">
        <v>634</v>
      </c>
      <c r="D1029" t="s">
        <v>635</v>
      </c>
      <c r="E1029" s="1">
        <v>45929</v>
      </c>
      <c r="F1029">
        <v>3</v>
      </c>
      <c r="G1029">
        <v>1399.92</v>
      </c>
      <c r="H1029">
        <v>24606</v>
      </c>
      <c r="I1029">
        <v>0</v>
      </c>
      <c r="J1029">
        <f t="shared" si="32"/>
        <v>24606</v>
      </c>
      <c r="K1029" t="s">
        <v>1640</v>
      </c>
      <c r="L1029">
        <v>1399.92</v>
      </c>
      <c r="M1029" s="1">
        <f t="shared" si="33"/>
        <v>45929</v>
      </c>
      <c r="N1029" t="s">
        <v>1641</v>
      </c>
      <c r="O1029">
        <v>0</v>
      </c>
    </row>
    <row r="1030" spans="1:15">
      <c r="A1030" s="6" t="s">
        <v>14</v>
      </c>
      <c r="B1030" t="s">
        <v>15</v>
      </c>
      <c r="C1030" t="s">
        <v>638</v>
      </c>
      <c r="D1030" t="s">
        <v>639</v>
      </c>
      <c r="E1030" s="1">
        <v>45929</v>
      </c>
      <c r="F1030">
        <v>3</v>
      </c>
      <c r="G1030">
        <v>1273</v>
      </c>
      <c r="H1030">
        <v>22732</v>
      </c>
      <c r="I1030">
        <v>0</v>
      </c>
      <c r="J1030">
        <f t="shared" si="32"/>
        <v>22732</v>
      </c>
      <c r="K1030" t="s">
        <v>1640</v>
      </c>
      <c r="L1030">
        <v>1273</v>
      </c>
      <c r="M1030" s="1">
        <f t="shared" si="33"/>
        <v>45929</v>
      </c>
      <c r="N1030" t="s">
        <v>1641</v>
      </c>
      <c r="O1030">
        <v>0</v>
      </c>
    </row>
    <row r="1031" spans="1:15">
      <c r="A1031" s="6" t="s">
        <v>14</v>
      </c>
      <c r="B1031" t="s">
        <v>15</v>
      </c>
      <c r="C1031" t="s">
        <v>640</v>
      </c>
      <c r="D1031" t="s">
        <v>641</v>
      </c>
      <c r="E1031" s="1">
        <v>45929</v>
      </c>
      <c r="F1031">
        <v>3</v>
      </c>
      <c r="G1031">
        <v>2520</v>
      </c>
      <c r="H1031">
        <v>76300</v>
      </c>
      <c r="I1031">
        <v>0</v>
      </c>
      <c r="J1031">
        <f t="shared" si="32"/>
        <v>76300</v>
      </c>
      <c r="K1031" t="s">
        <v>1640</v>
      </c>
      <c r="L1031">
        <v>2520</v>
      </c>
      <c r="M1031" s="1">
        <f t="shared" si="33"/>
        <v>45929</v>
      </c>
      <c r="N1031" t="s">
        <v>1641</v>
      </c>
      <c r="O1031">
        <v>0</v>
      </c>
    </row>
    <row r="1032" spans="1:15">
      <c r="A1032" s="6" t="s">
        <v>14</v>
      </c>
      <c r="B1032" t="s">
        <v>15</v>
      </c>
      <c r="C1032" t="s">
        <v>646</v>
      </c>
      <c r="D1032" t="s">
        <v>1652</v>
      </c>
      <c r="E1032" s="1">
        <v>45929</v>
      </c>
      <c r="F1032">
        <v>3</v>
      </c>
      <c r="G1032">
        <v>2870</v>
      </c>
      <c r="H1032">
        <v>83705</v>
      </c>
      <c r="I1032">
        <v>0</v>
      </c>
      <c r="J1032">
        <f t="shared" si="32"/>
        <v>83705</v>
      </c>
      <c r="K1032" t="s">
        <v>1640</v>
      </c>
      <c r="L1032">
        <v>2870</v>
      </c>
      <c r="M1032" s="1">
        <f t="shared" si="33"/>
        <v>45929</v>
      </c>
      <c r="N1032" t="s">
        <v>1641</v>
      </c>
      <c r="O1032">
        <v>0</v>
      </c>
    </row>
    <row r="1033" spans="1:15">
      <c r="A1033" s="6" t="s">
        <v>14</v>
      </c>
      <c r="B1033" t="s">
        <v>15</v>
      </c>
      <c r="C1033" t="s">
        <v>647</v>
      </c>
      <c r="D1033" t="s">
        <v>648</v>
      </c>
      <c r="E1033" s="1">
        <v>45929</v>
      </c>
      <c r="F1033">
        <v>3</v>
      </c>
      <c r="G1033">
        <v>966</v>
      </c>
      <c r="H1033">
        <v>17689</v>
      </c>
      <c r="I1033">
        <v>0</v>
      </c>
      <c r="J1033">
        <f t="shared" si="32"/>
        <v>17689</v>
      </c>
      <c r="K1033" t="s">
        <v>1640</v>
      </c>
      <c r="L1033">
        <v>966</v>
      </c>
      <c r="M1033" s="1">
        <f t="shared" si="33"/>
        <v>45929</v>
      </c>
      <c r="N1033" t="s">
        <v>1641</v>
      </c>
      <c r="O1033">
        <v>0</v>
      </c>
    </row>
    <row r="1034" spans="1:15">
      <c r="A1034" s="6" t="s">
        <v>14</v>
      </c>
      <c r="B1034" t="s">
        <v>15</v>
      </c>
      <c r="C1034" t="s">
        <v>651</v>
      </c>
      <c r="D1034" t="s">
        <v>652</v>
      </c>
      <c r="E1034" s="1">
        <v>45929</v>
      </c>
      <c r="F1034">
        <v>3</v>
      </c>
      <c r="G1034">
        <v>4875</v>
      </c>
      <c r="H1034">
        <v>148000</v>
      </c>
      <c r="I1034">
        <v>0</v>
      </c>
      <c r="J1034">
        <f t="shared" si="32"/>
        <v>148000</v>
      </c>
      <c r="K1034" t="s">
        <v>1640</v>
      </c>
      <c r="L1034">
        <v>4875</v>
      </c>
      <c r="M1034" s="1">
        <f t="shared" si="33"/>
        <v>45929</v>
      </c>
      <c r="N1034" t="s">
        <v>1641</v>
      </c>
      <c r="O1034">
        <v>0</v>
      </c>
    </row>
    <row r="1035" spans="1:15">
      <c r="A1035" s="6" t="s">
        <v>14</v>
      </c>
      <c r="B1035" t="s">
        <v>15</v>
      </c>
      <c r="C1035" t="s">
        <v>659</v>
      </c>
      <c r="D1035" t="s">
        <v>660</v>
      </c>
      <c r="E1035" s="1">
        <v>45929</v>
      </c>
      <c r="F1035">
        <v>3</v>
      </c>
      <c r="G1035">
        <v>1360</v>
      </c>
      <c r="H1035">
        <v>24696</v>
      </c>
      <c r="I1035">
        <v>0</v>
      </c>
      <c r="J1035">
        <f t="shared" si="32"/>
        <v>24696</v>
      </c>
      <c r="K1035" t="s">
        <v>1640</v>
      </c>
      <c r="L1035">
        <v>1360</v>
      </c>
      <c r="M1035" s="1">
        <f t="shared" si="33"/>
        <v>45929</v>
      </c>
      <c r="N1035" t="s">
        <v>1641</v>
      </c>
      <c r="O1035">
        <v>0</v>
      </c>
    </row>
    <row r="1036" spans="1:15">
      <c r="A1036" s="6" t="s">
        <v>14</v>
      </c>
      <c r="B1036" t="s">
        <v>15</v>
      </c>
      <c r="C1036" t="s">
        <v>661</v>
      </c>
      <c r="D1036" t="s">
        <v>662</v>
      </c>
      <c r="E1036" s="1">
        <v>45929</v>
      </c>
      <c r="F1036">
        <v>3</v>
      </c>
      <c r="G1036">
        <v>4005</v>
      </c>
      <c r="H1036">
        <v>121500</v>
      </c>
      <c r="I1036">
        <v>0</v>
      </c>
      <c r="J1036">
        <f t="shared" si="32"/>
        <v>121500</v>
      </c>
      <c r="K1036" t="s">
        <v>1640</v>
      </c>
      <c r="L1036">
        <v>4005</v>
      </c>
      <c r="M1036" s="1">
        <f t="shared" si="33"/>
        <v>45929</v>
      </c>
      <c r="N1036" t="s">
        <v>1641</v>
      </c>
      <c r="O1036">
        <v>0</v>
      </c>
    </row>
    <row r="1037" spans="1:15">
      <c r="A1037" s="6" t="s">
        <v>14</v>
      </c>
      <c r="B1037" t="s">
        <v>15</v>
      </c>
      <c r="C1037" t="s">
        <v>663</v>
      </c>
      <c r="D1037" t="s">
        <v>664</v>
      </c>
      <c r="E1037" s="1">
        <v>45929</v>
      </c>
      <c r="F1037">
        <v>3</v>
      </c>
      <c r="G1037">
        <v>1260</v>
      </c>
      <c r="H1037">
        <v>23283</v>
      </c>
      <c r="I1037">
        <v>0</v>
      </c>
      <c r="J1037">
        <f t="shared" si="32"/>
        <v>23283</v>
      </c>
      <c r="K1037" t="s">
        <v>1640</v>
      </c>
      <c r="L1037">
        <v>1260</v>
      </c>
      <c r="M1037" s="1">
        <f t="shared" si="33"/>
        <v>45929</v>
      </c>
      <c r="N1037" t="s">
        <v>1641</v>
      </c>
      <c r="O1037">
        <v>0</v>
      </c>
    </row>
    <row r="1038" spans="1:15">
      <c r="A1038" s="6" t="s">
        <v>14</v>
      </c>
      <c r="B1038" t="s">
        <v>15</v>
      </c>
      <c r="C1038" t="s">
        <v>665</v>
      </c>
      <c r="D1038" t="s">
        <v>666</v>
      </c>
      <c r="E1038" s="1">
        <v>45929</v>
      </c>
      <c r="F1038">
        <v>3</v>
      </c>
      <c r="G1038">
        <v>1815</v>
      </c>
      <c r="H1038">
        <v>30538</v>
      </c>
      <c r="I1038">
        <v>0</v>
      </c>
      <c r="J1038">
        <f t="shared" si="32"/>
        <v>30538</v>
      </c>
      <c r="K1038" t="s">
        <v>1640</v>
      </c>
      <c r="L1038">
        <v>1815</v>
      </c>
      <c r="M1038" s="1">
        <f t="shared" si="33"/>
        <v>45929</v>
      </c>
      <c r="N1038" t="s">
        <v>1641</v>
      </c>
      <c r="O1038">
        <v>0</v>
      </c>
    </row>
    <row r="1039" spans="1:15">
      <c r="A1039" s="6" t="s">
        <v>14</v>
      </c>
      <c r="B1039" t="s">
        <v>15</v>
      </c>
      <c r="C1039" t="s">
        <v>669</v>
      </c>
      <c r="D1039" t="s">
        <v>670</v>
      </c>
      <c r="E1039" s="1">
        <v>45929</v>
      </c>
      <c r="F1039">
        <v>3</v>
      </c>
      <c r="G1039">
        <v>3834</v>
      </c>
      <c r="H1039">
        <v>111671</v>
      </c>
      <c r="I1039">
        <v>0</v>
      </c>
      <c r="J1039">
        <f t="shared" si="32"/>
        <v>111671</v>
      </c>
      <c r="K1039" t="s">
        <v>1640</v>
      </c>
      <c r="L1039">
        <v>3834</v>
      </c>
      <c r="M1039" s="1">
        <f t="shared" si="33"/>
        <v>45929</v>
      </c>
      <c r="N1039" t="s">
        <v>1641</v>
      </c>
      <c r="O1039">
        <v>0</v>
      </c>
    </row>
    <row r="1040" spans="1:15">
      <c r="A1040" s="6" t="s">
        <v>14</v>
      </c>
      <c r="B1040" t="s">
        <v>15</v>
      </c>
      <c r="C1040" t="s">
        <v>671</v>
      </c>
      <c r="D1040" t="s">
        <v>672</v>
      </c>
      <c r="E1040" s="1">
        <v>45929</v>
      </c>
      <c r="F1040">
        <v>3</v>
      </c>
      <c r="G1040">
        <v>3360</v>
      </c>
      <c r="H1040">
        <v>100000</v>
      </c>
      <c r="I1040">
        <v>0</v>
      </c>
      <c r="J1040">
        <f t="shared" si="32"/>
        <v>100000</v>
      </c>
      <c r="K1040" t="s">
        <v>1640</v>
      </c>
      <c r="L1040">
        <v>3360</v>
      </c>
      <c r="M1040" s="1">
        <f t="shared" si="33"/>
        <v>45929</v>
      </c>
      <c r="N1040" t="s">
        <v>1641</v>
      </c>
      <c r="O1040">
        <v>0</v>
      </c>
    </row>
    <row r="1041" spans="1:15">
      <c r="A1041" s="6" t="s">
        <v>14</v>
      </c>
      <c r="B1041" t="s">
        <v>15</v>
      </c>
      <c r="C1041" t="s">
        <v>675</v>
      </c>
      <c r="D1041" t="s">
        <v>676</v>
      </c>
      <c r="E1041" s="1">
        <v>45929</v>
      </c>
      <c r="F1041">
        <v>3</v>
      </c>
      <c r="G1041">
        <v>2041.2</v>
      </c>
      <c r="H1041">
        <v>36749</v>
      </c>
      <c r="I1041">
        <v>0</v>
      </c>
      <c r="J1041">
        <f t="shared" si="32"/>
        <v>36749</v>
      </c>
      <c r="K1041" t="s">
        <v>1640</v>
      </c>
      <c r="L1041">
        <v>2041.2</v>
      </c>
      <c r="M1041" s="1">
        <f t="shared" si="33"/>
        <v>45929</v>
      </c>
      <c r="N1041" t="s">
        <v>1641</v>
      </c>
      <c r="O1041">
        <v>0</v>
      </c>
    </row>
    <row r="1042" spans="1:15">
      <c r="A1042" s="6" t="s">
        <v>14</v>
      </c>
      <c r="B1042" t="s">
        <v>15</v>
      </c>
      <c r="C1042" t="s">
        <v>677</v>
      </c>
      <c r="D1042" t="s">
        <v>678</v>
      </c>
      <c r="E1042" s="1">
        <v>45929</v>
      </c>
      <c r="F1042">
        <v>3</v>
      </c>
      <c r="G1042">
        <v>2576</v>
      </c>
      <c r="H1042">
        <v>75768</v>
      </c>
      <c r="I1042">
        <v>0</v>
      </c>
      <c r="J1042">
        <f t="shared" si="32"/>
        <v>75768</v>
      </c>
      <c r="K1042" t="s">
        <v>1640</v>
      </c>
      <c r="L1042">
        <v>2576</v>
      </c>
      <c r="M1042" s="1">
        <f t="shared" si="33"/>
        <v>45929</v>
      </c>
      <c r="N1042" t="s">
        <v>1641</v>
      </c>
      <c r="O1042">
        <v>0</v>
      </c>
    </row>
    <row r="1043" spans="1:15">
      <c r="A1043" s="6" t="s">
        <v>14</v>
      </c>
      <c r="B1043" t="s">
        <v>15</v>
      </c>
      <c r="C1043" t="s">
        <v>679</v>
      </c>
      <c r="D1043" t="s">
        <v>680</v>
      </c>
      <c r="E1043" s="1">
        <v>45929</v>
      </c>
      <c r="F1043">
        <v>3</v>
      </c>
      <c r="G1043">
        <v>2670</v>
      </c>
      <c r="H1043">
        <v>80999</v>
      </c>
      <c r="I1043">
        <v>0</v>
      </c>
      <c r="J1043">
        <f t="shared" si="32"/>
        <v>80999</v>
      </c>
      <c r="K1043" t="s">
        <v>1640</v>
      </c>
      <c r="L1043">
        <v>2670</v>
      </c>
      <c r="M1043" s="1">
        <f t="shared" si="33"/>
        <v>45929</v>
      </c>
      <c r="N1043" t="s">
        <v>1641</v>
      </c>
      <c r="O1043">
        <v>0</v>
      </c>
    </row>
    <row r="1044" spans="1:15">
      <c r="A1044" s="6" t="s">
        <v>14</v>
      </c>
      <c r="B1044" t="s">
        <v>15</v>
      </c>
      <c r="C1044" t="s">
        <v>681</v>
      </c>
      <c r="D1044" t="s">
        <v>1653</v>
      </c>
      <c r="E1044" s="1">
        <v>45929</v>
      </c>
      <c r="F1044">
        <v>3</v>
      </c>
      <c r="G1044">
        <v>2496</v>
      </c>
      <c r="H1044">
        <v>75452</v>
      </c>
      <c r="I1044">
        <v>0</v>
      </c>
      <c r="J1044">
        <f t="shared" si="32"/>
        <v>75452</v>
      </c>
      <c r="K1044" t="s">
        <v>1640</v>
      </c>
      <c r="L1044">
        <v>2496</v>
      </c>
      <c r="M1044" s="1">
        <f t="shared" si="33"/>
        <v>45929</v>
      </c>
      <c r="N1044" t="s">
        <v>1641</v>
      </c>
      <c r="O1044">
        <v>0</v>
      </c>
    </row>
    <row r="1045" spans="1:15">
      <c r="A1045" s="6" t="s">
        <v>14</v>
      </c>
      <c r="B1045" t="s">
        <v>15</v>
      </c>
      <c r="C1045" t="s">
        <v>682</v>
      </c>
      <c r="D1045" t="s">
        <v>683</v>
      </c>
      <c r="E1045" s="1">
        <v>45929</v>
      </c>
      <c r="F1045">
        <v>3</v>
      </c>
      <c r="G1045">
        <v>1339</v>
      </c>
      <c r="H1045">
        <v>22342</v>
      </c>
      <c r="I1045">
        <v>0</v>
      </c>
      <c r="J1045">
        <f t="shared" si="32"/>
        <v>22342</v>
      </c>
      <c r="K1045" t="s">
        <v>1640</v>
      </c>
      <c r="L1045">
        <v>1339</v>
      </c>
      <c r="M1045" s="1">
        <f t="shared" si="33"/>
        <v>45929</v>
      </c>
      <c r="N1045" t="s">
        <v>1641</v>
      </c>
      <c r="O1045">
        <v>0</v>
      </c>
    </row>
    <row r="1046" spans="1:15">
      <c r="A1046" s="6" t="s">
        <v>14</v>
      </c>
      <c r="B1046" t="s">
        <v>15</v>
      </c>
      <c r="C1046" t="s">
        <v>694</v>
      </c>
      <c r="D1046" t="s">
        <v>695</v>
      </c>
      <c r="E1046" s="1">
        <v>45929</v>
      </c>
      <c r="F1046">
        <v>3</v>
      </c>
      <c r="G1046">
        <v>1320</v>
      </c>
      <c r="H1046">
        <v>26600</v>
      </c>
      <c r="I1046">
        <v>0</v>
      </c>
      <c r="J1046">
        <f t="shared" si="32"/>
        <v>26600</v>
      </c>
      <c r="K1046" t="s">
        <v>1640</v>
      </c>
      <c r="L1046">
        <v>1320</v>
      </c>
      <c r="M1046" s="1">
        <f t="shared" si="33"/>
        <v>45929</v>
      </c>
      <c r="N1046" t="s">
        <v>1641</v>
      </c>
      <c r="O1046">
        <v>0</v>
      </c>
    </row>
    <row r="1047" spans="1:15">
      <c r="A1047" s="6" t="s">
        <v>14</v>
      </c>
      <c r="B1047" t="s">
        <v>15</v>
      </c>
      <c r="C1047" t="s">
        <v>707</v>
      </c>
      <c r="D1047" t="s">
        <v>708</v>
      </c>
      <c r="E1047" s="1">
        <v>45929</v>
      </c>
      <c r="F1047">
        <v>3</v>
      </c>
      <c r="G1047">
        <v>3354</v>
      </c>
      <c r="H1047">
        <v>103822</v>
      </c>
      <c r="I1047">
        <v>0</v>
      </c>
      <c r="J1047">
        <f t="shared" si="32"/>
        <v>103822</v>
      </c>
      <c r="K1047" t="s">
        <v>1640</v>
      </c>
      <c r="L1047">
        <v>3354</v>
      </c>
      <c r="M1047" s="1">
        <f t="shared" si="33"/>
        <v>45929</v>
      </c>
      <c r="N1047" t="s">
        <v>1641</v>
      </c>
      <c r="O1047">
        <v>0</v>
      </c>
    </row>
    <row r="1048" spans="1:15">
      <c r="A1048" s="6" t="s">
        <v>14</v>
      </c>
      <c r="B1048" t="s">
        <v>15</v>
      </c>
      <c r="C1048" t="s">
        <v>773</v>
      </c>
      <c r="D1048" t="s">
        <v>1655</v>
      </c>
      <c r="E1048" s="1">
        <v>45929</v>
      </c>
      <c r="F1048">
        <v>3</v>
      </c>
      <c r="G1048">
        <v>1290</v>
      </c>
      <c r="H1048">
        <v>22711</v>
      </c>
      <c r="I1048">
        <v>0</v>
      </c>
      <c r="J1048">
        <f t="shared" si="32"/>
        <v>22711</v>
      </c>
      <c r="K1048" t="s">
        <v>1640</v>
      </c>
      <c r="L1048">
        <v>1290</v>
      </c>
      <c r="M1048" s="1">
        <f t="shared" si="33"/>
        <v>45929</v>
      </c>
      <c r="N1048" t="s">
        <v>1641</v>
      </c>
      <c r="O1048">
        <v>0</v>
      </c>
    </row>
    <row r="1049" spans="1:15">
      <c r="A1049" s="6" t="s">
        <v>14</v>
      </c>
      <c r="B1049" t="s">
        <v>15</v>
      </c>
      <c r="C1049" t="s">
        <v>778</v>
      </c>
      <c r="D1049" t="s">
        <v>779</v>
      </c>
      <c r="E1049" s="1">
        <v>45929</v>
      </c>
      <c r="F1049">
        <v>3</v>
      </c>
      <c r="G1049">
        <v>1014</v>
      </c>
      <c r="H1049">
        <v>17949</v>
      </c>
      <c r="I1049">
        <v>0</v>
      </c>
      <c r="J1049">
        <f t="shared" si="32"/>
        <v>17949</v>
      </c>
      <c r="K1049" t="s">
        <v>1640</v>
      </c>
      <c r="L1049">
        <v>1014</v>
      </c>
      <c r="M1049" s="1">
        <f t="shared" si="33"/>
        <v>45929</v>
      </c>
      <c r="N1049" t="s">
        <v>1641</v>
      </c>
      <c r="O1049">
        <v>0</v>
      </c>
    </row>
    <row r="1050" spans="1:15">
      <c r="A1050" s="6" t="s">
        <v>14</v>
      </c>
      <c r="B1050" t="s">
        <v>15</v>
      </c>
      <c r="C1050" t="s">
        <v>790</v>
      </c>
      <c r="D1050" t="s">
        <v>791</v>
      </c>
      <c r="E1050" s="1">
        <v>45929</v>
      </c>
      <c r="F1050">
        <v>3</v>
      </c>
      <c r="G1050">
        <v>3780</v>
      </c>
      <c r="H1050">
        <v>115818</v>
      </c>
      <c r="I1050">
        <v>0</v>
      </c>
      <c r="J1050">
        <f t="shared" si="32"/>
        <v>115818</v>
      </c>
      <c r="K1050" t="s">
        <v>1640</v>
      </c>
      <c r="L1050">
        <v>3780</v>
      </c>
      <c r="M1050" s="1">
        <f t="shared" si="33"/>
        <v>45929</v>
      </c>
      <c r="N1050" t="s">
        <v>1641</v>
      </c>
      <c r="O1050">
        <v>0</v>
      </c>
    </row>
    <row r="1051" spans="1:15">
      <c r="A1051" s="6" t="s">
        <v>14</v>
      </c>
      <c r="B1051" t="s">
        <v>15</v>
      </c>
      <c r="C1051" t="s">
        <v>818</v>
      </c>
      <c r="D1051" t="s">
        <v>819</v>
      </c>
      <c r="E1051" s="1">
        <v>45929</v>
      </c>
      <c r="F1051">
        <v>3</v>
      </c>
      <c r="G1051">
        <v>435</v>
      </c>
      <c r="H1051">
        <v>21735</v>
      </c>
      <c r="I1051">
        <v>0</v>
      </c>
      <c r="J1051">
        <f t="shared" si="32"/>
        <v>21735</v>
      </c>
      <c r="K1051" t="s">
        <v>1640</v>
      </c>
      <c r="L1051">
        <v>435</v>
      </c>
      <c r="M1051" s="1">
        <f t="shared" si="33"/>
        <v>45929</v>
      </c>
      <c r="N1051" t="s">
        <v>1641</v>
      </c>
      <c r="O1051">
        <v>0</v>
      </c>
    </row>
    <row r="1052" spans="1:15">
      <c r="A1052" s="6" t="s">
        <v>14</v>
      </c>
      <c r="B1052" t="s">
        <v>15</v>
      </c>
      <c r="C1052" t="s">
        <v>16</v>
      </c>
      <c r="D1052" t="s">
        <v>17</v>
      </c>
      <c r="E1052" s="1">
        <v>45929</v>
      </c>
      <c r="F1052">
        <v>4</v>
      </c>
      <c r="G1052">
        <v>5830</v>
      </c>
      <c r="H1052">
        <v>97419</v>
      </c>
      <c r="I1052">
        <v>0</v>
      </c>
      <c r="J1052">
        <f t="shared" si="32"/>
        <v>97419</v>
      </c>
      <c r="K1052" t="s">
        <v>1640</v>
      </c>
      <c r="L1052">
        <v>5830</v>
      </c>
      <c r="M1052" s="1">
        <f t="shared" si="33"/>
        <v>45929</v>
      </c>
      <c r="N1052" t="s">
        <v>1641</v>
      </c>
      <c r="O1052">
        <v>0</v>
      </c>
    </row>
    <row r="1053" spans="1:15">
      <c r="A1053" s="6" t="s">
        <v>14</v>
      </c>
      <c r="B1053" t="s">
        <v>15</v>
      </c>
      <c r="C1053" t="s">
        <v>20</v>
      </c>
      <c r="D1053" t="s">
        <v>21</v>
      </c>
      <c r="E1053" s="1">
        <v>45929</v>
      </c>
      <c r="F1053">
        <v>4</v>
      </c>
      <c r="G1053">
        <v>0</v>
      </c>
      <c r="H1053">
        <v>94060</v>
      </c>
      <c r="I1053">
        <v>0</v>
      </c>
      <c r="J1053">
        <f t="shared" si="32"/>
        <v>94060</v>
      </c>
      <c r="K1053" t="s">
        <v>1640</v>
      </c>
      <c r="L1053">
        <v>0</v>
      </c>
      <c r="M1053" s="1">
        <f t="shared" si="33"/>
        <v>45929</v>
      </c>
      <c r="N1053" t="s">
        <v>1641</v>
      </c>
      <c r="O1053">
        <v>0</v>
      </c>
    </row>
    <row r="1054" spans="1:15">
      <c r="A1054" s="6" t="s">
        <v>14</v>
      </c>
      <c r="B1054" t="s">
        <v>15</v>
      </c>
      <c r="C1054" t="s">
        <v>24</v>
      </c>
      <c r="D1054" t="s">
        <v>25</v>
      </c>
      <c r="E1054" s="1">
        <v>45929</v>
      </c>
      <c r="F1054">
        <v>4</v>
      </c>
      <c r="G1054">
        <v>3465</v>
      </c>
      <c r="H1054">
        <v>92990</v>
      </c>
      <c r="I1054">
        <v>0</v>
      </c>
      <c r="J1054">
        <f t="shared" si="32"/>
        <v>92990</v>
      </c>
      <c r="K1054" t="s">
        <v>1640</v>
      </c>
      <c r="L1054">
        <v>3465</v>
      </c>
      <c r="M1054" s="1">
        <f t="shared" si="33"/>
        <v>45929</v>
      </c>
      <c r="N1054" t="s">
        <v>1641</v>
      </c>
      <c r="O1054">
        <v>0</v>
      </c>
    </row>
    <row r="1055" spans="1:15">
      <c r="A1055" s="6" t="s">
        <v>14</v>
      </c>
      <c r="B1055" t="s">
        <v>15</v>
      </c>
      <c r="C1055" t="s">
        <v>26</v>
      </c>
      <c r="D1055" t="s">
        <v>27</v>
      </c>
      <c r="E1055" s="1">
        <v>45929</v>
      </c>
      <c r="F1055">
        <v>4</v>
      </c>
      <c r="G1055">
        <v>2314</v>
      </c>
      <c r="H1055">
        <v>61372</v>
      </c>
      <c r="I1055">
        <v>0</v>
      </c>
      <c r="J1055">
        <f t="shared" si="32"/>
        <v>61372</v>
      </c>
      <c r="K1055" t="s">
        <v>1640</v>
      </c>
      <c r="L1055">
        <v>2314</v>
      </c>
      <c r="M1055" s="1">
        <f t="shared" si="33"/>
        <v>45929</v>
      </c>
      <c r="N1055" t="s">
        <v>1641</v>
      </c>
      <c r="O1055">
        <v>0</v>
      </c>
    </row>
    <row r="1056" spans="1:15">
      <c r="A1056" s="6" t="s">
        <v>14</v>
      </c>
      <c r="B1056" t="s">
        <v>15</v>
      </c>
      <c r="C1056" t="s">
        <v>34</v>
      </c>
      <c r="D1056" t="s">
        <v>35</v>
      </c>
      <c r="E1056" s="1">
        <v>45929</v>
      </c>
      <c r="F1056">
        <v>4</v>
      </c>
      <c r="G1056">
        <v>3709.8</v>
      </c>
      <c r="H1056">
        <v>109806</v>
      </c>
      <c r="I1056">
        <v>0</v>
      </c>
      <c r="J1056">
        <f t="shared" si="32"/>
        <v>109806</v>
      </c>
      <c r="K1056" t="s">
        <v>1640</v>
      </c>
      <c r="L1056">
        <v>3709.8</v>
      </c>
      <c r="M1056" s="1">
        <f t="shared" si="33"/>
        <v>45929</v>
      </c>
      <c r="N1056" t="s">
        <v>1641</v>
      </c>
      <c r="O1056">
        <v>0</v>
      </c>
    </row>
    <row r="1057" spans="1:15">
      <c r="A1057" s="6" t="s">
        <v>14</v>
      </c>
      <c r="B1057" t="s">
        <v>15</v>
      </c>
      <c r="C1057" t="s">
        <v>38</v>
      </c>
      <c r="D1057" t="s">
        <v>39</v>
      </c>
      <c r="E1057" s="1">
        <v>45929</v>
      </c>
      <c r="F1057">
        <v>4</v>
      </c>
      <c r="G1057">
        <v>1840</v>
      </c>
      <c r="H1057">
        <v>55000</v>
      </c>
      <c r="I1057">
        <v>0</v>
      </c>
      <c r="J1057">
        <f t="shared" si="32"/>
        <v>55000</v>
      </c>
      <c r="K1057" t="s">
        <v>1640</v>
      </c>
      <c r="L1057">
        <v>1840</v>
      </c>
      <c r="M1057" s="1">
        <f t="shared" si="33"/>
        <v>45929</v>
      </c>
      <c r="N1057" t="s">
        <v>1641</v>
      </c>
      <c r="O1057">
        <v>0</v>
      </c>
    </row>
    <row r="1058" spans="1:15">
      <c r="A1058" s="6" t="s">
        <v>14</v>
      </c>
      <c r="B1058" t="s">
        <v>15</v>
      </c>
      <c r="C1058" t="s">
        <v>40</v>
      </c>
      <c r="D1058" t="s">
        <v>41</v>
      </c>
      <c r="E1058" s="1">
        <v>45929</v>
      </c>
      <c r="F1058">
        <v>4</v>
      </c>
      <c r="G1058">
        <v>1840</v>
      </c>
      <c r="H1058">
        <v>55000</v>
      </c>
      <c r="I1058">
        <v>0</v>
      </c>
      <c r="J1058">
        <f t="shared" si="32"/>
        <v>55000</v>
      </c>
      <c r="K1058" t="s">
        <v>1640</v>
      </c>
      <c r="L1058">
        <v>1840</v>
      </c>
      <c r="M1058" s="1">
        <f t="shared" si="33"/>
        <v>45929</v>
      </c>
      <c r="N1058" t="s">
        <v>1641</v>
      </c>
      <c r="O1058">
        <v>0</v>
      </c>
    </row>
    <row r="1059" spans="1:15">
      <c r="A1059" s="6" t="s">
        <v>14</v>
      </c>
      <c r="B1059" t="s">
        <v>15</v>
      </c>
      <c r="C1059" t="s">
        <v>53</v>
      </c>
      <c r="D1059" t="s">
        <v>54</v>
      </c>
      <c r="E1059" s="1">
        <v>45929</v>
      </c>
      <c r="F1059">
        <v>4</v>
      </c>
      <c r="G1059">
        <v>3471</v>
      </c>
      <c r="H1059">
        <v>103759</v>
      </c>
      <c r="I1059">
        <v>0</v>
      </c>
      <c r="J1059">
        <f t="shared" si="32"/>
        <v>103759</v>
      </c>
      <c r="K1059" t="s">
        <v>1640</v>
      </c>
      <c r="L1059">
        <v>3471</v>
      </c>
      <c r="M1059" s="1">
        <f t="shared" si="33"/>
        <v>45929</v>
      </c>
      <c r="N1059" t="s">
        <v>1641</v>
      </c>
      <c r="O1059">
        <v>0</v>
      </c>
    </row>
    <row r="1060" spans="1:15">
      <c r="A1060" s="6" t="s">
        <v>14</v>
      </c>
      <c r="B1060" t="s">
        <v>15</v>
      </c>
      <c r="C1060" t="s">
        <v>55</v>
      </c>
      <c r="D1060" t="s">
        <v>56</v>
      </c>
      <c r="E1060" s="1">
        <v>45929</v>
      </c>
      <c r="F1060">
        <v>4</v>
      </c>
      <c r="G1060">
        <v>3045</v>
      </c>
      <c r="H1060">
        <v>90955</v>
      </c>
      <c r="I1060">
        <v>0</v>
      </c>
      <c r="J1060">
        <f t="shared" si="32"/>
        <v>90955</v>
      </c>
      <c r="K1060" t="s">
        <v>1640</v>
      </c>
      <c r="L1060">
        <v>3045</v>
      </c>
      <c r="M1060" s="1">
        <f t="shared" si="33"/>
        <v>45929</v>
      </c>
      <c r="N1060" t="s">
        <v>1641</v>
      </c>
      <c r="O1060">
        <v>0</v>
      </c>
    </row>
    <row r="1061" spans="1:15">
      <c r="A1061" s="6" t="s">
        <v>14</v>
      </c>
      <c r="B1061" t="s">
        <v>15</v>
      </c>
      <c r="C1061" t="s">
        <v>57</v>
      </c>
      <c r="D1061" t="s">
        <v>58</v>
      </c>
      <c r="E1061" s="1">
        <v>45929</v>
      </c>
      <c r="F1061">
        <v>4</v>
      </c>
      <c r="G1061">
        <v>5400</v>
      </c>
      <c r="H1061">
        <v>160000</v>
      </c>
      <c r="I1061">
        <v>0</v>
      </c>
      <c r="J1061">
        <f t="shared" si="32"/>
        <v>160000</v>
      </c>
      <c r="K1061" t="s">
        <v>1640</v>
      </c>
      <c r="L1061">
        <v>5400</v>
      </c>
      <c r="M1061" s="1">
        <f t="shared" si="33"/>
        <v>45929</v>
      </c>
      <c r="N1061" t="s">
        <v>1641</v>
      </c>
      <c r="O1061">
        <v>0</v>
      </c>
    </row>
    <row r="1062" spans="1:15">
      <c r="A1062" s="6" t="s">
        <v>14</v>
      </c>
      <c r="B1062" t="s">
        <v>15</v>
      </c>
      <c r="C1062" t="s">
        <v>61</v>
      </c>
      <c r="D1062" t="s">
        <v>62</v>
      </c>
      <c r="E1062" s="1">
        <v>45929</v>
      </c>
      <c r="F1062">
        <v>4</v>
      </c>
      <c r="G1062">
        <v>2992</v>
      </c>
      <c r="H1062">
        <v>93250</v>
      </c>
      <c r="I1062">
        <v>0</v>
      </c>
      <c r="J1062">
        <f t="shared" si="32"/>
        <v>93250</v>
      </c>
      <c r="K1062" t="s">
        <v>1640</v>
      </c>
      <c r="L1062">
        <v>2992</v>
      </c>
      <c r="M1062" s="1">
        <f t="shared" si="33"/>
        <v>45929</v>
      </c>
      <c r="N1062" t="s">
        <v>1641</v>
      </c>
      <c r="O1062">
        <v>0</v>
      </c>
    </row>
    <row r="1063" spans="1:15">
      <c r="A1063" s="6" t="s">
        <v>14</v>
      </c>
      <c r="B1063" t="s">
        <v>15</v>
      </c>
      <c r="C1063" t="s">
        <v>65</v>
      </c>
      <c r="D1063" t="s">
        <v>66</v>
      </c>
      <c r="E1063" s="1">
        <v>45929</v>
      </c>
      <c r="F1063">
        <v>4</v>
      </c>
      <c r="G1063">
        <v>3800</v>
      </c>
      <c r="H1063">
        <v>106200</v>
      </c>
      <c r="I1063">
        <v>0</v>
      </c>
      <c r="J1063">
        <f t="shared" si="32"/>
        <v>106200</v>
      </c>
      <c r="K1063" t="s">
        <v>1640</v>
      </c>
      <c r="L1063">
        <v>3800</v>
      </c>
      <c r="M1063" s="1">
        <f t="shared" si="33"/>
        <v>45929</v>
      </c>
      <c r="N1063" t="s">
        <v>1641</v>
      </c>
      <c r="O1063">
        <v>0</v>
      </c>
    </row>
    <row r="1064" spans="1:15">
      <c r="A1064" s="6" t="s">
        <v>14</v>
      </c>
      <c r="B1064" t="s">
        <v>15</v>
      </c>
      <c r="C1064" t="s">
        <v>71</v>
      </c>
      <c r="D1064" t="s">
        <v>72</v>
      </c>
      <c r="E1064" s="1">
        <v>45929</v>
      </c>
      <c r="F1064">
        <v>4</v>
      </c>
      <c r="G1064">
        <v>2415</v>
      </c>
      <c r="H1064">
        <v>74625</v>
      </c>
      <c r="I1064">
        <v>0</v>
      </c>
      <c r="J1064">
        <f t="shared" si="32"/>
        <v>74625</v>
      </c>
      <c r="K1064" t="s">
        <v>1640</v>
      </c>
      <c r="L1064">
        <v>2415</v>
      </c>
      <c r="M1064" s="1">
        <f t="shared" si="33"/>
        <v>45929</v>
      </c>
      <c r="N1064" t="s">
        <v>1641</v>
      </c>
      <c r="O1064">
        <v>0</v>
      </c>
    </row>
    <row r="1065" spans="1:15">
      <c r="A1065" s="6" t="s">
        <v>14</v>
      </c>
      <c r="B1065" t="s">
        <v>15</v>
      </c>
      <c r="C1065" t="s">
        <v>75</v>
      </c>
      <c r="D1065" t="s">
        <v>76</v>
      </c>
      <c r="E1065" s="1">
        <v>45929</v>
      </c>
      <c r="F1065">
        <v>4</v>
      </c>
      <c r="G1065">
        <v>4108</v>
      </c>
      <c r="H1065">
        <v>75868</v>
      </c>
      <c r="I1065">
        <v>0</v>
      </c>
      <c r="J1065">
        <f t="shared" si="32"/>
        <v>75868</v>
      </c>
      <c r="K1065" t="s">
        <v>1640</v>
      </c>
      <c r="L1065">
        <v>4108</v>
      </c>
      <c r="M1065" s="1">
        <f t="shared" si="33"/>
        <v>45929</v>
      </c>
      <c r="N1065" t="s">
        <v>1641</v>
      </c>
      <c r="O1065">
        <v>0</v>
      </c>
    </row>
    <row r="1066" spans="1:15">
      <c r="A1066" s="6" t="s">
        <v>14</v>
      </c>
      <c r="B1066" t="s">
        <v>15</v>
      </c>
      <c r="C1066" t="s">
        <v>77</v>
      </c>
      <c r="D1066" t="s">
        <v>78</v>
      </c>
      <c r="E1066" s="1">
        <v>45929</v>
      </c>
      <c r="F1066">
        <v>4</v>
      </c>
      <c r="G1066">
        <v>1323</v>
      </c>
      <c r="H1066">
        <v>78585</v>
      </c>
      <c r="I1066">
        <v>0</v>
      </c>
      <c r="J1066">
        <f t="shared" si="32"/>
        <v>78585</v>
      </c>
      <c r="K1066" t="s">
        <v>1640</v>
      </c>
      <c r="L1066">
        <v>1323</v>
      </c>
      <c r="M1066" s="1">
        <f t="shared" si="33"/>
        <v>45929</v>
      </c>
      <c r="N1066" t="s">
        <v>1641</v>
      </c>
      <c r="O1066">
        <v>0</v>
      </c>
    </row>
    <row r="1067" spans="1:15">
      <c r="A1067" s="6" t="s">
        <v>14</v>
      </c>
      <c r="B1067" t="s">
        <v>15</v>
      </c>
      <c r="C1067" t="s">
        <v>79</v>
      </c>
      <c r="D1067" t="s">
        <v>80</v>
      </c>
      <c r="E1067" s="1">
        <v>45929</v>
      </c>
      <c r="F1067">
        <v>4</v>
      </c>
      <c r="G1067">
        <v>4134</v>
      </c>
      <c r="H1067">
        <v>78000</v>
      </c>
      <c r="I1067">
        <v>0</v>
      </c>
      <c r="J1067">
        <f t="shared" si="32"/>
        <v>78000</v>
      </c>
      <c r="K1067" t="s">
        <v>1640</v>
      </c>
      <c r="L1067">
        <v>4134</v>
      </c>
      <c r="M1067" s="1">
        <f t="shared" si="33"/>
        <v>45929</v>
      </c>
      <c r="N1067" t="s">
        <v>1641</v>
      </c>
      <c r="O1067">
        <v>0</v>
      </c>
    </row>
    <row r="1068" spans="1:15">
      <c r="A1068" s="6" t="s">
        <v>14</v>
      </c>
      <c r="B1068" t="s">
        <v>15</v>
      </c>
      <c r="C1068" t="s">
        <v>85</v>
      </c>
      <c r="D1068" t="s">
        <v>86</v>
      </c>
      <c r="E1068" s="1">
        <v>45929</v>
      </c>
      <c r="F1068">
        <v>4</v>
      </c>
      <c r="G1068">
        <v>2970</v>
      </c>
      <c r="H1068">
        <v>88849</v>
      </c>
      <c r="I1068">
        <v>0</v>
      </c>
      <c r="J1068">
        <f t="shared" si="32"/>
        <v>88849</v>
      </c>
      <c r="K1068" t="s">
        <v>1640</v>
      </c>
      <c r="L1068">
        <v>2970</v>
      </c>
      <c r="M1068" s="1">
        <f t="shared" si="33"/>
        <v>45929</v>
      </c>
      <c r="N1068" t="s">
        <v>1641</v>
      </c>
      <c r="O1068">
        <v>0</v>
      </c>
    </row>
    <row r="1069" spans="1:15">
      <c r="A1069" s="6" t="s">
        <v>14</v>
      </c>
      <c r="B1069" t="s">
        <v>15</v>
      </c>
      <c r="C1069" t="s">
        <v>91</v>
      </c>
      <c r="D1069" t="s">
        <v>92</v>
      </c>
      <c r="E1069" s="1">
        <v>45929</v>
      </c>
      <c r="F1069">
        <v>4</v>
      </c>
      <c r="G1069">
        <v>2475</v>
      </c>
      <c r="H1069">
        <v>73000</v>
      </c>
      <c r="I1069">
        <v>0</v>
      </c>
      <c r="J1069">
        <f t="shared" si="32"/>
        <v>73000</v>
      </c>
      <c r="K1069" t="s">
        <v>1640</v>
      </c>
      <c r="L1069">
        <v>2475</v>
      </c>
      <c r="M1069" s="1">
        <f t="shared" si="33"/>
        <v>45929</v>
      </c>
      <c r="N1069" t="s">
        <v>1641</v>
      </c>
      <c r="O1069">
        <v>0</v>
      </c>
    </row>
    <row r="1070" spans="1:15">
      <c r="A1070" s="6" t="s">
        <v>14</v>
      </c>
      <c r="B1070" t="s">
        <v>15</v>
      </c>
      <c r="C1070" t="s">
        <v>93</v>
      </c>
      <c r="D1070" t="s">
        <v>94</v>
      </c>
      <c r="E1070" s="1">
        <v>45929</v>
      </c>
      <c r="F1070">
        <v>4</v>
      </c>
      <c r="G1070">
        <v>2700</v>
      </c>
      <c r="H1070">
        <v>80000</v>
      </c>
      <c r="I1070">
        <v>0</v>
      </c>
      <c r="J1070">
        <f t="shared" si="32"/>
        <v>80000</v>
      </c>
      <c r="K1070" t="s">
        <v>1640</v>
      </c>
      <c r="L1070">
        <v>2700</v>
      </c>
      <c r="M1070" s="1">
        <f t="shared" si="33"/>
        <v>45929</v>
      </c>
      <c r="N1070" t="s">
        <v>1641</v>
      </c>
      <c r="O1070">
        <v>0</v>
      </c>
    </row>
    <row r="1071" spans="1:15">
      <c r="A1071" s="6" t="s">
        <v>14</v>
      </c>
      <c r="B1071" t="s">
        <v>15</v>
      </c>
      <c r="C1071" t="s">
        <v>95</v>
      </c>
      <c r="D1071" t="s">
        <v>1643</v>
      </c>
      <c r="E1071" s="1">
        <v>45929</v>
      </c>
      <c r="F1071">
        <v>4</v>
      </c>
      <c r="G1071">
        <v>2700</v>
      </c>
      <c r="H1071">
        <v>80000</v>
      </c>
      <c r="I1071">
        <v>0</v>
      </c>
      <c r="J1071">
        <f t="shared" si="32"/>
        <v>80000</v>
      </c>
      <c r="K1071" t="s">
        <v>1640</v>
      </c>
      <c r="L1071">
        <v>2700</v>
      </c>
      <c r="M1071" s="1">
        <f t="shared" si="33"/>
        <v>45929</v>
      </c>
      <c r="N1071" t="s">
        <v>1641</v>
      </c>
      <c r="O1071">
        <v>0</v>
      </c>
    </row>
    <row r="1072" spans="1:15">
      <c r="A1072" s="6" t="s">
        <v>14</v>
      </c>
      <c r="B1072" t="s">
        <v>15</v>
      </c>
      <c r="C1072" t="s">
        <v>96</v>
      </c>
      <c r="D1072" t="s">
        <v>97</v>
      </c>
      <c r="E1072" s="1">
        <v>45929</v>
      </c>
      <c r="F1072">
        <v>4</v>
      </c>
      <c r="G1072">
        <v>5740</v>
      </c>
      <c r="H1072">
        <v>105000</v>
      </c>
      <c r="I1072">
        <v>0</v>
      </c>
      <c r="J1072">
        <f t="shared" si="32"/>
        <v>105000</v>
      </c>
      <c r="K1072" t="s">
        <v>1640</v>
      </c>
      <c r="L1072">
        <v>5740</v>
      </c>
      <c r="M1072" s="1">
        <f t="shared" si="33"/>
        <v>45929</v>
      </c>
      <c r="N1072" t="s">
        <v>1641</v>
      </c>
      <c r="O1072">
        <v>0</v>
      </c>
    </row>
    <row r="1073" spans="1:15">
      <c r="A1073" s="6" t="s">
        <v>14</v>
      </c>
      <c r="B1073" t="s">
        <v>15</v>
      </c>
      <c r="C1073" t="s">
        <v>98</v>
      </c>
      <c r="D1073" t="s">
        <v>99</v>
      </c>
      <c r="E1073" s="1">
        <v>45929</v>
      </c>
      <c r="F1073">
        <v>4</v>
      </c>
      <c r="G1073">
        <v>5214</v>
      </c>
      <c r="H1073">
        <v>95275</v>
      </c>
      <c r="I1073">
        <v>0</v>
      </c>
      <c r="J1073">
        <f t="shared" si="32"/>
        <v>95275</v>
      </c>
      <c r="K1073" t="s">
        <v>1640</v>
      </c>
      <c r="L1073">
        <v>5214</v>
      </c>
      <c r="M1073" s="1">
        <f t="shared" si="33"/>
        <v>45929</v>
      </c>
      <c r="N1073" t="s">
        <v>1641</v>
      </c>
      <c r="O1073">
        <v>0</v>
      </c>
    </row>
    <row r="1074" spans="1:15">
      <c r="A1074" s="6" t="s">
        <v>14</v>
      </c>
      <c r="B1074" t="s">
        <v>15</v>
      </c>
      <c r="C1074" t="s">
        <v>100</v>
      </c>
      <c r="D1074" t="s">
        <v>101</v>
      </c>
      <c r="E1074" s="1">
        <v>45929</v>
      </c>
      <c r="F1074">
        <v>4</v>
      </c>
      <c r="G1074">
        <v>3116</v>
      </c>
      <c r="H1074">
        <v>92555</v>
      </c>
      <c r="I1074">
        <v>0</v>
      </c>
      <c r="J1074">
        <f t="shared" si="32"/>
        <v>92555</v>
      </c>
      <c r="K1074" t="s">
        <v>1640</v>
      </c>
      <c r="L1074">
        <v>3116</v>
      </c>
      <c r="M1074" s="1">
        <f t="shared" si="33"/>
        <v>45929</v>
      </c>
      <c r="N1074" t="s">
        <v>1641</v>
      </c>
      <c r="O1074">
        <v>0</v>
      </c>
    </row>
    <row r="1075" spans="1:15">
      <c r="A1075" s="6" t="s">
        <v>14</v>
      </c>
      <c r="B1075" t="s">
        <v>15</v>
      </c>
      <c r="C1075" t="s">
        <v>102</v>
      </c>
      <c r="D1075" t="s">
        <v>103</v>
      </c>
      <c r="E1075" s="1">
        <v>45929</v>
      </c>
      <c r="F1075">
        <v>4</v>
      </c>
      <c r="G1075">
        <v>5460</v>
      </c>
      <c r="H1075">
        <v>100000</v>
      </c>
      <c r="I1075">
        <v>0</v>
      </c>
      <c r="J1075">
        <f t="shared" si="32"/>
        <v>100000</v>
      </c>
      <c r="K1075" t="s">
        <v>1640</v>
      </c>
      <c r="L1075">
        <v>5460</v>
      </c>
      <c r="M1075" s="1">
        <f t="shared" si="33"/>
        <v>45929</v>
      </c>
      <c r="N1075" t="s">
        <v>1641</v>
      </c>
      <c r="O1075">
        <v>0</v>
      </c>
    </row>
    <row r="1076" spans="1:15">
      <c r="A1076" s="6" t="s">
        <v>14</v>
      </c>
      <c r="B1076" t="s">
        <v>15</v>
      </c>
      <c r="C1076" t="s">
        <v>106</v>
      </c>
      <c r="D1076" t="s">
        <v>107</v>
      </c>
      <c r="E1076" s="1">
        <v>45929</v>
      </c>
      <c r="F1076">
        <v>4</v>
      </c>
      <c r="G1076">
        <v>2926</v>
      </c>
      <c r="H1076">
        <v>91996</v>
      </c>
      <c r="I1076">
        <v>0</v>
      </c>
      <c r="J1076">
        <f t="shared" si="32"/>
        <v>91996</v>
      </c>
      <c r="K1076" t="s">
        <v>1640</v>
      </c>
      <c r="L1076">
        <v>2926</v>
      </c>
      <c r="M1076" s="1">
        <f t="shared" si="33"/>
        <v>45929</v>
      </c>
      <c r="N1076" t="s">
        <v>1641</v>
      </c>
      <c r="O1076">
        <v>0</v>
      </c>
    </row>
    <row r="1077" spans="1:15">
      <c r="A1077" s="6" t="s">
        <v>14</v>
      </c>
      <c r="B1077" t="s">
        <v>15</v>
      </c>
      <c r="C1077" t="s">
        <v>108</v>
      </c>
      <c r="D1077" t="s">
        <v>109</v>
      </c>
      <c r="E1077" s="1">
        <v>45929</v>
      </c>
      <c r="F1077">
        <v>4</v>
      </c>
      <c r="G1077">
        <v>2709</v>
      </c>
      <c r="H1077">
        <v>85845</v>
      </c>
      <c r="I1077">
        <v>0</v>
      </c>
      <c r="J1077">
        <f t="shared" si="32"/>
        <v>85845</v>
      </c>
      <c r="K1077" t="s">
        <v>1640</v>
      </c>
      <c r="L1077">
        <v>2709</v>
      </c>
      <c r="M1077" s="1">
        <f t="shared" si="33"/>
        <v>45929</v>
      </c>
      <c r="N1077" t="s">
        <v>1641</v>
      </c>
      <c r="O1077">
        <v>0</v>
      </c>
    </row>
    <row r="1078" spans="1:15">
      <c r="A1078" s="6" t="s">
        <v>14</v>
      </c>
      <c r="B1078" t="s">
        <v>15</v>
      </c>
      <c r="C1078" t="s">
        <v>110</v>
      </c>
      <c r="D1078" t="s">
        <v>1644</v>
      </c>
      <c r="E1078" s="1">
        <v>45929</v>
      </c>
      <c r="F1078">
        <v>4</v>
      </c>
      <c r="G1078">
        <v>3901</v>
      </c>
      <c r="H1078">
        <v>73000</v>
      </c>
      <c r="I1078">
        <v>0</v>
      </c>
      <c r="J1078">
        <f t="shared" si="32"/>
        <v>73000</v>
      </c>
      <c r="K1078" t="s">
        <v>1640</v>
      </c>
      <c r="L1078">
        <v>3901</v>
      </c>
      <c r="M1078" s="1">
        <f t="shared" si="33"/>
        <v>45929</v>
      </c>
      <c r="N1078" t="s">
        <v>1641</v>
      </c>
      <c r="O1078">
        <v>0</v>
      </c>
    </row>
    <row r="1079" spans="1:15">
      <c r="A1079" s="6" t="s">
        <v>14</v>
      </c>
      <c r="B1079" t="s">
        <v>15</v>
      </c>
      <c r="C1079" t="s">
        <v>113</v>
      </c>
      <c r="D1079" t="s">
        <v>114</v>
      </c>
      <c r="E1079" s="1">
        <v>45929</v>
      </c>
      <c r="F1079">
        <v>4</v>
      </c>
      <c r="G1079">
        <v>5280</v>
      </c>
      <c r="H1079">
        <v>160091</v>
      </c>
      <c r="I1079">
        <v>0</v>
      </c>
      <c r="J1079">
        <f t="shared" si="32"/>
        <v>160091</v>
      </c>
      <c r="K1079" t="s">
        <v>1640</v>
      </c>
      <c r="L1079">
        <v>5280</v>
      </c>
      <c r="M1079" s="1">
        <f t="shared" si="33"/>
        <v>45929</v>
      </c>
      <c r="N1079" t="s">
        <v>1641</v>
      </c>
      <c r="O1079">
        <v>0</v>
      </c>
    </row>
    <row r="1080" spans="1:15">
      <c r="A1080" s="6" t="s">
        <v>14</v>
      </c>
      <c r="B1080" t="s">
        <v>15</v>
      </c>
      <c r="C1080" t="s">
        <v>119</v>
      </c>
      <c r="D1080" t="s">
        <v>120</v>
      </c>
      <c r="E1080" s="1">
        <v>45929</v>
      </c>
      <c r="F1080">
        <v>4</v>
      </c>
      <c r="G1080">
        <v>3280</v>
      </c>
      <c r="H1080">
        <v>95000</v>
      </c>
      <c r="I1080">
        <v>0</v>
      </c>
      <c r="J1080">
        <f t="shared" si="32"/>
        <v>95000</v>
      </c>
      <c r="K1080" t="s">
        <v>1640</v>
      </c>
      <c r="L1080">
        <v>3280</v>
      </c>
      <c r="M1080" s="1">
        <f t="shared" si="33"/>
        <v>45929</v>
      </c>
      <c r="N1080" t="s">
        <v>1641</v>
      </c>
      <c r="O1080">
        <v>0</v>
      </c>
    </row>
    <row r="1081" spans="1:15">
      <c r="A1081" s="6" t="s">
        <v>14</v>
      </c>
      <c r="B1081" t="s">
        <v>15</v>
      </c>
      <c r="C1081" t="s">
        <v>121</v>
      </c>
      <c r="D1081" t="s">
        <v>122</v>
      </c>
      <c r="E1081" s="1">
        <v>45929</v>
      </c>
      <c r="F1081">
        <v>4</v>
      </c>
      <c r="G1081">
        <v>3995</v>
      </c>
      <c r="H1081">
        <v>73818</v>
      </c>
      <c r="I1081">
        <v>0</v>
      </c>
      <c r="J1081">
        <f t="shared" si="32"/>
        <v>73818</v>
      </c>
      <c r="K1081" t="s">
        <v>1640</v>
      </c>
      <c r="L1081">
        <v>3995</v>
      </c>
      <c r="M1081" s="1">
        <f t="shared" si="33"/>
        <v>45929</v>
      </c>
      <c r="N1081" t="s">
        <v>1641</v>
      </c>
      <c r="O1081">
        <v>0</v>
      </c>
    </row>
    <row r="1082" spans="1:15">
      <c r="A1082" s="6" t="s">
        <v>14</v>
      </c>
      <c r="B1082" t="s">
        <v>15</v>
      </c>
      <c r="C1082" t="s">
        <v>123</v>
      </c>
      <c r="D1082" t="s">
        <v>124</v>
      </c>
      <c r="E1082" s="1">
        <v>45929</v>
      </c>
      <c r="F1082">
        <v>4</v>
      </c>
      <c r="G1082">
        <v>2700</v>
      </c>
      <c r="H1082">
        <v>78148</v>
      </c>
      <c r="I1082">
        <v>0</v>
      </c>
      <c r="J1082">
        <f t="shared" si="32"/>
        <v>78148</v>
      </c>
      <c r="K1082" t="s">
        <v>1640</v>
      </c>
      <c r="L1082">
        <v>2700</v>
      </c>
      <c r="M1082" s="1">
        <f t="shared" si="33"/>
        <v>45929</v>
      </c>
      <c r="N1082" t="s">
        <v>1641</v>
      </c>
      <c r="O1082">
        <v>0</v>
      </c>
    </row>
    <row r="1083" spans="1:15">
      <c r="A1083" s="6" t="s">
        <v>14</v>
      </c>
      <c r="B1083" t="s">
        <v>15</v>
      </c>
      <c r="C1083" t="s">
        <v>125</v>
      </c>
      <c r="D1083" t="s">
        <v>126</v>
      </c>
      <c r="E1083" s="1">
        <v>45929</v>
      </c>
      <c r="F1083">
        <v>4</v>
      </c>
      <c r="G1083">
        <v>2774</v>
      </c>
      <c r="H1083">
        <v>84023</v>
      </c>
      <c r="I1083">
        <v>0</v>
      </c>
      <c r="J1083">
        <f t="shared" si="32"/>
        <v>84023</v>
      </c>
      <c r="K1083" t="s">
        <v>1640</v>
      </c>
      <c r="L1083">
        <v>2774</v>
      </c>
      <c r="M1083" s="1">
        <f t="shared" si="33"/>
        <v>45929</v>
      </c>
      <c r="N1083" t="s">
        <v>1641</v>
      </c>
      <c r="O1083">
        <v>0</v>
      </c>
    </row>
    <row r="1084" spans="1:15">
      <c r="A1084" s="6" t="s">
        <v>14</v>
      </c>
      <c r="B1084" t="s">
        <v>15</v>
      </c>
      <c r="C1084" t="s">
        <v>129</v>
      </c>
      <c r="D1084" t="s">
        <v>130</v>
      </c>
      <c r="E1084" s="1">
        <v>45929</v>
      </c>
      <c r="F1084">
        <v>4</v>
      </c>
      <c r="G1084">
        <v>3080</v>
      </c>
      <c r="H1084">
        <v>94515</v>
      </c>
      <c r="I1084">
        <v>0</v>
      </c>
      <c r="J1084">
        <f t="shared" si="32"/>
        <v>94515</v>
      </c>
      <c r="K1084" t="s">
        <v>1640</v>
      </c>
      <c r="L1084">
        <v>3080</v>
      </c>
      <c r="M1084" s="1">
        <f t="shared" si="33"/>
        <v>45929</v>
      </c>
      <c r="N1084" t="s">
        <v>1641</v>
      </c>
      <c r="O1084">
        <v>0</v>
      </c>
    </row>
    <row r="1085" spans="1:15">
      <c r="A1085" s="6" t="s">
        <v>14</v>
      </c>
      <c r="B1085" t="s">
        <v>15</v>
      </c>
      <c r="C1085" t="s">
        <v>131</v>
      </c>
      <c r="D1085" t="s">
        <v>132</v>
      </c>
      <c r="E1085" s="1">
        <v>45929</v>
      </c>
      <c r="F1085">
        <v>4</v>
      </c>
      <c r="G1085">
        <v>3250</v>
      </c>
      <c r="H1085">
        <v>98883</v>
      </c>
      <c r="I1085">
        <v>0</v>
      </c>
      <c r="J1085">
        <f t="shared" si="32"/>
        <v>98883</v>
      </c>
      <c r="K1085" t="s">
        <v>1640</v>
      </c>
      <c r="L1085">
        <v>3250</v>
      </c>
      <c r="M1085" s="1">
        <f t="shared" si="33"/>
        <v>45929</v>
      </c>
      <c r="N1085" t="s">
        <v>1641</v>
      </c>
      <c r="O1085">
        <v>0</v>
      </c>
    </row>
    <row r="1086" spans="1:15">
      <c r="A1086" s="6" t="s">
        <v>14</v>
      </c>
      <c r="B1086" t="s">
        <v>15</v>
      </c>
      <c r="C1086" t="s">
        <v>133</v>
      </c>
      <c r="D1086" t="s">
        <v>134</v>
      </c>
      <c r="E1086" s="1">
        <v>45929</v>
      </c>
      <c r="F1086">
        <v>4</v>
      </c>
      <c r="G1086">
        <v>3150</v>
      </c>
      <c r="H1086">
        <v>93833</v>
      </c>
      <c r="I1086">
        <v>0</v>
      </c>
      <c r="J1086">
        <f t="shared" si="32"/>
        <v>93833</v>
      </c>
      <c r="K1086" t="s">
        <v>1640</v>
      </c>
      <c r="L1086">
        <v>3150</v>
      </c>
      <c r="M1086" s="1">
        <f t="shared" si="33"/>
        <v>45929</v>
      </c>
      <c r="N1086" t="s">
        <v>1641</v>
      </c>
      <c r="O1086">
        <v>0</v>
      </c>
    </row>
    <row r="1087" spans="1:15">
      <c r="A1087" s="6" t="s">
        <v>14</v>
      </c>
      <c r="B1087" t="s">
        <v>15</v>
      </c>
      <c r="C1087" t="s">
        <v>135</v>
      </c>
      <c r="D1087" t="s">
        <v>136</v>
      </c>
      <c r="E1087" s="1">
        <v>45929</v>
      </c>
      <c r="F1087">
        <v>4</v>
      </c>
      <c r="G1087">
        <v>5244</v>
      </c>
      <c r="H1087">
        <v>98888</v>
      </c>
      <c r="I1087">
        <v>0</v>
      </c>
      <c r="J1087">
        <f t="shared" si="32"/>
        <v>98888</v>
      </c>
      <c r="K1087" t="s">
        <v>1640</v>
      </c>
      <c r="L1087">
        <v>5244</v>
      </c>
      <c r="M1087" s="1">
        <f t="shared" si="33"/>
        <v>45929</v>
      </c>
      <c r="N1087" t="s">
        <v>1641</v>
      </c>
      <c r="O1087">
        <v>0</v>
      </c>
    </row>
    <row r="1088" spans="1:15">
      <c r="A1088" s="6" t="s">
        <v>14</v>
      </c>
      <c r="B1088" t="s">
        <v>15</v>
      </c>
      <c r="C1088" t="s">
        <v>145</v>
      </c>
      <c r="D1088" t="s">
        <v>146</v>
      </c>
      <c r="E1088" s="1">
        <v>45929</v>
      </c>
      <c r="F1088">
        <v>4</v>
      </c>
      <c r="G1088">
        <v>2237.1999999999998</v>
      </c>
      <c r="H1088">
        <v>78000</v>
      </c>
      <c r="I1088">
        <v>0</v>
      </c>
      <c r="J1088">
        <f t="shared" si="32"/>
        <v>78000</v>
      </c>
      <c r="K1088" t="s">
        <v>1640</v>
      </c>
      <c r="L1088">
        <v>2237.1999999999998</v>
      </c>
      <c r="M1088" s="1">
        <f t="shared" si="33"/>
        <v>45929</v>
      </c>
      <c r="N1088" t="s">
        <v>1641</v>
      </c>
      <c r="O1088">
        <v>0</v>
      </c>
    </row>
    <row r="1089" spans="1:15">
      <c r="A1089" s="6" t="s">
        <v>14</v>
      </c>
      <c r="B1089" t="s">
        <v>15</v>
      </c>
      <c r="C1089" t="s">
        <v>147</v>
      </c>
      <c r="D1089" t="s">
        <v>148</v>
      </c>
      <c r="E1089" s="1">
        <v>45929</v>
      </c>
      <c r="F1089">
        <v>4</v>
      </c>
      <c r="G1089">
        <v>2752</v>
      </c>
      <c r="H1089">
        <v>81225</v>
      </c>
      <c r="I1089">
        <v>0</v>
      </c>
      <c r="J1089">
        <f t="shared" si="32"/>
        <v>81225</v>
      </c>
      <c r="K1089" t="s">
        <v>1640</v>
      </c>
      <c r="L1089">
        <v>2752</v>
      </c>
      <c r="M1089" s="1">
        <f t="shared" si="33"/>
        <v>45929</v>
      </c>
      <c r="N1089" t="s">
        <v>1641</v>
      </c>
      <c r="O1089">
        <v>0</v>
      </c>
    </row>
    <row r="1090" spans="1:15">
      <c r="A1090" s="6" t="s">
        <v>14</v>
      </c>
      <c r="B1090" t="s">
        <v>15</v>
      </c>
      <c r="C1090" t="s">
        <v>149</v>
      </c>
      <c r="D1090" t="s">
        <v>150</v>
      </c>
      <c r="E1090" s="1">
        <v>45929</v>
      </c>
      <c r="F1090">
        <v>4</v>
      </c>
      <c r="G1090">
        <v>3445</v>
      </c>
      <c r="H1090">
        <v>104637</v>
      </c>
      <c r="I1090">
        <v>0</v>
      </c>
      <c r="J1090">
        <f t="shared" si="32"/>
        <v>104637</v>
      </c>
      <c r="K1090" t="s">
        <v>1640</v>
      </c>
      <c r="L1090">
        <v>3445</v>
      </c>
      <c r="M1090" s="1">
        <f t="shared" si="33"/>
        <v>45929</v>
      </c>
      <c r="N1090" t="s">
        <v>1641</v>
      </c>
      <c r="O1090">
        <v>0</v>
      </c>
    </row>
    <row r="1091" spans="1:15">
      <c r="A1091" s="6" t="s">
        <v>14</v>
      </c>
      <c r="B1091" t="s">
        <v>15</v>
      </c>
      <c r="C1091" t="s">
        <v>161</v>
      </c>
      <c r="D1091" t="s">
        <v>162</v>
      </c>
      <c r="E1091" s="1">
        <v>45929</v>
      </c>
      <c r="F1091">
        <v>4</v>
      </c>
      <c r="G1091">
        <v>2862</v>
      </c>
      <c r="H1091">
        <v>86000</v>
      </c>
      <c r="I1091">
        <v>0</v>
      </c>
      <c r="J1091">
        <f t="shared" ref="J1091:J1154" si="34">H1091-I1091</f>
        <v>86000</v>
      </c>
      <c r="K1091" t="s">
        <v>1640</v>
      </c>
      <c r="L1091">
        <v>2862</v>
      </c>
      <c r="M1091" s="1">
        <f t="shared" ref="M1091:M1154" si="35">E1091</f>
        <v>45929</v>
      </c>
      <c r="N1091" t="s">
        <v>1641</v>
      </c>
      <c r="O1091">
        <v>0</v>
      </c>
    </row>
    <row r="1092" spans="1:15">
      <c r="A1092" s="6" t="s">
        <v>14</v>
      </c>
      <c r="B1092" t="s">
        <v>15</v>
      </c>
      <c r="C1092" t="s">
        <v>177</v>
      </c>
      <c r="D1092" t="s">
        <v>178</v>
      </c>
      <c r="E1092" s="1">
        <v>45929</v>
      </c>
      <c r="F1092">
        <v>4</v>
      </c>
      <c r="G1092">
        <v>3055</v>
      </c>
      <c r="H1092">
        <v>73660</v>
      </c>
      <c r="I1092">
        <v>0</v>
      </c>
      <c r="J1092">
        <f t="shared" si="34"/>
        <v>73660</v>
      </c>
      <c r="K1092" t="s">
        <v>1640</v>
      </c>
      <c r="L1092">
        <v>3055</v>
      </c>
      <c r="M1092" s="1">
        <f t="shared" si="35"/>
        <v>45929</v>
      </c>
      <c r="N1092" t="s">
        <v>1641</v>
      </c>
      <c r="O1092">
        <v>0</v>
      </c>
    </row>
    <row r="1093" spans="1:15">
      <c r="A1093" s="6" t="s">
        <v>14</v>
      </c>
      <c r="B1093" t="s">
        <v>15</v>
      </c>
      <c r="C1093" t="s">
        <v>211</v>
      </c>
      <c r="D1093" t="s">
        <v>212</v>
      </c>
      <c r="E1093" s="1">
        <v>45929</v>
      </c>
      <c r="F1093">
        <v>4</v>
      </c>
      <c r="G1093">
        <v>2000</v>
      </c>
      <c r="H1093">
        <v>55200</v>
      </c>
      <c r="I1093">
        <v>0</v>
      </c>
      <c r="J1093">
        <f t="shared" si="34"/>
        <v>55200</v>
      </c>
      <c r="K1093" t="s">
        <v>1640</v>
      </c>
      <c r="L1093">
        <v>2000</v>
      </c>
      <c r="M1093" s="1">
        <f t="shared" si="35"/>
        <v>45929</v>
      </c>
      <c r="N1093" t="s">
        <v>1641</v>
      </c>
      <c r="O1093">
        <v>0</v>
      </c>
    </row>
    <row r="1094" spans="1:15">
      <c r="A1094" s="6" t="s">
        <v>14</v>
      </c>
      <c r="B1094" t="s">
        <v>15</v>
      </c>
      <c r="C1094" t="s">
        <v>250</v>
      </c>
      <c r="D1094" t="s">
        <v>251</v>
      </c>
      <c r="E1094" s="1">
        <v>45929</v>
      </c>
      <c r="F1094">
        <v>4</v>
      </c>
      <c r="G1094">
        <v>3432</v>
      </c>
      <c r="H1094">
        <v>120000</v>
      </c>
      <c r="I1094">
        <v>0</v>
      </c>
      <c r="J1094">
        <f t="shared" si="34"/>
        <v>120000</v>
      </c>
      <c r="K1094" t="s">
        <v>1640</v>
      </c>
      <c r="L1094">
        <v>3432</v>
      </c>
      <c r="M1094" s="1">
        <f t="shared" si="35"/>
        <v>45929</v>
      </c>
      <c r="N1094" t="s">
        <v>1641</v>
      </c>
      <c r="O1094">
        <v>0</v>
      </c>
    </row>
    <row r="1095" spans="1:15">
      <c r="A1095" s="6" t="s">
        <v>14</v>
      </c>
      <c r="B1095" t="s">
        <v>15</v>
      </c>
      <c r="C1095" t="s">
        <v>312</v>
      </c>
      <c r="D1095" t="s">
        <v>313</v>
      </c>
      <c r="E1095" s="1">
        <v>45929</v>
      </c>
      <c r="F1095">
        <v>4</v>
      </c>
      <c r="G1095">
        <v>1782</v>
      </c>
      <c r="H1095">
        <v>52000</v>
      </c>
      <c r="I1095">
        <v>0</v>
      </c>
      <c r="J1095">
        <f t="shared" si="34"/>
        <v>52000</v>
      </c>
      <c r="K1095" t="s">
        <v>1640</v>
      </c>
      <c r="L1095">
        <v>1782</v>
      </c>
      <c r="M1095" s="1">
        <f t="shared" si="35"/>
        <v>45929</v>
      </c>
      <c r="N1095" t="s">
        <v>1641</v>
      </c>
      <c r="O1095">
        <v>0</v>
      </c>
    </row>
    <row r="1096" spans="1:15">
      <c r="A1096" s="6" t="s">
        <v>14</v>
      </c>
      <c r="B1096" t="s">
        <v>15</v>
      </c>
      <c r="C1096" t="s">
        <v>314</v>
      </c>
      <c r="D1096" t="s">
        <v>315</v>
      </c>
      <c r="E1096" s="1">
        <v>45929</v>
      </c>
      <c r="F1096">
        <v>4</v>
      </c>
      <c r="G1096">
        <v>3710</v>
      </c>
      <c r="H1096">
        <v>106791.67</v>
      </c>
      <c r="I1096">
        <v>0</v>
      </c>
      <c r="J1096">
        <f t="shared" si="34"/>
        <v>106791.67</v>
      </c>
      <c r="K1096" t="s">
        <v>1640</v>
      </c>
      <c r="L1096">
        <v>3710</v>
      </c>
      <c r="M1096" s="1">
        <f t="shared" si="35"/>
        <v>45929</v>
      </c>
      <c r="N1096" t="s">
        <v>1641</v>
      </c>
      <c r="O1096">
        <v>0</v>
      </c>
    </row>
    <row r="1097" spans="1:15">
      <c r="A1097" s="6" t="s">
        <v>14</v>
      </c>
      <c r="B1097" t="s">
        <v>15</v>
      </c>
      <c r="C1097" t="s">
        <v>316</v>
      </c>
      <c r="D1097" t="s">
        <v>317</v>
      </c>
      <c r="E1097" s="1">
        <v>45929</v>
      </c>
      <c r="F1097">
        <v>4</v>
      </c>
      <c r="G1097">
        <v>2790</v>
      </c>
      <c r="H1097">
        <v>77507.5</v>
      </c>
      <c r="I1097">
        <v>0</v>
      </c>
      <c r="J1097">
        <f t="shared" si="34"/>
        <v>77507.5</v>
      </c>
      <c r="K1097" t="s">
        <v>1640</v>
      </c>
      <c r="L1097">
        <v>2790</v>
      </c>
      <c r="M1097" s="1">
        <f t="shared" si="35"/>
        <v>45929</v>
      </c>
      <c r="N1097" t="s">
        <v>1641</v>
      </c>
      <c r="O1097">
        <v>0</v>
      </c>
    </row>
    <row r="1098" spans="1:15">
      <c r="A1098" s="6" t="s">
        <v>14</v>
      </c>
      <c r="B1098" t="s">
        <v>15</v>
      </c>
      <c r="C1098" t="s">
        <v>328</v>
      </c>
      <c r="D1098" t="s">
        <v>329</v>
      </c>
      <c r="E1098" s="1">
        <v>45929</v>
      </c>
      <c r="F1098">
        <v>4</v>
      </c>
      <c r="G1098">
        <v>3780</v>
      </c>
      <c r="H1098">
        <v>114888</v>
      </c>
      <c r="I1098">
        <v>0</v>
      </c>
      <c r="J1098">
        <f t="shared" si="34"/>
        <v>114888</v>
      </c>
      <c r="K1098" t="s">
        <v>1640</v>
      </c>
      <c r="L1098">
        <v>3780</v>
      </c>
      <c r="M1098" s="1">
        <f t="shared" si="35"/>
        <v>45929</v>
      </c>
      <c r="N1098" t="s">
        <v>1641</v>
      </c>
      <c r="O1098">
        <v>0</v>
      </c>
    </row>
    <row r="1099" spans="1:15">
      <c r="A1099" s="6" t="s">
        <v>14</v>
      </c>
      <c r="B1099" t="s">
        <v>15</v>
      </c>
      <c r="C1099" t="s">
        <v>336</v>
      </c>
      <c r="D1099" t="s">
        <v>337</v>
      </c>
      <c r="E1099" s="1">
        <v>45929</v>
      </c>
      <c r="F1099">
        <v>4</v>
      </c>
      <c r="G1099">
        <v>2400</v>
      </c>
      <c r="H1099">
        <v>44000</v>
      </c>
      <c r="I1099">
        <v>0</v>
      </c>
      <c r="J1099">
        <f t="shared" si="34"/>
        <v>44000</v>
      </c>
      <c r="K1099" t="s">
        <v>1640</v>
      </c>
      <c r="L1099">
        <v>2400</v>
      </c>
      <c r="M1099" s="1">
        <f t="shared" si="35"/>
        <v>45929</v>
      </c>
      <c r="N1099" t="s">
        <v>1641</v>
      </c>
      <c r="O1099">
        <v>0</v>
      </c>
    </row>
    <row r="1100" spans="1:15">
      <c r="A1100" s="6" t="s">
        <v>14</v>
      </c>
      <c r="B1100" t="s">
        <v>15</v>
      </c>
      <c r="C1100" t="s">
        <v>344</v>
      </c>
      <c r="D1100" t="s">
        <v>345</v>
      </c>
      <c r="E1100" s="1">
        <v>45929</v>
      </c>
      <c r="F1100">
        <v>4</v>
      </c>
      <c r="G1100">
        <v>4230</v>
      </c>
      <c r="H1100">
        <v>119000</v>
      </c>
      <c r="I1100">
        <v>0</v>
      </c>
      <c r="J1100">
        <f t="shared" si="34"/>
        <v>119000</v>
      </c>
      <c r="K1100" t="s">
        <v>1640</v>
      </c>
      <c r="L1100">
        <v>4230</v>
      </c>
      <c r="M1100" s="1">
        <f t="shared" si="35"/>
        <v>45929</v>
      </c>
      <c r="N1100" t="s">
        <v>1641</v>
      </c>
      <c r="O1100">
        <v>0</v>
      </c>
    </row>
    <row r="1101" spans="1:15">
      <c r="A1101" s="6" t="s">
        <v>14</v>
      </c>
      <c r="B1101" t="s">
        <v>15</v>
      </c>
      <c r="C1101" t="s">
        <v>352</v>
      </c>
      <c r="D1101" t="s">
        <v>353</v>
      </c>
      <c r="E1101" s="1">
        <v>45929</v>
      </c>
      <c r="F1101">
        <v>4</v>
      </c>
      <c r="G1101">
        <v>3250</v>
      </c>
      <c r="H1101">
        <v>97686</v>
      </c>
      <c r="I1101">
        <v>0</v>
      </c>
      <c r="J1101">
        <f t="shared" si="34"/>
        <v>97686</v>
      </c>
      <c r="K1101" t="s">
        <v>1640</v>
      </c>
      <c r="L1101">
        <v>3250</v>
      </c>
      <c r="M1101" s="1">
        <f t="shared" si="35"/>
        <v>45929</v>
      </c>
      <c r="N1101" t="s">
        <v>1641</v>
      </c>
      <c r="O1101">
        <v>0</v>
      </c>
    </row>
    <row r="1102" spans="1:15">
      <c r="A1102" s="6" t="s">
        <v>14</v>
      </c>
      <c r="B1102" t="s">
        <v>15</v>
      </c>
      <c r="C1102" t="s">
        <v>354</v>
      </c>
      <c r="D1102" t="s">
        <v>355</v>
      </c>
      <c r="E1102" s="1">
        <v>45929</v>
      </c>
      <c r="F1102">
        <v>4</v>
      </c>
      <c r="G1102">
        <v>3976</v>
      </c>
      <c r="H1102">
        <v>117000</v>
      </c>
      <c r="I1102">
        <v>0</v>
      </c>
      <c r="J1102">
        <f t="shared" si="34"/>
        <v>117000</v>
      </c>
      <c r="K1102" t="s">
        <v>1640</v>
      </c>
      <c r="L1102">
        <v>3976</v>
      </c>
      <c r="M1102" s="1">
        <f t="shared" si="35"/>
        <v>45929</v>
      </c>
      <c r="N1102" t="s">
        <v>1641</v>
      </c>
      <c r="O1102">
        <v>0</v>
      </c>
    </row>
    <row r="1103" spans="1:15">
      <c r="A1103" s="6" t="s">
        <v>14</v>
      </c>
      <c r="B1103" t="s">
        <v>15</v>
      </c>
      <c r="C1103" t="s">
        <v>356</v>
      </c>
      <c r="D1103" t="s">
        <v>357</v>
      </c>
      <c r="E1103" s="1">
        <v>45929</v>
      </c>
      <c r="F1103">
        <v>4</v>
      </c>
      <c r="G1103">
        <v>4176</v>
      </c>
      <c r="H1103">
        <v>126800</v>
      </c>
      <c r="I1103">
        <v>0</v>
      </c>
      <c r="J1103">
        <f t="shared" si="34"/>
        <v>126800</v>
      </c>
      <c r="K1103" t="s">
        <v>1640</v>
      </c>
      <c r="L1103">
        <v>4176</v>
      </c>
      <c r="M1103" s="1">
        <f t="shared" si="35"/>
        <v>45929</v>
      </c>
      <c r="N1103" t="s">
        <v>1641</v>
      </c>
      <c r="O1103">
        <v>0</v>
      </c>
    </row>
    <row r="1104" spans="1:15">
      <c r="A1104" s="6" t="s">
        <v>14</v>
      </c>
      <c r="B1104" t="s">
        <v>15</v>
      </c>
      <c r="C1104" t="s">
        <v>358</v>
      </c>
      <c r="D1104" t="s">
        <v>359</v>
      </c>
      <c r="E1104" s="1">
        <v>45929</v>
      </c>
      <c r="F1104">
        <v>4</v>
      </c>
      <c r="G1104">
        <v>3360</v>
      </c>
      <c r="H1104">
        <v>121800</v>
      </c>
      <c r="I1104">
        <v>0</v>
      </c>
      <c r="J1104">
        <f t="shared" si="34"/>
        <v>121800</v>
      </c>
      <c r="K1104" t="s">
        <v>1640</v>
      </c>
      <c r="L1104">
        <v>3360</v>
      </c>
      <c r="M1104" s="1">
        <f t="shared" si="35"/>
        <v>45929</v>
      </c>
      <c r="N1104" t="s">
        <v>1641</v>
      </c>
      <c r="O1104">
        <v>0</v>
      </c>
    </row>
    <row r="1105" spans="1:15">
      <c r="A1105" s="6" t="s">
        <v>14</v>
      </c>
      <c r="B1105" t="s">
        <v>15</v>
      </c>
      <c r="C1105" t="s">
        <v>360</v>
      </c>
      <c r="D1105" t="s">
        <v>361</v>
      </c>
      <c r="E1105" s="1">
        <v>45929</v>
      </c>
      <c r="F1105">
        <v>4</v>
      </c>
      <c r="G1105">
        <v>2696.1</v>
      </c>
      <c r="H1105">
        <v>80000</v>
      </c>
      <c r="I1105">
        <v>0</v>
      </c>
      <c r="J1105">
        <f t="shared" si="34"/>
        <v>80000</v>
      </c>
      <c r="K1105" t="s">
        <v>1640</v>
      </c>
      <c r="L1105">
        <v>2696.1</v>
      </c>
      <c r="M1105" s="1">
        <f t="shared" si="35"/>
        <v>45929</v>
      </c>
      <c r="N1105" t="s">
        <v>1641</v>
      </c>
      <c r="O1105">
        <v>0</v>
      </c>
    </row>
    <row r="1106" spans="1:15">
      <c r="A1106" s="6" t="s">
        <v>14</v>
      </c>
      <c r="B1106" t="s">
        <v>15</v>
      </c>
      <c r="C1106" t="s">
        <v>362</v>
      </c>
      <c r="D1106" t="s">
        <v>363</v>
      </c>
      <c r="E1106" s="1">
        <v>45929</v>
      </c>
      <c r="F1106">
        <v>4</v>
      </c>
      <c r="G1106">
        <v>2035.5</v>
      </c>
      <c r="H1106">
        <v>59000</v>
      </c>
      <c r="I1106">
        <v>0</v>
      </c>
      <c r="J1106">
        <f t="shared" si="34"/>
        <v>59000</v>
      </c>
      <c r="K1106" t="s">
        <v>1640</v>
      </c>
      <c r="L1106">
        <v>2035.5</v>
      </c>
      <c r="M1106" s="1">
        <f t="shared" si="35"/>
        <v>45929</v>
      </c>
      <c r="N1106" t="s">
        <v>1641</v>
      </c>
      <c r="O1106">
        <v>0</v>
      </c>
    </row>
    <row r="1107" spans="1:15">
      <c r="A1107" s="6" t="s">
        <v>14</v>
      </c>
      <c r="B1107" t="s">
        <v>15</v>
      </c>
      <c r="C1107" t="s">
        <v>366</v>
      </c>
      <c r="D1107" t="s">
        <v>367</v>
      </c>
      <c r="E1107" s="1">
        <v>45929</v>
      </c>
      <c r="F1107">
        <v>4</v>
      </c>
      <c r="G1107">
        <v>3016</v>
      </c>
      <c r="H1107">
        <v>104008</v>
      </c>
      <c r="I1107">
        <v>0</v>
      </c>
      <c r="J1107">
        <f t="shared" si="34"/>
        <v>104008</v>
      </c>
      <c r="K1107" t="s">
        <v>1640</v>
      </c>
      <c r="L1107">
        <v>3016</v>
      </c>
      <c r="M1107" s="1">
        <f t="shared" si="35"/>
        <v>45929</v>
      </c>
      <c r="N1107" t="s">
        <v>1641</v>
      </c>
      <c r="O1107">
        <v>0</v>
      </c>
    </row>
    <row r="1108" spans="1:15">
      <c r="A1108" s="6" t="s">
        <v>14</v>
      </c>
      <c r="B1108" t="s">
        <v>15</v>
      </c>
      <c r="C1108" t="s">
        <v>368</v>
      </c>
      <c r="D1108" t="s">
        <v>369</v>
      </c>
      <c r="E1108" s="1">
        <v>45929</v>
      </c>
      <c r="F1108">
        <v>4</v>
      </c>
      <c r="G1108">
        <v>1615</v>
      </c>
      <c r="H1108">
        <v>28553</v>
      </c>
      <c r="I1108">
        <v>0</v>
      </c>
      <c r="J1108">
        <f t="shared" si="34"/>
        <v>28553</v>
      </c>
      <c r="K1108" t="s">
        <v>1640</v>
      </c>
      <c r="L1108">
        <v>1615</v>
      </c>
      <c r="M1108" s="1">
        <f t="shared" si="35"/>
        <v>45929</v>
      </c>
      <c r="N1108" t="s">
        <v>1641</v>
      </c>
      <c r="O1108">
        <v>0</v>
      </c>
    </row>
    <row r="1109" spans="1:15">
      <c r="A1109" s="6" t="s">
        <v>14</v>
      </c>
      <c r="B1109" t="s">
        <v>15</v>
      </c>
      <c r="C1109" t="s">
        <v>372</v>
      </c>
      <c r="D1109" t="s">
        <v>1646</v>
      </c>
      <c r="E1109" s="1">
        <v>45929</v>
      </c>
      <c r="F1109">
        <v>4</v>
      </c>
      <c r="G1109">
        <v>4015</v>
      </c>
      <c r="H1109">
        <v>121169</v>
      </c>
      <c r="I1109">
        <v>0</v>
      </c>
      <c r="J1109">
        <f t="shared" si="34"/>
        <v>121169</v>
      </c>
      <c r="K1109" t="s">
        <v>1640</v>
      </c>
      <c r="L1109">
        <v>4015</v>
      </c>
      <c r="M1109" s="1">
        <f t="shared" si="35"/>
        <v>45929</v>
      </c>
      <c r="N1109" t="s">
        <v>1641</v>
      </c>
      <c r="O1109">
        <v>0</v>
      </c>
    </row>
    <row r="1110" spans="1:15">
      <c r="A1110" s="6" t="s">
        <v>14</v>
      </c>
      <c r="B1110" t="s">
        <v>15</v>
      </c>
      <c r="C1110" t="s">
        <v>375</v>
      </c>
      <c r="D1110" t="s">
        <v>376</v>
      </c>
      <c r="E1110" s="1">
        <v>45929</v>
      </c>
      <c r="F1110">
        <v>4</v>
      </c>
      <c r="G1110">
        <v>2652</v>
      </c>
      <c r="H1110">
        <v>77033</v>
      </c>
      <c r="I1110">
        <v>0</v>
      </c>
      <c r="J1110">
        <f t="shared" si="34"/>
        <v>77033</v>
      </c>
      <c r="K1110" t="s">
        <v>1640</v>
      </c>
      <c r="L1110">
        <v>2652</v>
      </c>
      <c r="M1110" s="1">
        <f t="shared" si="35"/>
        <v>45929</v>
      </c>
      <c r="N1110" t="s">
        <v>1641</v>
      </c>
      <c r="O1110">
        <v>0</v>
      </c>
    </row>
    <row r="1111" spans="1:15">
      <c r="A1111" s="6" t="s">
        <v>14</v>
      </c>
      <c r="B1111" t="s">
        <v>15</v>
      </c>
      <c r="C1111" t="s">
        <v>377</v>
      </c>
      <c r="D1111" t="s">
        <v>378</v>
      </c>
      <c r="E1111" s="1">
        <v>45929</v>
      </c>
      <c r="F1111">
        <v>4</v>
      </c>
      <c r="G1111">
        <v>2200</v>
      </c>
      <c r="H1111">
        <v>66000</v>
      </c>
      <c r="I1111">
        <v>0</v>
      </c>
      <c r="J1111">
        <f t="shared" si="34"/>
        <v>66000</v>
      </c>
      <c r="K1111" t="s">
        <v>1640</v>
      </c>
      <c r="L1111">
        <v>2200</v>
      </c>
      <c r="M1111" s="1">
        <f t="shared" si="35"/>
        <v>45929</v>
      </c>
      <c r="N1111" t="s">
        <v>1641</v>
      </c>
      <c r="O1111">
        <v>0</v>
      </c>
    </row>
    <row r="1112" spans="1:15">
      <c r="A1112" s="6" t="s">
        <v>14</v>
      </c>
      <c r="B1112" t="s">
        <v>15</v>
      </c>
      <c r="C1112" t="s">
        <v>383</v>
      </c>
      <c r="D1112" t="s">
        <v>384</v>
      </c>
      <c r="E1112" s="1">
        <v>45929</v>
      </c>
      <c r="F1112">
        <v>4</v>
      </c>
      <c r="G1112">
        <v>1540</v>
      </c>
      <c r="H1112">
        <v>44340</v>
      </c>
      <c r="I1112">
        <v>0</v>
      </c>
      <c r="J1112">
        <f t="shared" si="34"/>
        <v>44340</v>
      </c>
      <c r="K1112" t="s">
        <v>1640</v>
      </c>
      <c r="L1112">
        <v>1540</v>
      </c>
      <c r="M1112" s="1">
        <f t="shared" si="35"/>
        <v>45929</v>
      </c>
      <c r="N1112" t="s">
        <v>1641</v>
      </c>
      <c r="O1112">
        <v>0</v>
      </c>
    </row>
    <row r="1113" spans="1:15">
      <c r="A1113" s="6" t="s">
        <v>14</v>
      </c>
      <c r="B1113" t="s">
        <v>15</v>
      </c>
      <c r="C1113" t="s">
        <v>385</v>
      </c>
      <c r="D1113" t="s">
        <v>386</v>
      </c>
      <c r="E1113" s="1">
        <v>45929</v>
      </c>
      <c r="F1113">
        <v>4</v>
      </c>
      <c r="G1113">
        <v>2914</v>
      </c>
      <c r="H1113">
        <v>87624</v>
      </c>
      <c r="I1113">
        <v>0</v>
      </c>
      <c r="J1113">
        <f t="shared" si="34"/>
        <v>87624</v>
      </c>
      <c r="K1113" t="s">
        <v>1640</v>
      </c>
      <c r="L1113">
        <v>2914</v>
      </c>
      <c r="M1113" s="1">
        <f t="shared" si="35"/>
        <v>45929</v>
      </c>
      <c r="N1113" t="s">
        <v>1641</v>
      </c>
      <c r="O1113">
        <v>0</v>
      </c>
    </row>
    <row r="1114" spans="1:15">
      <c r="A1114" s="6" t="s">
        <v>14</v>
      </c>
      <c r="B1114" t="s">
        <v>15</v>
      </c>
      <c r="C1114" t="s">
        <v>387</v>
      </c>
      <c r="D1114" t="s">
        <v>388</v>
      </c>
      <c r="E1114" s="1">
        <v>45929</v>
      </c>
      <c r="F1114">
        <v>4</v>
      </c>
      <c r="G1114">
        <v>2584</v>
      </c>
      <c r="H1114">
        <v>78213</v>
      </c>
      <c r="I1114">
        <v>0</v>
      </c>
      <c r="J1114">
        <f t="shared" si="34"/>
        <v>78213</v>
      </c>
      <c r="K1114" t="s">
        <v>1640</v>
      </c>
      <c r="L1114">
        <v>2584</v>
      </c>
      <c r="M1114" s="1">
        <f t="shared" si="35"/>
        <v>45929</v>
      </c>
      <c r="N1114" t="s">
        <v>1641</v>
      </c>
      <c r="O1114">
        <v>0</v>
      </c>
    </row>
    <row r="1115" spans="1:15">
      <c r="A1115" s="6" t="s">
        <v>14</v>
      </c>
      <c r="B1115" t="s">
        <v>15</v>
      </c>
      <c r="C1115" t="s">
        <v>389</v>
      </c>
      <c r="D1115" t="s">
        <v>390</v>
      </c>
      <c r="E1115" s="1">
        <v>45929</v>
      </c>
      <c r="F1115">
        <v>4</v>
      </c>
      <c r="G1115">
        <v>141</v>
      </c>
      <c r="H1115">
        <v>86683</v>
      </c>
      <c r="I1115">
        <v>0</v>
      </c>
      <c r="J1115">
        <f t="shared" si="34"/>
        <v>86683</v>
      </c>
      <c r="K1115" t="s">
        <v>1640</v>
      </c>
      <c r="L1115">
        <v>141</v>
      </c>
      <c r="M1115" s="1">
        <f t="shared" si="35"/>
        <v>45929</v>
      </c>
      <c r="N1115" t="s">
        <v>1641</v>
      </c>
      <c r="O1115">
        <v>0</v>
      </c>
    </row>
    <row r="1116" spans="1:15">
      <c r="A1116" s="6" t="s">
        <v>14</v>
      </c>
      <c r="B1116" t="s">
        <v>15</v>
      </c>
      <c r="C1116" t="s">
        <v>391</v>
      </c>
      <c r="D1116" t="s">
        <v>392</v>
      </c>
      <c r="E1116" s="1">
        <v>45929</v>
      </c>
      <c r="F1116">
        <v>4</v>
      </c>
      <c r="G1116">
        <v>4242.12</v>
      </c>
      <c r="H1116">
        <v>124469</v>
      </c>
      <c r="I1116">
        <v>0</v>
      </c>
      <c r="J1116">
        <f t="shared" si="34"/>
        <v>124469</v>
      </c>
      <c r="K1116" t="s">
        <v>1640</v>
      </c>
      <c r="L1116">
        <v>4242.12</v>
      </c>
      <c r="M1116" s="1">
        <f t="shared" si="35"/>
        <v>45929</v>
      </c>
      <c r="N1116" t="s">
        <v>1641</v>
      </c>
      <c r="O1116">
        <v>0</v>
      </c>
    </row>
    <row r="1117" spans="1:15">
      <c r="A1117" s="6" t="s">
        <v>14</v>
      </c>
      <c r="B1117" t="s">
        <v>15</v>
      </c>
      <c r="C1117" t="s">
        <v>403</v>
      </c>
      <c r="D1117" t="s">
        <v>404</v>
      </c>
      <c r="E1117" s="1">
        <v>45929</v>
      </c>
      <c r="F1117">
        <v>4</v>
      </c>
      <c r="G1117">
        <v>2990</v>
      </c>
      <c r="H1117">
        <v>107000</v>
      </c>
      <c r="I1117">
        <v>0</v>
      </c>
      <c r="J1117">
        <f t="shared" si="34"/>
        <v>107000</v>
      </c>
      <c r="K1117" t="s">
        <v>1640</v>
      </c>
      <c r="L1117">
        <v>2990</v>
      </c>
      <c r="M1117" s="1">
        <f t="shared" si="35"/>
        <v>45929</v>
      </c>
      <c r="N1117" t="s">
        <v>1641</v>
      </c>
      <c r="O1117">
        <v>0</v>
      </c>
    </row>
    <row r="1118" spans="1:15">
      <c r="A1118" s="6" t="s">
        <v>14</v>
      </c>
      <c r="B1118" t="s">
        <v>15</v>
      </c>
      <c r="C1118" t="s">
        <v>407</v>
      </c>
      <c r="D1118" t="s">
        <v>408</v>
      </c>
      <c r="E1118" s="1">
        <v>45929</v>
      </c>
      <c r="F1118">
        <v>4</v>
      </c>
      <c r="G1118">
        <v>3375</v>
      </c>
      <c r="H1118">
        <v>98000</v>
      </c>
      <c r="I1118">
        <v>0</v>
      </c>
      <c r="J1118">
        <f t="shared" si="34"/>
        <v>98000</v>
      </c>
      <c r="K1118" t="s">
        <v>1640</v>
      </c>
      <c r="L1118">
        <v>3375</v>
      </c>
      <c r="M1118" s="1">
        <f t="shared" si="35"/>
        <v>45929</v>
      </c>
      <c r="N1118" t="s">
        <v>1641</v>
      </c>
      <c r="O1118">
        <v>0</v>
      </c>
    </row>
    <row r="1119" spans="1:15">
      <c r="A1119" s="6" t="s">
        <v>14</v>
      </c>
      <c r="B1119" t="s">
        <v>15</v>
      </c>
      <c r="C1119" t="s">
        <v>409</v>
      </c>
      <c r="D1119" t="s">
        <v>410</v>
      </c>
      <c r="E1119" s="1">
        <v>45929</v>
      </c>
      <c r="F1119">
        <v>4</v>
      </c>
      <c r="G1119">
        <v>2898</v>
      </c>
      <c r="H1119">
        <v>88101</v>
      </c>
      <c r="I1119">
        <v>0</v>
      </c>
      <c r="J1119">
        <f t="shared" si="34"/>
        <v>88101</v>
      </c>
      <c r="K1119" t="s">
        <v>1640</v>
      </c>
      <c r="L1119">
        <v>2898</v>
      </c>
      <c r="M1119" s="1">
        <f t="shared" si="35"/>
        <v>45929</v>
      </c>
      <c r="N1119" t="s">
        <v>1641</v>
      </c>
      <c r="O1119">
        <v>0</v>
      </c>
    </row>
    <row r="1120" spans="1:15">
      <c r="A1120" s="6" t="s">
        <v>14</v>
      </c>
      <c r="B1120" t="s">
        <v>15</v>
      </c>
      <c r="C1120" t="s">
        <v>411</v>
      </c>
      <c r="D1120" t="s">
        <v>412</v>
      </c>
      <c r="E1120" s="1">
        <v>45929</v>
      </c>
      <c r="F1120">
        <v>4</v>
      </c>
      <c r="G1120">
        <v>368</v>
      </c>
      <c r="H1120">
        <v>9216</v>
      </c>
      <c r="I1120">
        <v>0</v>
      </c>
      <c r="J1120">
        <f t="shared" si="34"/>
        <v>9216</v>
      </c>
      <c r="K1120" t="s">
        <v>1640</v>
      </c>
      <c r="L1120">
        <v>368</v>
      </c>
      <c r="M1120" s="1">
        <f t="shared" si="35"/>
        <v>45929</v>
      </c>
      <c r="N1120" t="s">
        <v>1641</v>
      </c>
      <c r="O1120">
        <v>0</v>
      </c>
    </row>
    <row r="1121" spans="1:15">
      <c r="A1121" s="6" t="s">
        <v>14</v>
      </c>
      <c r="B1121" t="s">
        <v>15</v>
      </c>
      <c r="C1121" t="s">
        <v>413</v>
      </c>
      <c r="D1121" t="s">
        <v>414</v>
      </c>
      <c r="E1121" s="1">
        <v>45929</v>
      </c>
      <c r="F1121">
        <v>4</v>
      </c>
      <c r="G1121">
        <v>1734</v>
      </c>
      <c r="H1121">
        <v>50000</v>
      </c>
      <c r="I1121">
        <v>0</v>
      </c>
      <c r="J1121">
        <f t="shared" si="34"/>
        <v>50000</v>
      </c>
      <c r="K1121" t="s">
        <v>1640</v>
      </c>
      <c r="L1121">
        <v>1734</v>
      </c>
      <c r="M1121" s="1">
        <f t="shared" si="35"/>
        <v>45929</v>
      </c>
      <c r="N1121" t="s">
        <v>1641</v>
      </c>
      <c r="O1121">
        <v>0</v>
      </c>
    </row>
    <row r="1122" spans="1:15">
      <c r="A1122" s="6" t="s">
        <v>14</v>
      </c>
      <c r="B1122" t="s">
        <v>15</v>
      </c>
      <c r="C1122" t="s">
        <v>419</v>
      </c>
      <c r="D1122" t="s">
        <v>420</v>
      </c>
      <c r="E1122" s="1">
        <v>45929</v>
      </c>
      <c r="F1122">
        <v>4</v>
      </c>
      <c r="G1122">
        <v>476</v>
      </c>
      <c r="H1122">
        <v>8410</v>
      </c>
      <c r="I1122">
        <v>0</v>
      </c>
      <c r="J1122">
        <f t="shared" si="34"/>
        <v>8410</v>
      </c>
      <c r="K1122" t="s">
        <v>1640</v>
      </c>
      <c r="L1122">
        <v>476</v>
      </c>
      <c r="M1122" s="1">
        <f t="shared" si="35"/>
        <v>45929</v>
      </c>
      <c r="N1122" t="s">
        <v>1641</v>
      </c>
      <c r="O1122">
        <v>0</v>
      </c>
    </row>
    <row r="1123" spans="1:15">
      <c r="A1123" s="6" t="s">
        <v>14</v>
      </c>
      <c r="B1123" t="s">
        <v>15</v>
      </c>
      <c r="C1123" t="s">
        <v>423</v>
      </c>
      <c r="D1123" t="s">
        <v>424</v>
      </c>
      <c r="E1123" s="1">
        <v>45929</v>
      </c>
      <c r="F1123">
        <v>4</v>
      </c>
      <c r="G1123">
        <v>2160</v>
      </c>
      <c r="H1123">
        <v>75570</v>
      </c>
      <c r="I1123">
        <v>0</v>
      </c>
      <c r="J1123">
        <f t="shared" si="34"/>
        <v>75570</v>
      </c>
      <c r="K1123" t="s">
        <v>1640</v>
      </c>
      <c r="L1123">
        <v>2160</v>
      </c>
      <c r="M1123" s="1">
        <f t="shared" si="35"/>
        <v>45929</v>
      </c>
      <c r="N1123" t="s">
        <v>1641</v>
      </c>
      <c r="O1123">
        <v>0</v>
      </c>
    </row>
    <row r="1124" spans="1:15">
      <c r="A1124" s="6" t="s">
        <v>14</v>
      </c>
      <c r="B1124" t="s">
        <v>15</v>
      </c>
      <c r="C1124" t="s">
        <v>433</v>
      </c>
      <c r="D1124" t="s">
        <v>434</v>
      </c>
      <c r="E1124" s="1">
        <v>45929</v>
      </c>
      <c r="F1124">
        <v>4</v>
      </c>
      <c r="G1124">
        <v>2542</v>
      </c>
      <c r="H1124">
        <v>76000</v>
      </c>
      <c r="I1124">
        <v>0</v>
      </c>
      <c r="J1124">
        <f t="shared" si="34"/>
        <v>76000</v>
      </c>
      <c r="K1124" t="s">
        <v>1640</v>
      </c>
      <c r="L1124">
        <v>2542</v>
      </c>
      <c r="M1124" s="1">
        <f t="shared" si="35"/>
        <v>45929</v>
      </c>
      <c r="N1124" t="s">
        <v>1641</v>
      </c>
      <c r="O1124">
        <v>0</v>
      </c>
    </row>
    <row r="1125" spans="1:15">
      <c r="A1125" s="6" t="s">
        <v>14</v>
      </c>
      <c r="B1125" t="s">
        <v>15</v>
      </c>
      <c r="C1125" t="s">
        <v>439</v>
      </c>
      <c r="D1125" t="s">
        <v>440</v>
      </c>
      <c r="E1125" s="1">
        <v>45929</v>
      </c>
      <c r="F1125">
        <v>4</v>
      </c>
      <c r="G1125">
        <v>1083</v>
      </c>
      <c r="H1125">
        <v>20000</v>
      </c>
      <c r="I1125">
        <v>0</v>
      </c>
      <c r="J1125">
        <f t="shared" si="34"/>
        <v>20000</v>
      </c>
      <c r="K1125" t="s">
        <v>1640</v>
      </c>
      <c r="L1125">
        <v>1083</v>
      </c>
      <c r="M1125" s="1">
        <f t="shared" si="35"/>
        <v>45929</v>
      </c>
      <c r="N1125" t="s">
        <v>1641</v>
      </c>
      <c r="O1125">
        <v>0</v>
      </c>
    </row>
    <row r="1126" spans="1:15">
      <c r="A1126" s="6" t="s">
        <v>14</v>
      </c>
      <c r="B1126" t="s">
        <v>15</v>
      </c>
      <c r="C1126" t="s">
        <v>445</v>
      </c>
      <c r="D1126" t="s">
        <v>446</v>
      </c>
      <c r="E1126" s="1">
        <v>45929</v>
      </c>
      <c r="F1126">
        <v>4</v>
      </c>
      <c r="G1126">
        <v>2520</v>
      </c>
      <c r="H1126">
        <v>76666</v>
      </c>
      <c r="I1126">
        <v>0</v>
      </c>
      <c r="J1126">
        <f t="shared" si="34"/>
        <v>76666</v>
      </c>
      <c r="K1126" t="s">
        <v>1640</v>
      </c>
      <c r="L1126">
        <v>2520</v>
      </c>
      <c r="M1126" s="1">
        <f t="shared" si="35"/>
        <v>45929</v>
      </c>
      <c r="N1126" t="s">
        <v>1641</v>
      </c>
      <c r="O1126">
        <v>0</v>
      </c>
    </row>
    <row r="1127" spans="1:15">
      <c r="A1127" s="6" t="s">
        <v>14</v>
      </c>
      <c r="B1127" t="s">
        <v>15</v>
      </c>
      <c r="C1127" t="s">
        <v>447</v>
      </c>
      <c r="D1127" t="s">
        <v>448</v>
      </c>
      <c r="E1127" s="1">
        <v>45929</v>
      </c>
      <c r="F1127">
        <v>4</v>
      </c>
      <c r="G1127">
        <v>2385</v>
      </c>
      <c r="H1127">
        <v>71000</v>
      </c>
      <c r="I1127">
        <v>0</v>
      </c>
      <c r="J1127">
        <f t="shared" si="34"/>
        <v>71000</v>
      </c>
      <c r="K1127" t="s">
        <v>1640</v>
      </c>
      <c r="L1127">
        <v>2385</v>
      </c>
      <c r="M1127" s="1">
        <f t="shared" si="35"/>
        <v>45929</v>
      </c>
      <c r="N1127" t="s">
        <v>1641</v>
      </c>
      <c r="O1127">
        <v>0</v>
      </c>
    </row>
    <row r="1128" spans="1:15">
      <c r="A1128" s="6" t="s">
        <v>14</v>
      </c>
      <c r="B1128" t="s">
        <v>15</v>
      </c>
      <c r="C1128" t="s">
        <v>457</v>
      </c>
      <c r="D1128" t="s">
        <v>458</v>
      </c>
      <c r="E1128" s="1">
        <v>45929</v>
      </c>
      <c r="F1128">
        <v>4</v>
      </c>
      <c r="G1128">
        <v>1763</v>
      </c>
      <c r="H1128">
        <v>66238</v>
      </c>
      <c r="I1128">
        <v>0</v>
      </c>
      <c r="J1128">
        <f t="shared" si="34"/>
        <v>66238</v>
      </c>
      <c r="K1128" t="s">
        <v>1640</v>
      </c>
      <c r="L1128">
        <v>1763</v>
      </c>
      <c r="M1128" s="1">
        <f t="shared" si="35"/>
        <v>45929</v>
      </c>
      <c r="N1128" t="s">
        <v>1641</v>
      </c>
      <c r="O1128">
        <v>0</v>
      </c>
    </row>
    <row r="1129" spans="1:15">
      <c r="A1129" s="6" t="s">
        <v>14</v>
      </c>
      <c r="B1129" t="s">
        <v>15</v>
      </c>
      <c r="C1129" t="s">
        <v>463</v>
      </c>
      <c r="D1129" t="s">
        <v>464</v>
      </c>
      <c r="E1129" s="1">
        <v>45929</v>
      </c>
      <c r="F1129">
        <v>4</v>
      </c>
      <c r="G1129">
        <v>3692</v>
      </c>
      <c r="H1129">
        <v>112197</v>
      </c>
      <c r="I1129">
        <v>0</v>
      </c>
      <c r="J1129">
        <f t="shared" si="34"/>
        <v>112197</v>
      </c>
      <c r="K1129" t="s">
        <v>1640</v>
      </c>
      <c r="L1129">
        <v>3692</v>
      </c>
      <c r="M1129" s="1">
        <f t="shared" si="35"/>
        <v>45929</v>
      </c>
      <c r="N1129" t="s">
        <v>1641</v>
      </c>
      <c r="O1129">
        <v>0</v>
      </c>
    </row>
    <row r="1130" spans="1:15">
      <c r="A1130" s="6" t="s">
        <v>14</v>
      </c>
      <c r="B1130" t="s">
        <v>15</v>
      </c>
      <c r="C1130" t="s">
        <v>471</v>
      </c>
      <c r="D1130" t="s">
        <v>472</v>
      </c>
      <c r="E1130" s="1">
        <v>45929</v>
      </c>
      <c r="F1130">
        <v>4</v>
      </c>
      <c r="G1130">
        <v>3870</v>
      </c>
      <c r="H1130">
        <v>118000</v>
      </c>
      <c r="I1130">
        <v>0</v>
      </c>
      <c r="J1130">
        <f t="shared" si="34"/>
        <v>118000</v>
      </c>
      <c r="K1130" t="s">
        <v>1640</v>
      </c>
      <c r="L1130">
        <v>3870</v>
      </c>
      <c r="M1130" s="1">
        <f t="shared" si="35"/>
        <v>45929</v>
      </c>
      <c r="N1130" t="s">
        <v>1641</v>
      </c>
      <c r="O1130">
        <v>0</v>
      </c>
    </row>
    <row r="1131" spans="1:15">
      <c r="A1131" s="6" t="s">
        <v>14</v>
      </c>
      <c r="B1131" t="s">
        <v>15</v>
      </c>
      <c r="C1131" t="s">
        <v>473</v>
      </c>
      <c r="D1131" t="s">
        <v>474</v>
      </c>
      <c r="E1131" s="1">
        <v>45929</v>
      </c>
      <c r="F1131">
        <v>4</v>
      </c>
      <c r="G1131">
        <v>1311</v>
      </c>
      <c r="H1131">
        <v>23863</v>
      </c>
      <c r="I1131">
        <v>0</v>
      </c>
      <c r="J1131">
        <f t="shared" si="34"/>
        <v>23863</v>
      </c>
      <c r="K1131" t="s">
        <v>1640</v>
      </c>
      <c r="L1131">
        <v>1311</v>
      </c>
      <c r="M1131" s="1">
        <f t="shared" si="35"/>
        <v>45929</v>
      </c>
      <c r="N1131" t="s">
        <v>1641</v>
      </c>
      <c r="O1131">
        <v>0</v>
      </c>
    </row>
    <row r="1132" spans="1:15">
      <c r="A1132" s="6" t="s">
        <v>14</v>
      </c>
      <c r="B1132" t="s">
        <v>15</v>
      </c>
      <c r="C1132" t="s">
        <v>481</v>
      </c>
      <c r="D1132" t="s">
        <v>482</v>
      </c>
      <c r="E1132" s="1">
        <v>45929</v>
      </c>
      <c r="F1132">
        <v>4</v>
      </c>
      <c r="G1132">
        <v>4636</v>
      </c>
      <c r="H1132">
        <v>141000</v>
      </c>
      <c r="I1132">
        <v>0</v>
      </c>
      <c r="J1132">
        <f t="shared" si="34"/>
        <v>141000</v>
      </c>
      <c r="K1132" t="s">
        <v>1640</v>
      </c>
      <c r="L1132">
        <v>4636</v>
      </c>
      <c r="M1132" s="1">
        <f t="shared" si="35"/>
        <v>45929</v>
      </c>
      <c r="N1132" t="s">
        <v>1641</v>
      </c>
      <c r="O1132">
        <v>0</v>
      </c>
    </row>
    <row r="1133" spans="1:15">
      <c r="A1133" s="6" t="s">
        <v>14</v>
      </c>
      <c r="B1133" t="s">
        <v>15</v>
      </c>
      <c r="C1133" t="s">
        <v>525</v>
      </c>
      <c r="D1133" t="s">
        <v>526</v>
      </c>
      <c r="E1133" s="1">
        <v>45929</v>
      </c>
      <c r="F1133">
        <v>4</v>
      </c>
      <c r="G1133">
        <v>1540</v>
      </c>
      <c r="H1133">
        <v>27578</v>
      </c>
      <c r="I1133">
        <v>0</v>
      </c>
      <c r="J1133">
        <f t="shared" si="34"/>
        <v>27578</v>
      </c>
      <c r="K1133" t="s">
        <v>1640</v>
      </c>
      <c r="L1133">
        <v>1540</v>
      </c>
      <c r="M1133" s="1">
        <f t="shared" si="35"/>
        <v>45929</v>
      </c>
      <c r="N1133" t="s">
        <v>1641</v>
      </c>
      <c r="O1133">
        <v>0</v>
      </c>
    </row>
    <row r="1134" spans="1:15">
      <c r="A1134" s="6" t="s">
        <v>14</v>
      </c>
      <c r="B1134" t="s">
        <v>15</v>
      </c>
      <c r="C1134" t="s">
        <v>533</v>
      </c>
      <c r="D1134" t="s">
        <v>534</v>
      </c>
      <c r="E1134" s="1">
        <v>45929</v>
      </c>
      <c r="F1134">
        <v>4</v>
      </c>
      <c r="G1134">
        <v>1250</v>
      </c>
      <c r="H1134">
        <v>22478</v>
      </c>
      <c r="I1134">
        <v>0</v>
      </c>
      <c r="J1134">
        <f t="shared" si="34"/>
        <v>22478</v>
      </c>
      <c r="K1134" t="s">
        <v>1640</v>
      </c>
      <c r="L1134">
        <v>1250</v>
      </c>
      <c r="M1134" s="1">
        <f t="shared" si="35"/>
        <v>45929</v>
      </c>
      <c r="N1134" t="s">
        <v>1641</v>
      </c>
      <c r="O1134">
        <v>0</v>
      </c>
    </row>
    <row r="1135" spans="1:15">
      <c r="A1135" s="6" t="s">
        <v>14</v>
      </c>
      <c r="B1135" t="s">
        <v>15</v>
      </c>
      <c r="C1135" t="s">
        <v>606</v>
      </c>
      <c r="D1135" t="s">
        <v>1650</v>
      </c>
      <c r="E1135" s="1">
        <v>45929</v>
      </c>
      <c r="F1135">
        <v>4</v>
      </c>
      <c r="G1135">
        <v>1080</v>
      </c>
      <c r="H1135">
        <v>19087</v>
      </c>
      <c r="I1135">
        <v>0</v>
      </c>
      <c r="J1135">
        <f t="shared" si="34"/>
        <v>19087</v>
      </c>
      <c r="K1135" t="s">
        <v>1640</v>
      </c>
      <c r="L1135">
        <v>1080</v>
      </c>
      <c r="M1135" s="1">
        <f t="shared" si="35"/>
        <v>45929</v>
      </c>
      <c r="N1135" t="s">
        <v>1641</v>
      </c>
      <c r="O1135">
        <v>0</v>
      </c>
    </row>
    <row r="1136" spans="1:15">
      <c r="A1136" s="6" t="s">
        <v>14</v>
      </c>
      <c r="B1136" t="s">
        <v>15</v>
      </c>
      <c r="C1136" t="s">
        <v>626</v>
      </c>
      <c r="D1136" t="s">
        <v>627</v>
      </c>
      <c r="E1136" s="1">
        <v>45929</v>
      </c>
      <c r="F1136">
        <v>4</v>
      </c>
      <c r="G1136">
        <v>261</v>
      </c>
      <c r="H1136">
        <v>105000</v>
      </c>
      <c r="I1136">
        <v>0</v>
      </c>
      <c r="J1136">
        <f t="shared" si="34"/>
        <v>105000</v>
      </c>
      <c r="K1136" t="s">
        <v>1640</v>
      </c>
      <c r="L1136">
        <v>261</v>
      </c>
      <c r="M1136" s="1">
        <f t="shared" si="35"/>
        <v>45929</v>
      </c>
      <c r="N1136" t="s">
        <v>1641</v>
      </c>
      <c r="O1136">
        <v>0</v>
      </c>
    </row>
    <row r="1137" spans="1:15">
      <c r="A1137" s="6" t="s">
        <v>14</v>
      </c>
      <c r="B1137" t="s">
        <v>15</v>
      </c>
      <c r="C1137" t="s">
        <v>634</v>
      </c>
      <c r="D1137" t="s">
        <v>635</v>
      </c>
      <c r="E1137" s="1">
        <v>45929</v>
      </c>
      <c r="F1137">
        <v>4</v>
      </c>
      <c r="G1137">
        <v>1399.92</v>
      </c>
      <c r="H1137">
        <v>24606</v>
      </c>
      <c r="I1137">
        <v>0</v>
      </c>
      <c r="J1137">
        <f t="shared" si="34"/>
        <v>24606</v>
      </c>
      <c r="K1137" t="s">
        <v>1640</v>
      </c>
      <c r="L1137">
        <v>1399.92</v>
      </c>
      <c r="M1137" s="1">
        <f t="shared" si="35"/>
        <v>45929</v>
      </c>
      <c r="N1137" t="s">
        <v>1641</v>
      </c>
      <c r="O1137">
        <v>0</v>
      </c>
    </row>
    <row r="1138" spans="1:15">
      <c r="A1138" s="6" t="s">
        <v>14</v>
      </c>
      <c r="B1138" t="s">
        <v>15</v>
      </c>
      <c r="C1138" t="s">
        <v>647</v>
      </c>
      <c r="D1138" t="s">
        <v>648</v>
      </c>
      <c r="E1138" s="1">
        <v>45929</v>
      </c>
      <c r="F1138">
        <v>4</v>
      </c>
      <c r="G1138">
        <v>966</v>
      </c>
      <c r="H1138">
        <v>17689</v>
      </c>
      <c r="I1138">
        <v>0</v>
      </c>
      <c r="J1138">
        <f t="shared" si="34"/>
        <v>17689</v>
      </c>
      <c r="K1138" t="s">
        <v>1640</v>
      </c>
      <c r="L1138">
        <v>966</v>
      </c>
      <c r="M1138" s="1">
        <f t="shared" si="35"/>
        <v>45929</v>
      </c>
      <c r="N1138" t="s">
        <v>1641</v>
      </c>
      <c r="O1138">
        <v>0</v>
      </c>
    </row>
    <row r="1139" spans="1:15">
      <c r="A1139" s="6" t="s">
        <v>14</v>
      </c>
      <c r="B1139" t="s">
        <v>15</v>
      </c>
      <c r="C1139" t="s">
        <v>682</v>
      </c>
      <c r="D1139" t="s">
        <v>683</v>
      </c>
      <c r="E1139" s="1">
        <v>45929</v>
      </c>
      <c r="F1139">
        <v>4</v>
      </c>
      <c r="G1139">
        <v>1339</v>
      </c>
      <c r="H1139">
        <v>22342</v>
      </c>
      <c r="I1139">
        <v>0</v>
      </c>
      <c r="J1139">
        <f t="shared" si="34"/>
        <v>22342</v>
      </c>
      <c r="K1139" t="s">
        <v>1640</v>
      </c>
      <c r="L1139">
        <v>1339</v>
      </c>
      <c r="M1139" s="1">
        <f t="shared" si="35"/>
        <v>45929</v>
      </c>
      <c r="N1139" t="s">
        <v>1641</v>
      </c>
      <c r="O1139">
        <v>0</v>
      </c>
    </row>
    <row r="1140" spans="1:15">
      <c r="A1140" s="6" t="s">
        <v>14</v>
      </c>
      <c r="B1140" t="s">
        <v>15</v>
      </c>
      <c r="C1140" t="s">
        <v>16</v>
      </c>
      <c r="D1140" t="s">
        <v>17</v>
      </c>
      <c r="E1140" s="1">
        <v>45929</v>
      </c>
      <c r="F1140">
        <v>5</v>
      </c>
      <c r="G1140">
        <v>5830</v>
      </c>
      <c r="H1140">
        <v>97419</v>
      </c>
      <c r="I1140">
        <v>0</v>
      </c>
      <c r="J1140">
        <f t="shared" si="34"/>
        <v>97419</v>
      </c>
      <c r="K1140" t="s">
        <v>1640</v>
      </c>
      <c r="L1140">
        <v>5830</v>
      </c>
      <c r="M1140" s="1">
        <f t="shared" si="35"/>
        <v>45929</v>
      </c>
      <c r="N1140" t="s">
        <v>1641</v>
      </c>
      <c r="O1140">
        <v>0</v>
      </c>
    </row>
    <row r="1141" spans="1:15">
      <c r="A1141" s="6" t="s">
        <v>14</v>
      </c>
      <c r="B1141" t="s">
        <v>15</v>
      </c>
      <c r="C1141" t="s">
        <v>20</v>
      </c>
      <c r="D1141" t="s">
        <v>21</v>
      </c>
      <c r="E1141" s="1">
        <v>45929</v>
      </c>
      <c r="F1141">
        <v>5</v>
      </c>
      <c r="G1141">
        <v>0</v>
      </c>
      <c r="H1141">
        <v>94060</v>
      </c>
      <c r="I1141">
        <v>0</v>
      </c>
      <c r="J1141">
        <f t="shared" si="34"/>
        <v>94060</v>
      </c>
      <c r="K1141" t="s">
        <v>1640</v>
      </c>
      <c r="L1141">
        <v>0</v>
      </c>
      <c r="M1141" s="1">
        <f t="shared" si="35"/>
        <v>45929</v>
      </c>
      <c r="N1141" t="s">
        <v>1641</v>
      </c>
      <c r="O1141">
        <v>0</v>
      </c>
    </row>
    <row r="1142" spans="1:15">
      <c r="A1142" s="6" t="s">
        <v>14</v>
      </c>
      <c r="B1142" t="s">
        <v>15</v>
      </c>
      <c r="C1142" t="s">
        <v>24</v>
      </c>
      <c r="D1142" t="s">
        <v>25</v>
      </c>
      <c r="E1142" s="1">
        <v>45929</v>
      </c>
      <c r="F1142">
        <v>5</v>
      </c>
      <c r="G1142">
        <v>3465</v>
      </c>
      <c r="H1142">
        <v>92990</v>
      </c>
      <c r="I1142">
        <v>0</v>
      </c>
      <c r="J1142">
        <f t="shared" si="34"/>
        <v>92990</v>
      </c>
      <c r="K1142" t="s">
        <v>1640</v>
      </c>
      <c r="L1142">
        <v>3465</v>
      </c>
      <c r="M1142" s="1">
        <f t="shared" si="35"/>
        <v>45929</v>
      </c>
      <c r="N1142" t="s">
        <v>1641</v>
      </c>
      <c r="O1142">
        <v>0</v>
      </c>
    </row>
    <row r="1143" spans="1:15">
      <c r="A1143" s="6" t="s">
        <v>14</v>
      </c>
      <c r="B1143" t="s">
        <v>15</v>
      </c>
      <c r="C1143" t="s">
        <v>26</v>
      </c>
      <c r="D1143" t="s">
        <v>27</v>
      </c>
      <c r="E1143" s="1">
        <v>45929</v>
      </c>
      <c r="F1143">
        <v>5</v>
      </c>
      <c r="G1143">
        <v>2314</v>
      </c>
      <c r="H1143">
        <v>61372</v>
      </c>
      <c r="I1143">
        <v>0</v>
      </c>
      <c r="J1143">
        <f t="shared" si="34"/>
        <v>61372</v>
      </c>
      <c r="K1143" t="s">
        <v>1640</v>
      </c>
      <c r="L1143">
        <v>2314</v>
      </c>
      <c r="M1143" s="1">
        <f t="shared" si="35"/>
        <v>45929</v>
      </c>
      <c r="N1143" t="s">
        <v>1641</v>
      </c>
      <c r="O1143">
        <v>0</v>
      </c>
    </row>
    <row r="1144" spans="1:15">
      <c r="A1144" s="6" t="s">
        <v>14</v>
      </c>
      <c r="B1144" t="s">
        <v>15</v>
      </c>
      <c r="C1144" t="s">
        <v>34</v>
      </c>
      <c r="D1144" t="s">
        <v>35</v>
      </c>
      <c r="E1144" s="1">
        <v>45929</v>
      </c>
      <c r="F1144">
        <v>5</v>
      </c>
      <c r="G1144">
        <v>3709.8</v>
      </c>
      <c r="H1144">
        <v>109806</v>
      </c>
      <c r="I1144">
        <v>0</v>
      </c>
      <c r="J1144">
        <f t="shared" si="34"/>
        <v>109806</v>
      </c>
      <c r="K1144" t="s">
        <v>1640</v>
      </c>
      <c r="L1144">
        <v>3709.8</v>
      </c>
      <c r="M1144" s="1">
        <f t="shared" si="35"/>
        <v>45929</v>
      </c>
      <c r="N1144" t="s">
        <v>1641</v>
      </c>
      <c r="O1144">
        <v>0</v>
      </c>
    </row>
    <row r="1145" spans="1:15">
      <c r="A1145" s="6" t="s">
        <v>14</v>
      </c>
      <c r="B1145" t="s">
        <v>15</v>
      </c>
      <c r="C1145" t="s">
        <v>77</v>
      </c>
      <c r="D1145" t="s">
        <v>78</v>
      </c>
      <c r="E1145" s="1">
        <v>45929</v>
      </c>
      <c r="F1145">
        <v>5</v>
      </c>
      <c r="G1145">
        <v>4165</v>
      </c>
      <c r="H1145">
        <v>78585</v>
      </c>
      <c r="I1145">
        <v>0</v>
      </c>
      <c r="J1145">
        <f t="shared" si="34"/>
        <v>78585</v>
      </c>
      <c r="K1145" t="s">
        <v>1640</v>
      </c>
      <c r="L1145">
        <v>4165</v>
      </c>
      <c r="M1145" s="1">
        <f t="shared" si="35"/>
        <v>45929</v>
      </c>
      <c r="N1145" t="s">
        <v>1641</v>
      </c>
      <c r="O1145">
        <v>0</v>
      </c>
    </row>
    <row r="1146" spans="1:15">
      <c r="A1146" s="6" t="s">
        <v>14</v>
      </c>
      <c r="B1146" t="s">
        <v>15</v>
      </c>
      <c r="C1146" t="s">
        <v>96</v>
      </c>
      <c r="D1146" t="s">
        <v>97</v>
      </c>
      <c r="E1146" s="1">
        <v>45929</v>
      </c>
      <c r="F1146">
        <v>5</v>
      </c>
      <c r="G1146">
        <v>5740</v>
      </c>
      <c r="H1146">
        <v>105000</v>
      </c>
      <c r="I1146">
        <v>0</v>
      </c>
      <c r="J1146">
        <f t="shared" si="34"/>
        <v>105000</v>
      </c>
      <c r="K1146" t="s">
        <v>1640</v>
      </c>
      <c r="L1146">
        <v>5740</v>
      </c>
      <c r="M1146" s="1">
        <f t="shared" si="35"/>
        <v>45929</v>
      </c>
      <c r="N1146" t="s">
        <v>1641</v>
      </c>
      <c r="O1146">
        <v>0</v>
      </c>
    </row>
    <row r="1147" spans="1:15">
      <c r="A1147" s="6" t="s">
        <v>14</v>
      </c>
      <c r="B1147" t="s">
        <v>15</v>
      </c>
      <c r="C1147" t="s">
        <v>98</v>
      </c>
      <c r="D1147" t="s">
        <v>99</v>
      </c>
      <c r="E1147" s="1">
        <v>45929</v>
      </c>
      <c r="F1147">
        <v>5</v>
      </c>
      <c r="G1147">
        <v>5214</v>
      </c>
      <c r="H1147">
        <v>95275</v>
      </c>
      <c r="I1147">
        <v>0</v>
      </c>
      <c r="J1147">
        <f t="shared" si="34"/>
        <v>95275</v>
      </c>
      <c r="K1147" t="s">
        <v>1640</v>
      </c>
      <c r="L1147">
        <v>5214</v>
      </c>
      <c r="M1147" s="1">
        <f t="shared" si="35"/>
        <v>45929</v>
      </c>
      <c r="N1147" t="s">
        <v>1641</v>
      </c>
      <c r="O1147">
        <v>0</v>
      </c>
    </row>
    <row r="1148" spans="1:15">
      <c r="A1148" s="6" t="s">
        <v>14</v>
      </c>
      <c r="B1148" t="s">
        <v>15</v>
      </c>
      <c r="C1148" t="s">
        <v>133</v>
      </c>
      <c r="D1148" t="s">
        <v>134</v>
      </c>
      <c r="E1148" s="1">
        <v>45929</v>
      </c>
      <c r="F1148">
        <v>5</v>
      </c>
      <c r="G1148">
        <v>3150</v>
      </c>
      <c r="H1148">
        <v>93833</v>
      </c>
      <c r="I1148">
        <v>0</v>
      </c>
      <c r="J1148">
        <f t="shared" si="34"/>
        <v>93833</v>
      </c>
      <c r="K1148" t="s">
        <v>1640</v>
      </c>
      <c r="L1148">
        <v>3150</v>
      </c>
      <c r="M1148" s="1">
        <f t="shared" si="35"/>
        <v>45929</v>
      </c>
      <c r="N1148" t="s">
        <v>1641</v>
      </c>
      <c r="O1148">
        <v>0</v>
      </c>
    </row>
    <row r="1149" spans="1:15">
      <c r="A1149" s="6" t="s">
        <v>14</v>
      </c>
      <c r="B1149" t="s">
        <v>15</v>
      </c>
      <c r="C1149" t="s">
        <v>250</v>
      </c>
      <c r="D1149" t="s">
        <v>251</v>
      </c>
      <c r="E1149" s="1">
        <v>45929</v>
      </c>
      <c r="F1149">
        <v>5</v>
      </c>
      <c r="G1149">
        <v>3432</v>
      </c>
      <c r="H1149">
        <v>120000</v>
      </c>
      <c r="I1149">
        <v>0</v>
      </c>
      <c r="J1149">
        <f t="shared" si="34"/>
        <v>120000</v>
      </c>
      <c r="K1149" t="s">
        <v>1640</v>
      </c>
      <c r="L1149">
        <v>3432</v>
      </c>
      <c r="M1149" s="1">
        <f t="shared" si="35"/>
        <v>45929</v>
      </c>
      <c r="N1149" t="s">
        <v>1641</v>
      </c>
      <c r="O1149">
        <v>0</v>
      </c>
    </row>
    <row r="1150" spans="1:15">
      <c r="A1150" s="6" t="s">
        <v>14</v>
      </c>
      <c r="B1150" t="s">
        <v>15</v>
      </c>
      <c r="C1150" t="s">
        <v>312</v>
      </c>
      <c r="D1150" t="s">
        <v>313</v>
      </c>
      <c r="E1150" s="1">
        <v>45929</v>
      </c>
      <c r="F1150">
        <v>5</v>
      </c>
      <c r="G1150">
        <v>1782</v>
      </c>
      <c r="H1150">
        <v>52000</v>
      </c>
      <c r="I1150">
        <v>0</v>
      </c>
      <c r="J1150">
        <f t="shared" si="34"/>
        <v>52000</v>
      </c>
      <c r="K1150" t="s">
        <v>1640</v>
      </c>
      <c r="L1150">
        <v>1782</v>
      </c>
      <c r="M1150" s="1">
        <f t="shared" si="35"/>
        <v>45929</v>
      </c>
      <c r="N1150" t="s">
        <v>1641</v>
      </c>
      <c r="O1150">
        <v>0</v>
      </c>
    </row>
    <row r="1151" spans="1:15">
      <c r="A1151" s="6" t="s">
        <v>14</v>
      </c>
      <c r="B1151" t="s">
        <v>15</v>
      </c>
      <c r="C1151" t="s">
        <v>314</v>
      </c>
      <c r="D1151" t="s">
        <v>315</v>
      </c>
      <c r="E1151" s="1">
        <v>45929</v>
      </c>
      <c r="F1151">
        <v>5</v>
      </c>
      <c r="G1151">
        <v>3710</v>
      </c>
      <c r="H1151">
        <v>106791.67</v>
      </c>
      <c r="I1151">
        <v>0</v>
      </c>
      <c r="J1151">
        <f t="shared" si="34"/>
        <v>106791.67</v>
      </c>
      <c r="K1151" t="s">
        <v>1640</v>
      </c>
      <c r="L1151">
        <v>3710</v>
      </c>
      <c r="M1151" s="1">
        <f t="shared" si="35"/>
        <v>45929</v>
      </c>
      <c r="N1151" t="s">
        <v>1641</v>
      </c>
      <c r="O1151">
        <v>0</v>
      </c>
    </row>
    <row r="1152" spans="1:15">
      <c r="A1152" s="6" t="s">
        <v>14</v>
      </c>
      <c r="B1152" t="s">
        <v>15</v>
      </c>
      <c r="C1152" t="s">
        <v>316</v>
      </c>
      <c r="D1152" t="s">
        <v>317</v>
      </c>
      <c r="E1152" s="1">
        <v>45929</v>
      </c>
      <c r="F1152">
        <v>5</v>
      </c>
      <c r="G1152">
        <v>2790</v>
      </c>
      <c r="H1152">
        <v>77507.5</v>
      </c>
      <c r="I1152">
        <v>0</v>
      </c>
      <c r="J1152">
        <f t="shared" si="34"/>
        <v>77507.5</v>
      </c>
      <c r="K1152" t="s">
        <v>1640</v>
      </c>
      <c r="L1152">
        <v>2790</v>
      </c>
      <c r="M1152" s="1">
        <f t="shared" si="35"/>
        <v>45929</v>
      </c>
      <c r="N1152" t="s">
        <v>1641</v>
      </c>
      <c r="O1152">
        <v>0</v>
      </c>
    </row>
    <row r="1153" spans="1:15">
      <c r="A1153" s="6" t="s">
        <v>14</v>
      </c>
      <c r="B1153" t="s">
        <v>15</v>
      </c>
      <c r="C1153" t="s">
        <v>336</v>
      </c>
      <c r="D1153" t="s">
        <v>337</v>
      </c>
      <c r="E1153" s="1">
        <v>45929</v>
      </c>
      <c r="F1153">
        <v>5</v>
      </c>
      <c r="G1153">
        <v>2400</v>
      </c>
      <c r="H1153">
        <v>44000</v>
      </c>
      <c r="I1153">
        <v>0</v>
      </c>
      <c r="J1153">
        <f t="shared" si="34"/>
        <v>44000</v>
      </c>
      <c r="K1153" t="s">
        <v>1640</v>
      </c>
      <c r="L1153">
        <v>2400</v>
      </c>
      <c r="M1153" s="1">
        <f t="shared" si="35"/>
        <v>45929</v>
      </c>
      <c r="N1153" t="s">
        <v>1641</v>
      </c>
      <c r="O1153">
        <v>0</v>
      </c>
    </row>
    <row r="1154" spans="1:15">
      <c r="A1154" s="6" t="s">
        <v>14</v>
      </c>
      <c r="B1154" t="s">
        <v>15</v>
      </c>
      <c r="C1154" t="s">
        <v>344</v>
      </c>
      <c r="D1154" t="s">
        <v>345</v>
      </c>
      <c r="E1154" s="1">
        <v>45929</v>
      </c>
      <c r="F1154">
        <v>5</v>
      </c>
      <c r="G1154">
        <v>4230</v>
      </c>
      <c r="H1154">
        <v>119000</v>
      </c>
      <c r="I1154">
        <v>0</v>
      </c>
      <c r="J1154">
        <f t="shared" si="34"/>
        <v>119000</v>
      </c>
      <c r="K1154" t="s">
        <v>1640</v>
      </c>
      <c r="L1154">
        <v>4230</v>
      </c>
      <c r="M1154" s="1">
        <f t="shared" si="35"/>
        <v>45929</v>
      </c>
      <c r="N1154" t="s">
        <v>1641</v>
      </c>
      <c r="O1154">
        <v>0</v>
      </c>
    </row>
    <row r="1155" spans="1:15">
      <c r="A1155" s="6" t="s">
        <v>14</v>
      </c>
      <c r="B1155" t="s">
        <v>15</v>
      </c>
      <c r="C1155" t="s">
        <v>481</v>
      </c>
      <c r="D1155" t="s">
        <v>482</v>
      </c>
      <c r="E1155" s="1">
        <v>45929</v>
      </c>
      <c r="F1155">
        <v>5</v>
      </c>
      <c r="G1155">
        <v>4636</v>
      </c>
      <c r="H1155">
        <v>141000</v>
      </c>
      <c r="I1155">
        <v>0</v>
      </c>
      <c r="J1155">
        <f t="shared" ref="J1155:J1161" si="36">H1155-I1155</f>
        <v>141000</v>
      </c>
      <c r="K1155" t="s">
        <v>1640</v>
      </c>
      <c r="L1155">
        <v>4636</v>
      </c>
      <c r="M1155" s="1">
        <f t="shared" ref="M1155:M1161" si="37">E1155</f>
        <v>45929</v>
      </c>
      <c r="N1155" t="s">
        <v>1641</v>
      </c>
      <c r="O1155">
        <v>0</v>
      </c>
    </row>
    <row r="1156" spans="1:15">
      <c r="A1156" s="6" t="s">
        <v>14</v>
      </c>
      <c r="B1156" t="s">
        <v>15</v>
      </c>
      <c r="C1156" t="s">
        <v>20</v>
      </c>
      <c r="D1156" t="s">
        <v>21</v>
      </c>
      <c r="E1156" s="1">
        <v>45929</v>
      </c>
      <c r="F1156">
        <v>6</v>
      </c>
      <c r="G1156">
        <v>6885</v>
      </c>
      <c r="H1156">
        <v>94060</v>
      </c>
      <c r="I1156">
        <v>0</v>
      </c>
      <c r="J1156">
        <f t="shared" si="36"/>
        <v>94060</v>
      </c>
      <c r="K1156" t="s">
        <v>1640</v>
      </c>
      <c r="L1156">
        <v>6885</v>
      </c>
      <c r="M1156" s="1">
        <f t="shared" si="37"/>
        <v>45929</v>
      </c>
      <c r="N1156" t="s">
        <v>1641</v>
      </c>
      <c r="O1156">
        <v>0</v>
      </c>
    </row>
    <row r="1157" spans="1:15">
      <c r="A1157" s="6" t="s">
        <v>14</v>
      </c>
      <c r="B1157" t="s">
        <v>15</v>
      </c>
      <c r="C1157" t="s">
        <v>24</v>
      </c>
      <c r="D1157" t="s">
        <v>25</v>
      </c>
      <c r="E1157" s="1">
        <v>45929</v>
      </c>
      <c r="F1157">
        <v>6</v>
      </c>
      <c r="G1157">
        <v>3465</v>
      </c>
      <c r="H1157">
        <v>92990</v>
      </c>
      <c r="I1157">
        <v>0</v>
      </c>
      <c r="J1157">
        <f t="shared" si="36"/>
        <v>92990</v>
      </c>
      <c r="K1157" t="s">
        <v>1640</v>
      </c>
      <c r="L1157">
        <v>3465</v>
      </c>
      <c r="M1157" s="1">
        <f t="shared" si="37"/>
        <v>45929</v>
      </c>
      <c r="N1157" t="s">
        <v>1641</v>
      </c>
      <c r="O1157">
        <v>0</v>
      </c>
    </row>
    <row r="1158" spans="1:15">
      <c r="A1158" s="6" t="s">
        <v>14</v>
      </c>
      <c r="B1158" t="s">
        <v>15</v>
      </c>
      <c r="C1158" t="s">
        <v>312</v>
      </c>
      <c r="D1158" t="s">
        <v>313</v>
      </c>
      <c r="E1158" s="1">
        <v>45929</v>
      </c>
      <c r="F1158">
        <v>6</v>
      </c>
      <c r="G1158">
        <v>1782</v>
      </c>
      <c r="H1158">
        <v>52000</v>
      </c>
      <c r="I1158">
        <v>0</v>
      </c>
      <c r="J1158">
        <f t="shared" si="36"/>
        <v>52000</v>
      </c>
      <c r="K1158" t="s">
        <v>1640</v>
      </c>
      <c r="L1158">
        <v>1782</v>
      </c>
      <c r="M1158" s="1">
        <f t="shared" si="37"/>
        <v>45929</v>
      </c>
      <c r="N1158" t="s">
        <v>1641</v>
      </c>
      <c r="O1158">
        <v>0</v>
      </c>
    </row>
    <row r="1159" spans="1:15">
      <c r="A1159" s="6" t="s">
        <v>14</v>
      </c>
      <c r="B1159" t="s">
        <v>15</v>
      </c>
      <c r="C1159" t="s">
        <v>316</v>
      </c>
      <c r="D1159" t="s">
        <v>317</v>
      </c>
      <c r="E1159" s="1">
        <v>45929</v>
      </c>
      <c r="F1159">
        <v>6</v>
      </c>
      <c r="G1159">
        <v>2790</v>
      </c>
      <c r="H1159">
        <v>77507.5</v>
      </c>
      <c r="I1159">
        <v>0</v>
      </c>
      <c r="J1159">
        <f t="shared" si="36"/>
        <v>77507.5</v>
      </c>
      <c r="K1159" t="s">
        <v>1640</v>
      </c>
      <c r="L1159">
        <v>2790</v>
      </c>
      <c r="M1159" s="1">
        <f t="shared" si="37"/>
        <v>45929</v>
      </c>
      <c r="N1159" t="s">
        <v>1641</v>
      </c>
      <c r="O1159">
        <v>0</v>
      </c>
    </row>
    <row r="1160" spans="1:15">
      <c r="A1160" s="6" t="s">
        <v>14</v>
      </c>
      <c r="B1160" t="s">
        <v>15</v>
      </c>
      <c r="C1160" t="s">
        <v>20</v>
      </c>
      <c r="D1160" t="s">
        <v>21</v>
      </c>
      <c r="E1160" s="1">
        <v>45929</v>
      </c>
      <c r="F1160">
        <v>7</v>
      </c>
      <c r="G1160">
        <v>6885</v>
      </c>
      <c r="H1160">
        <v>94060</v>
      </c>
      <c r="I1160">
        <v>0</v>
      </c>
      <c r="J1160">
        <f t="shared" si="36"/>
        <v>94060</v>
      </c>
      <c r="K1160" t="s">
        <v>1640</v>
      </c>
      <c r="L1160">
        <v>6885</v>
      </c>
      <c r="M1160" s="1">
        <f t="shared" si="37"/>
        <v>45929</v>
      </c>
      <c r="N1160" t="s">
        <v>1641</v>
      </c>
      <c r="O1160">
        <v>0</v>
      </c>
    </row>
    <row r="1161" spans="1:15">
      <c r="A1161" s="6" t="s">
        <v>14</v>
      </c>
      <c r="B1161" t="s">
        <v>15</v>
      </c>
      <c r="C1161" t="s">
        <v>20</v>
      </c>
      <c r="D1161" t="s">
        <v>21</v>
      </c>
      <c r="E1161" s="1">
        <v>45929</v>
      </c>
      <c r="F1161">
        <v>8</v>
      </c>
      <c r="G1161">
        <v>6885</v>
      </c>
      <c r="H1161">
        <v>94060</v>
      </c>
      <c r="I1161">
        <v>0</v>
      </c>
      <c r="J1161">
        <f t="shared" si="36"/>
        <v>94060</v>
      </c>
      <c r="K1161" t="s">
        <v>1640</v>
      </c>
      <c r="L1161">
        <v>6885</v>
      </c>
      <c r="M1161" s="1">
        <f t="shared" si="37"/>
        <v>45929</v>
      </c>
      <c r="N1161" t="s">
        <v>1641</v>
      </c>
      <c r="O116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6"/>
  <sheetViews>
    <sheetView topLeftCell="C1" workbookViewId="0">
      <selection sqref="A1:N1"/>
    </sheetView>
  </sheetViews>
  <sheetFormatPr baseColWidth="10" defaultColWidth="9" defaultRowHeight="14"/>
  <cols>
    <col min="1" max="1" width="10.83203125" customWidth="1"/>
    <col min="2" max="2" width="29.6640625" customWidth="1"/>
    <col min="3" max="3" width="18.1640625" customWidth="1"/>
    <col min="4" max="4" width="13.6640625" customWidth="1"/>
    <col min="5" max="5" width="17.1640625" customWidth="1"/>
    <col min="6" max="6" width="8.83203125" customWidth="1"/>
    <col min="7" max="8" width="17.1640625" customWidth="1"/>
    <col min="9" max="10" width="15" customWidth="1"/>
    <col min="11" max="11" width="12.83203125" customWidth="1"/>
    <col min="12" max="12" width="17.1640625" customWidth="1"/>
    <col min="13" max="14" width="12.8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28</v>
      </c>
      <c r="D2" t="s">
        <v>29</v>
      </c>
      <c r="E2" s="8">
        <v>45933</v>
      </c>
      <c r="F2">
        <v>2</v>
      </c>
      <c r="G2">
        <v>4160</v>
      </c>
      <c r="H2">
        <v>74642</v>
      </c>
      <c r="I2">
        <v>8320</v>
      </c>
      <c r="J2">
        <v>66322</v>
      </c>
      <c r="K2" t="s">
        <v>1635</v>
      </c>
      <c r="L2">
        <v>4160</v>
      </c>
      <c r="M2" s="7" t="s">
        <v>1636</v>
      </c>
      <c r="N2">
        <v>0</v>
      </c>
    </row>
    <row r="3" spans="1:14">
      <c r="A3">
        <v>1</v>
      </c>
      <c r="B3" t="s">
        <v>15</v>
      </c>
      <c r="C3" t="s">
        <v>36</v>
      </c>
      <c r="D3" t="s">
        <v>37</v>
      </c>
      <c r="E3" s="8">
        <v>45933</v>
      </c>
      <c r="F3">
        <v>2</v>
      </c>
      <c r="G3">
        <v>3200</v>
      </c>
      <c r="H3">
        <v>93677</v>
      </c>
      <c r="I3">
        <v>6400</v>
      </c>
      <c r="J3">
        <v>87277</v>
      </c>
      <c r="K3" t="s">
        <v>1635</v>
      </c>
      <c r="L3">
        <v>3200</v>
      </c>
      <c r="M3" s="7" t="s">
        <v>1636</v>
      </c>
      <c r="N3">
        <v>0</v>
      </c>
    </row>
    <row r="4" spans="1:14">
      <c r="A4">
        <v>1</v>
      </c>
      <c r="B4" t="s">
        <v>15</v>
      </c>
      <c r="C4" t="s">
        <v>48</v>
      </c>
      <c r="D4" t="s">
        <v>49</v>
      </c>
      <c r="E4" s="8">
        <v>45933</v>
      </c>
      <c r="F4">
        <v>2</v>
      </c>
      <c r="G4">
        <v>4625</v>
      </c>
      <c r="H4">
        <v>166113</v>
      </c>
      <c r="I4">
        <v>9250</v>
      </c>
      <c r="J4">
        <v>156863</v>
      </c>
      <c r="K4" t="s">
        <v>1635</v>
      </c>
      <c r="L4">
        <v>4625</v>
      </c>
      <c r="M4" s="7" t="s">
        <v>1636</v>
      </c>
      <c r="N4">
        <v>0</v>
      </c>
    </row>
    <row r="5" spans="1:14">
      <c r="A5">
        <v>1</v>
      </c>
      <c r="B5" t="s">
        <v>15</v>
      </c>
      <c r="C5" t="s">
        <v>51</v>
      </c>
      <c r="D5" t="s">
        <v>52</v>
      </c>
      <c r="E5" s="8">
        <v>45933</v>
      </c>
      <c r="F5">
        <v>2</v>
      </c>
      <c r="G5">
        <v>5035</v>
      </c>
      <c r="H5">
        <v>149000</v>
      </c>
      <c r="I5">
        <v>10070</v>
      </c>
      <c r="J5">
        <v>138930</v>
      </c>
      <c r="K5" t="s">
        <v>1635</v>
      </c>
      <c r="L5">
        <v>5035</v>
      </c>
      <c r="M5" s="7" t="s">
        <v>1636</v>
      </c>
      <c r="N5">
        <v>0</v>
      </c>
    </row>
    <row r="6" spans="1:14">
      <c r="A6">
        <v>1</v>
      </c>
      <c r="B6" t="s">
        <v>15</v>
      </c>
      <c r="C6" t="s">
        <v>272</v>
      </c>
      <c r="D6" t="s">
        <v>273</v>
      </c>
      <c r="E6" s="8">
        <v>45933</v>
      </c>
      <c r="F6">
        <v>2</v>
      </c>
      <c r="G6">
        <v>5160</v>
      </c>
      <c r="H6">
        <v>95000</v>
      </c>
      <c r="I6">
        <v>9560</v>
      </c>
      <c r="J6">
        <v>85440</v>
      </c>
      <c r="K6" t="s">
        <v>1635</v>
      </c>
      <c r="L6">
        <v>5160</v>
      </c>
      <c r="M6" s="7" t="s">
        <v>1636</v>
      </c>
      <c r="N6">
        <v>0</v>
      </c>
    </row>
    <row r="7" spans="1:14">
      <c r="A7">
        <v>1</v>
      </c>
      <c r="B7" t="s">
        <v>15</v>
      </c>
      <c r="C7" t="s">
        <v>453</v>
      </c>
      <c r="D7" t="s">
        <v>454</v>
      </c>
      <c r="E7" s="8">
        <v>45940</v>
      </c>
      <c r="F7">
        <v>2</v>
      </c>
      <c r="G7">
        <v>1155</v>
      </c>
      <c r="H7">
        <v>20000</v>
      </c>
      <c r="I7">
        <v>2310</v>
      </c>
      <c r="J7">
        <v>17690</v>
      </c>
      <c r="K7" t="s">
        <v>1635</v>
      </c>
      <c r="L7">
        <v>1155</v>
      </c>
      <c r="M7" s="7" t="s">
        <v>1636</v>
      </c>
      <c r="N7">
        <v>0</v>
      </c>
    </row>
    <row r="8" spans="1:14">
      <c r="A8">
        <v>1</v>
      </c>
      <c r="B8" t="s">
        <v>15</v>
      </c>
      <c r="C8" t="s">
        <v>479</v>
      </c>
      <c r="D8" t="s">
        <v>480</v>
      </c>
      <c r="E8" s="8">
        <v>45933</v>
      </c>
      <c r="F8">
        <v>2</v>
      </c>
      <c r="G8">
        <v>1118</v>
      </c>
      <c r="H8">
        <v>19456</v>
      </c>
      <c r="I8">
        <v>2236</v>
      </c>
      <c r="J8">
        <v>17220</v>
      </c>
      <c r="K8" t="s">
        <v>1635</v>
      </c>
      <c r="L8">
        <v>1118</v>
      </c>
      <c r="M8" s="7" t="s">
        <v>1636</v>
      </c>
      <c r="N8">
        <v>0</v>
      </c>
    </row>
    <row r="9" spans="1:14">
      <c r="A9">
        <v>1</v>
      </c>
      <c r="B9" t="s">
        <v>15</v>
      </c>
      <c r="C9" t="s">
        <v>537</v>
      </c>
      <c r="D9" t="s">
        <v>538</v>
      </c>
      <c r="E9" s="8">
        <v>45933</v>
      </c>
      <c r="F9">
        <v>2</v>
      </c>
      <c r="G9">
        <v>3472</v>
      </c>
      <c r="H9">
        <v>106500</v>
      </c>
      <c r="I9">
        <v>5902</v>
      </c>
      <c r="J9">
        <v>100598</v>
      </c>
      <c r="K9" t="s">
        <v>1635</v>
      </c>
      <c r="L9">
        <v>3472</v>
      </c>
      <c r="M9" s="7" t="s">
        <v>1636</v>
      </c>
      <c r="N9">
        <v>0</v>
      </c>
    </row>
    <row r="10" spans="1:14">
      <c r="A10">
        <v>1</v>
      </c>
      <c r="B10" t="s">
        <v>15</v>
      </c>
      <c r="C10" t="s">
        <v>566</v>
      </c>
      <c r="D10" t="s">
        <v>567</v>
      </c>
      <c r="E10" s="8">
        <v>45940</v>
      </c>
      <c r="F10">
        <v>2</v>
      </c>
      <c r="G10">
        <v>3822</v>
      </c>
      <c r="H10">
        <v>110923</v>
      </c>
      <c r="I10">
        <v>7644</v>
      </c>
      <c r="J10">
        <v>103279</v>
      </c>
      <c r="K10" t="s">
        <v>1635</v>
      </c>
      <c r="L10">
        <v>3822</v>
      </c>
      <c r="M10" s="7" t="s">
        <v>1636</v>
      </c>
      <c r="N10">
        <v>0</v>
      </c>
    </row>
    <row r="11" spans="1:14">
      <c r="A11">
        <v>1</v>
      </c>
      <c r="B11" t="s">
        <v>15</v>
      </c>
      <c r="C11" t="s">
        <v>588</v>
      </c>
      <c r="D11" t="s">
        <v>589</v>
      </c>
      <c r="E11" s="8">
        <v>45933</v>
      </c>
      <c r="F11">
        <v>2</v>
      </c>
      <c r="G11">
        <v>6624</v>
      </c>
      <c r="H11">
        <v>192989</v>
      </c>
      <c r="I11">
        <v>13248</v>
      </c>
      <c r="J11">
        <v>179741</v>
      </c>
      <c r="K11" t="s">
        <v>1635</v>
      </c>
      <c r="L11">
        <v>6624</v>
      </c>
      <c r="M11" s="7" t="s">
        <v>1636</v>
      </c>
      <c r="N11">
        <v>0</v>
      </c>
    </row>
    <row r="12" spans="1:14">
      <c r="A12">
        <v>1</v>
      </c>
      <c r="B12" t="s">
        <v>15</v>
      </c>
      <c r="C12" t="s">
        <v>644</v>
      </c>
      <c r="D12" t="s">
        <v>645</v>
      </c>
      <c r="E12" s="8">
        <v>45933</v>
      </c>
      <c r="F12">
        <v>2</v>
      </c>
      <c r="G12">
        <v>864</v>
      </c>
      <c r="H12">
        <v>15000</v>
      </c>
      <c r="I12">
        <v>1728</v>
      </c>
      <c r="J12">
        <v>13272</v>
      </c>
      <c r="K12" t="s">
        <v>1635</v>
      </c>
      <c r="L12">
        <v>864</v>
      </c>
      <c r="M12" s="7" t="s">
        <v>1636</v>
      </c>
      <c r="N12">
        <v>0</v>
      </c>
    </row>
    <row r="13" spans="1:14">
      <c r="A13">
        <v>1</v>
      </c>
      <c r="B13" t="s">
        <v>15</v>
      </c>
      <c r="C13" t="s">
        <v>673</v>
      </c>
      <c r="D13" t="s">
        <v>674</v>
      </c>
      <c r="E13" s="8">
        <v>45940</v>
      </c>
      <c r="F13">
        <v>2</v>
      </c>
      <c r="G13">
        <v>5292</v>
      </c>
      <c r="H13">
        <v>161888</v>
      </c>
      <c r="I13">
        <v>9112</v>
      </c>
      <c r="J13">
        <v>152776</v>
      </c>
      <c r="K13" t="s">
        <v>1635</v>
      </c>
      <c r="L13">
        <v>5292</v>
      </c>
      <c r="M13" s="7" t="s">
        <v>1636</v>
      </c>
      <c r="N13">
        <v>0</v>
      </c>
    </row>
    <row r="14" spans="1:14">
      <c r="A14">
        <v>1</v>
      </c>
      <c r="B14" t="s">
        <v>15</v>
      </c>
      <c r="C14" t="s">
        <v>721</v>
      </c>
      <c r="D14" t="s">
        <v>722</v>
      </c>
      <c r="E14" s="8">
        <v>45933</v>
      </c>
      <c r="F14">
        <v>2</v>
      </c>
      <c r="G14">
        <v>4263</v>
      </c>
      <c r="H14">
        <v>122888</v>
      </c>
      <c r="I14">
        <v>7378</v>
      </c>
      <c r="J14">
        <v>115510</v>
      </c>
      <c r="K14" t="s">
        <v>1635</v>
      </c>
      <c r="L14">
        <v>4263</v>
      </c>
      <c r="M14" s="7" t="s">
        <v>1636</v>
      </c>
      <c r="N14">
        <v>0</v>
      </c>
    </row>
    <row r="15" spans="1:14">
      <c r="A15">
        <v>1</v>
      </c>
      <c r="B15" t="s">
        <v>15</v>
      </c>
      <c r="C15" t="s">
        <v>753</v>
      </c>
      <c r="D15" t="s">
        <v>754</v>
      </c>
      <c r="E15" s="8">
        <v>45933</v>
      </c>
      <c r="F15">
        <v>2</v>
      </c>
      <c r="G15">
        <v>7150</v>
      </c>
      <c r="H15">
        <v>212390</v>
      </c>
      <c r="I15">
        <v>11550</v>
      </c>
      <c r="J15">
        <v>200840</v>
      </c>
      <c r="K15" t="s">
        <v>1635</v>
      </c>
      <c r="L15">
        <v>7150</v>
      </c>
      <c r="M15" s="7" t="s">
        <v>1636</v>
      </c>
      <c r="N15">
        <v>0</v>
      </c>
    </row>
    <row r="16" spans="1:14">
      <c r="A16">
        <v>1</v>
      </c>
      <c r="B16" t="s">
        <v>15</v>
      </c>
      <c r="C16" t="s">
        <v>755</v>
      </c>
      <c r="D16" t="s">
        <v>756</v>
      </c>
      <c r="E16" s="8">
        <v>45933</v>
      </c>
      <c r="F16">
        <v>2</v>
      </c>
      <c r="G16">
        <v>4346</v>
      </c>
      <c r="H16">
        <v>129820</v>
      </c>
      <c r="I16">
        <v>6516</v>
      </c>
      <c r="J16">
        <v>123304</v>
      </c>
      <c r="K16" t="s">
        <v>1635</v>
      </c>
      <c r="L16">
        <v>4346</v>
      </c>
      <c r="M16" s="7" t="s">
        <v>1636</v>
      </c>
      <c r="N16">
        <v>0</v>
      </c>
    </row>
    <row r="17" spans="1:14">
      <c r="A17">
        <v>1</v>
      </c>
      <c r="B17" t="s">
        <v>15</v>
      </c>
      <c r="C17" t="s">
        <v>759</v>
      </c>
      <c r="D17" t="s">
        <v>760</v>
      </c>
      <c r="E17" s="8">
        <v>45940</v>
      </c>
      <c r="F17">
        <v>2</v>
      </c>
      <c r="G17">
        <v>3075</v>
      </c>
      <c r="H17">
        <v>89698</v>
      </c>
      <c r="I17">
        <v>6150</v>
      </c>
      <c r="J17">
        <v>83548</v>
      </c>
      <c r="K17" t="s">
        <v>1635</v>
      </c>
      <c r="L17">
        <v>3075</v>
      </c>
      <c r="M17" s="7" t="s">
        <v>1636</v>
      </c>
      <c r="N17">
        <v>0</v>
      </c>
    </row>
    <row r="18" spans="1:14">
      <c r="A18">
        <v>1</v>
      </c>
      <c r="B18" t="s">
        <v>15</v>
      </c>
      <c r="C18" t="s">
        <v>763</v>
      </c>
      <c r="D18" t="s">
        <v>764</v>
      </c>
      <c r="E18" s="8">
        <v>45933</v>
      </c>
      <c r="F18">
        <v>2</v>
      </c>
      <c r="G18">
        <v>3402</v>
      </c>
      <c r="H18">
        <v>103000</v>
      </c>
      <c r="I18">
        <v>5562</v>
      </c>
      <c r="J18">
        <v>97438</v>
      </c>
      <c r="K18" t="s">
        <v>1635</v>
      </c>
      <c r="L18">
        <v>3402</v>
      </c>
      <c r="M18" s="7" t="s">
        <v>1636</v>
      </c>
      <c r="N18">
        <v>0</v>
      </c>
    </row>
    <row r="19" spans="1:14">
      <c r="A19">
        <v>1</v>
      </c>
      <c r="B19" t="s">
        <v>15</v>
      </c>
      <c r="C19" t="s">
        <v>767</v>
      </c>
      <c r="D19" t="s">
        <v>768</v>
      </c>
      <c r="E19" s="8">
        <v>45940</v>
      </c>
      <c r="F19">
        <v>2</v>
      </c>
      <c r="G19">
        <v>4576</v>
      </c>
      <c r="H19">
        <v>138000</v>
      </c>
      <c r="I19">
        <v>6656</v>
      </c>
      <c r="J19">
        <v>131344</v>
      </c>
      <c r="K19" t="s">
        <v>1635</v>
      </c>
      <c r="L19">
        <v>4576</v>
      </c>
      <c r="M19" s="7" t="s">
        <v>1636</v>
      </c>
      <c r="N19">
        <v>0</v>
      </c>
    </row>
    <row r="20" spans="1:14">
      <c r="A20">
        <v>1</v>
      </c>
      <c r="B20" t="s">
        <v>15</v>
      </c>
      <c r="C20" t="s">
        <v>782</v>
      </c>
      <c r="D20" t="s">
        <v>783</v>
      </c>
      <c r="E20" s="8">
        <v>45933</v>
      </c>
      <c r="F20">
        <v>2</v>
      </c>
      <c r="G20">
        <v>4400</v>
      </c>
      <c r="H20">
        <v>81000</v>
      </c>
      <c r="I20">
        <v>6400</v>
      </c>
      <c r="J20">
        <v>74600</v>
      </c>
      <c r="K20" t="s">
        <v>1635</v>
      </c>
      <c r="L20">
        <v>4400</v>
      </c>
      <c r="M20" s="7" t="s">
        <v>1636</v>
      </c>
      <c r="N20">
        <v>0</v>
      </c>
    </row>
    <row r="21" spans="1:14">
      <c r="A21">
        <v>1</v>
      </c>
      <c r="B21" t="s">
        <v>15</v>
      </c>
      <c r="C21" t="s">
        <v>786</v>
      </c>
      <c r="D21" t="s">
        <v>787</v>
      </c>
      <c r="E21" s="8">
        <v>45933</v>
      </c>
      <c r="F21">
        <v>2</v>
      </c>
      <c r="G21">
        <v>2790</v>
      </c>
      <c r="H21">
        <v>85000</v>
      </c>
      <c r="I21">
        <v>4590</v>
      </c>
      <c r="J21">
        <v>80410</v>
      </c>
      <c r="K21" t="s">
        <v>1635</v>
      </c>
      <c r="L21">
        <v>2790</v>
      </c>
      <c r="M21" s="7" t="s">
        <v>1636</v>
      </c>
      <c r="N21">
        <v>0</v>
      </c>
    </row>
    <row r="22" spans="1:14">
      <c r="A22">
        <v>1</v>
      </c>
      <c r="B22" t="s">
        <v>15</v>
      </c>
      <c r="C22" t="s">
        <v>788</v>
      </c>
      <c r="D22" t="s">
        <v>789</v>
      </c>
      <c r="E22" s="8">
        <v>45933</v>
      </c>
      <c r="F22">
        <v>2</v>
      </c>
      <c r="G22">
        <v>3010</v>
      </c>
      <c r="H22">
        <v>87928</v>
      </c>
      <c r="I22">
        <v>4780</v>
      </c>
      <c r="J22">
        <v>83148</v>
      </c>
      <c r="K22" t="s">
        <v>1635</v>
      </c>
      <c r="L22">
        <v>3010</v>
      </c>
      <c r="M22" s="7" t="s">
        <v>1636</v>
      </c>
      <c r="N22">
        <v>0</v>
      </c>
    </row>
    <row r="23" spans="1:14">
      <c r="A23">
        <v>1</v>
      </c>
      <c r="B23" t="s">
        <v>15</v>
      </c>
      <c r="C23" t="s">
        <v>808</v>
      </c>
      <c r="D23" t="s">
        <v>809</v>
      </c>
      <c r="E23" s="8">
        <v>45933</v>
      </c>
      <c r="F23">
        <v>2</v>
      </c>
      <c r="G23">
        <v>2772</v>
      </c>
      <c r="H23">
        <v>84000</v>
      </c>
      <c r="I23">
        <v>4452</v>
      </c>
      <c r="J23">
        <v>79548</v>
      </c>
      <c r="K23" t="s">
        <v>1635</v>
      </c>
      <c r="L23">
        <v>2772</v>
      </c>
      <c r="M23" s="7" t="s">
        <v>1636</v>
      </c>
      <c r="N23">
        <v>0</v>
      </c>
    </row>
    <row r="24" spans="1:14">
      <c r="A24">
        <v>1</v>
      </c>
      <c r="B24" t="s">
        <v>15</v>
      </c>
      <c r="C24" t="s">
        <v>810</v>
      </c>
      <c r="D24" t="s">
        <v>811</v>
      </c>
      <c r="E24" s="8">
        <v>45933</v>
      </c>
      <c r="F24">
        <v>2</v>
      </c>
      <c r="G24">
        <v>4503</v>
      </c>
      <c r="H24">
        <v>128888</v>
      </c>
      <c r="I24">
        <v>6883</v>
      </c>
      <c r="J24">
        <v>122005</v>
      </c>
      <c r="K24" t="s">
        <v>1635</v>
      </c>
      <c r="L24">
        <v>4503</v>
      </c>
      <c r="M24" s="7" t="s">
        <v>1636</v>
      </c>
      <c r="N24">
        <v>0</v>
      </c>
    </row>
    <row r="25" spans="1:14">
      <c r="A25">
        <v>1</v>
      </c>
      <c r="B25" t="s">
        <v>15</v>
      </c>
      <c r="C25" t="s">
        <v>812</v>
      </c>
      <c r="D25" t="s">
        <v>813</v>
      </c>
      <c r="E25" s="8">
        <v>45933</v>
      </c>
      <c r="F25">
        <v>2</v>
      </c>
      <c r="G25">
        <v>3960</v>
      </c>
      <c r="H25">
        <v>98000</v>
      </c>
      <c r="I25">
        <v>5720</v>
      </c>
      <c r="J25">
        <v>92280</v>
      </c>
      <c r="K25" t="s">
        <v>1635</v>
      </c>
      <c r="L25">
        <v>3960</v>
      </c>
      <c r="M25" s="7" t="s">
        <v>1636</v>
      </c>
      <c r="N25">
        <v>0</v>
      </c>
    </row>
    <row r="26" spans="1:14">
      <c r="A26">
        <v>1</v>
      </c>
      <c r="B26" t="s">
        <v>15</v>
      </c>
      <c r="C26" t="s">
        <v>46</v>
      </c>
      <c r="D26" t="s">
        <v>47</v>
      </c>
      <c r="E26" s="8">
        <v>45933</v>
      </c>
      <c r="F26">
        <v>3</v>
      </c>
      <c r="G26">
        <v>1334</v>
      </c>
      <c r="H26">
        <v>39593</v>
      </c>
      <c r="I26">
        <v>4002</v>
      </c>
      <c r="J26">
        <v>35591</v>
      </c>
      <c r="K26" t="s">
        <v>1635</v>
      </c>
      <c r="L26">
        <v>1334</v>
      </c>
      <c r="M26" s="7" t="s">
        <v>1636</v>
      </c>
      <c r="N26">
        <v>0</v>
      </c>
    </row>
    <row r="27" spans="1:14">
      <c r="A27">
        <v>1</v>
      </c>
      <c r="B27" t="s">
        <v>15</v>
      </c>
      <c r="C27" t="s">
        <v>59</v>
      </c>
      <c r="D27" t="s">
        <v>60</v>
      </c>
      <c r="E27" s="8">
        <v>45933</v>
      </c>
      <c r="F27">
        <v>3</v>
      </c>
      <c r="G27">
        <v>4897</v>
      </c>
      <c r="H27">
        <v>87339</v>
      </c>
      <c r="I27">
        <v>13734.99</v>
      </c>
      <c r="J27">
        <v>73604.009999999995</v>
      </c>
      <c r="K27" t="s">
        <v>1635</v>
      </c>
      <c r="L27">
        <v>4897</v>
      </c>
      <c r="M27" s="7" t="s">
        <v>1636</v>
      </c>
      <c r="N27">
        <v>0</v>
      </c>
    </row>
    <row r="28" spans="1:14">
      <c r="A28">
        <v>1</v>
      </c>
      <c r="B28" t="s">
        <v>15</v>
      </c>
      <c r="C28" t="s">
        <v>115</v>
      </c>
      <c r="D28" t="s">
        <v>116</v>
      </c>
      <c r="E28" s="8">
        <v>45933</v>
      </c>
      <c r="F28">
        <v>3</v>
      </c>
      <c r="G28">
        <v>4335</v>
      </c>
      <c r="H28">
        <v>80000</v>
      </c>
      <c r="I28">
        <v>12070</v>
      </c>
      <c r="J28">
        <v>67930</v>
      </c>
      <c r="K28" t="s">
        <v>1635</v>
      </c>
      <c r="L28">
        <v>4335</v>
      </c>
      <c r="M28" s="7" t="s">
        <v>1636</v>
      </c>
      <c r="N28">
        <v>0</v>
      </c>
    </row>
    <row r="29" spans="1:14">
      <c r="A29">
        <v>1</v>
      </c>
      <c r="B29" t="s">
        <v>15</v>
      </c>
      <c r="C29" t="s">
        <v>163</v>
      </c>
      <c r="D29" t="s">
        <v>164</v>
      </c>
      <c r="E29" s="8">
        <v>45933</v>
      </c>
      <c r="F29">
        <v>3</v>
      </c>
      <c r="G29">
        <v>2964</v>
      </c>
      <c r="H29">
        <v>97065</v>
      </c>
      <c r="I29">
        <v>8414.67</v>
      </c>
      <c r="J29">
        <v>88650.33</v>
      </c>
      <c r="K29" t="s">
        <v>1635</v>
      </c>
      <c r="L29">
        <v>2964</v>
      </c>
      <c r="M29" s="7" t="s">
        <v>1636</v>
      </c>
      <c r="N29">
        <v>0</v>
      </c>
    </row>
    <row r="30" spans="1:14">
      <c r="A30">
        <v>1</v>
      </c>
      <c r="B30" t="s">
        <v>15</v>
      </c>
      <c r="C30" t="s">
        <v>165</v>
      </c>
      <c r="D30" t="s">
        <v>166</v>
      </c>
      <c r="E30" s="8">
        <v>45933</v>
      </c>
      <c r="F30">
        <v>3</v>
      </c>
      <c r="G30">
        <v>4235</v>
      </c>
      <c r="H30">
        <v>128998</v>
      </c>
      <c r="I30">
        <v>10578.33</v>
      </c>
      <c r="J30">
        <v>118419.67</v>
      </c>
      <c r="K30" t="s">
        <v>1635</v>
      </c>
      <c r="L30">
        <v>4235</v>
      </c>
      <c r="M30" s="7" t="s">
        <v>1636</v>
      </c>
      <c r="N30">
        <v>0</v>
      </c>
    </row>
    <row r="31" spans="1:14">
      <c r="A31">
        <v>1</v>
      </c>
      <c r="B31" t="s">
        <v>15</v>
      </c>
      <c r="C31" t="s">
        <v>189</v>
      </c>
      <c r="D31" t="s">
        <v>190</v>
      </c>
      <c r="E31" s="8">
        <v>45933</v>
      </c>
      <c r="F31">
        <v>3</v>
      </c>
      <c r="G31">
        <v>3750</v>
      </c>
      <c r="H31">
        <v>88000</v>
      </c>
      <c r="I31">
        <v>11250</v>
      </c>
      <c r="J31">
        <v>76750</v>
      </c>
      <c r="K31" t="s">
        <v>1635</v>
      </c>
      <c r="L31">
        <v>3750</v>
      </c>
      <c r="M31" s="7" t="s">
        <v>1636</v>
      </c>
      <c r="N31">
        <v>0</v>
      </c>
    </row>
    <row r="32" spans="1:14">
      <c r="A32">
        <v>1</v>
      </c>
      <c r="B32" t="s">
        <v>15</v>
      </c>
      <c r="C32" t="s">
        <v>199</v>
      </c>
      <c r="D32" t="s">
        <v>200</v>
      </c>
      <c r="E32" s="8">
        <v>45940</v>
      </c>
      <c r="F32">
        <v>3</v>
      </c>
      <c r="G32">
        <v>4080</v>
      </c>
      <c r="H32">
        <v>79275</v>
      </c>
      <c r="I32">
        <v>11110</v>
      </c>
      <c r="J32">
        <v>68165</v>
      </c>
      <c r="K32" t="s">
        <v>1635</v>
      </c>
      <c r="L32">
        <v>4080</v>
      </c>
      <c r="M32" s="7" t="s">
        <v>1636</v>
      </c>
      <c r="N32">
        <v>0</v>
      </c>
    </row>
    <row r="33" spans="1:14">
      <c r="A33">
        <v>1</v>
      </c>
      <c r="B33" t="s">
        <v>15</v>
      </c>
      <c r="C33" t="s">
        <v>205</v>
      </c>
      <c r="D33" t="s">
        <v>206</v>
      </c>
      <c r="E33" s="8">
        <v>45933</v>
      </c>
      <c r="F33">
        <v>3</v>
      </c>
      <c r="G33">
        <v>5805</v>
      </c>
      <c r="H33">
        <v>172980</v>
      </c>
      <c r="I33">
        <v>15810</v>
      </c>
      <c r="J33">
        <v>157170</v>
      </c>
      <c r="K33" t="s">
        <v>1635</v>
      </c>
      <c r="L33">
        <v>5805</v>
      </c>
      <c r="M33" s="7" t="s">
        <v>1636</v>
      </c>
      <c r="N33">
        <v>0</v>
      </c>
    </row>
    <row r="34" spans="1:14">
      <c r="A34">
        <v>1</v>
      </c>
      <c r="B34" t="s">
        <v>15</v>
      </c>
      <c r="C34" t="s">
        <v>209</v>
      </c>
      <c r="D34" t="s">
        <v>210</v>
      </c>
      <c r="E34" s="8">
        <v>45933</v>
      </c>
      <c r="F34">
        <v>3</v>
      </c>
      <c r="G34">
        <v>5760</v>
      </c>
      <c r="H34">
        <v>187000</v>
      </c>
      <c r="I34">
        <v>16636.669999999998</v>
      </c>
      <c r="J34">
        <v>170363.33</v>
      </c>
      <c r="K34" t="s">
        <v>1635</v>
      </c>
      <c r="L34">
        <v>5760</v>
      </c>
      <c r="M34" s="7" t="s">
        <v>1636</v>
      </c>
      <c r="N34">
        <v>0</v>
      </c>
    </row>
    <row r="35" spans="1:14">
      <c r="A35">
        <v>1</v>
      </c>
      <c r="B35" t="s">
        <v>15</v>
      </c>
      <c r="C35" t="s">
        <v>227</v>
      </c>
      <c r="D35" t="s">
        <v>228</v>
      </c>
      <c r="E35" s="8">
        <v>45933</v>
      </c>
      <c r="F35">
        <v>3</v>
      </c>
      <c r="G35">
        <v>2652</v>
      </c>
      <c r="H35">
        <v>79976</v>
      </c>
      <c r="I35">
        <v>7956</v>
      </c>
      <c r="J35">
        <v>72020</v>
      </c>
      <c r="K35" t="s">
        <v>1635</v>
      </c>
      <c r="L35">
        <v>2652</v>
      </c>
      <c r="M35" s="7" t="s">
        <v>1636</v>
      </c>
      <c r="N35">
        <v>0</v>
      </c>
    </row>
    <row r="36" spans="1:14">
      <c r="A36">
        <v>1</v>
      </c>
      <c r="B36" t="s">
        <v>15</v>
      </c>
      <c r="C36" t="s">
        <v>231</v>
      </c>
      <c r="D36" t="s">
        <v>232</v>
      </c>
      <c r="E36" s="8">
        <v>45933</v>
      </c>
      <c r="F36">
        <v>3</v>
      </c>
      <c r="G36">
        <v>3920</v>
      </c>
      <c r="H36">
        <v>75800</v>
      </c>
      <c r="I36">
        <v>10323.33</v>
      </c>
      <c r="J36">
        <v>65476.67</v>
      </c>
      <c r="K36" t="s">
        <v>1635</v>
      </c>
      <c r="L36">
        <v>3920</v>
      </c>
      <c r="M36" s="7" t="s">
        <v>1636</v>
      </c>
      <c r="N36">
        <v>0</v>
      </c>
    </row>
    <row r="37" spans="1:14">
      <c r="A37">
        <v>1</v>
      </c>
      <c r="B37" t="s">
        <v>15</v>
      </c>
      <c r="C37" t="s">
        <v>234</v>
      </c>
      <c r="D37" t="s">
        <v>235</v>
      </c>
      <c r="E37" s="8">
        <v>45940</v>
      </c>
      <c r="F37">
        <v>3</v>
      </c>
      <c r="G37">
        <v>2850</v>
      </c>
      <c r="H37">
        <v>85800</v>
      </c>
      <c r="I37">
        <v>8450</v>
      </c>
      <c r="J37">
        <v>77350</v>
      </c>
      <c r="K37" t="s">
        <v>1635</v>
      </c>
      <c r="L37">
        <v>2850</v>
      </c>
      <c r="M37" s="7" t="s">
        <v>1636</v>
      </c>
      <c r="N37">
        <v>0</v>
      </c>
    </row>
    <row r="38" spans="1:14">
      <c r="A38">
        <v>1</v>
      </c>
      <c r="B38" t="s">
        <v>15</v>
      </c>
      <c r="C38" t="s">
        <v>244</v>
      </c>
      <c r="D38" t="s">
        <v>245</v>
      </c>
      <c r="E38" s="8">
        <v>45933</v>
      </c>
      <c r="F38">
        <v>3</v>
      </c>
      <c r="G38">
        <v>6952</v>
      </c>
      <c r="H38">
        <v>120000</v>
      </c>
      <c r="I38">
        <v>17574</v>
      </c>
      <c r="J38">
        <v>102426</v>
      </c>
      <c r="K38" t="s">
        <v>1635</v>
      </c>
      <c r="L38">
        <v>6952</v>
      </c>
      <c r="M38" s="7" t="s">
        <v>1636</v>
      </c>
      <c r="N38">
        <v>0</v>
      </c>
    </row>
    <row r="39" spans="1:14">
      <c r="A39">
        <v>1</v>
      </c>
      <c r="B39" t="s">
        <v>15</v>
      </c>
      <c r="C39" t="s">
        <v>246</v>
      </c>
      <c r="D39" t="s">
        <v>247</v>
      </c>
      <c r="E39" s="8">
        <v>45933</v>
      </c>
      <c r="F39">
        <v>3</v>
      </c>
      <c r="G39">
        <v>2756</v>
      </c>
      <c r="H39">
        <v>83985</v>
      </c>
      <c r="I39">
        <v>7418.67</v>
      </c>
      <c r="J39">
        <v>76566.33</v>
      </c>
      <c r="K39" t="s">
        <v>1635</v>
      </c>
      <c r="L39">
        <v>2756</v>
      </c>
      <c r="M39" s="7" t="s">
        <v>1636</v>
      </c>
      <c r="N39">
        <v>0</v>
      </c>
    </row>
    <row r="40" spans="1:14">
      <c r="A40">
        <v>1</v>
      </c>
      <c r="B40" t="s">
        <v>15</v>
      </c>
      <c r="C40" t="s">
        <v>256</v>
      </c>
      <c r="D40" t="s">
        <v>257</v>
      </c>
      <c r="E40" s="8">
        <v>45933</v>
      </c>
      <c r="F40">
        <v>3</v>
      </c>
      <c r="G40">
        <v>3375</v>
      </c>
      <c r="H40">
        <v>105000</v>
      </c>
      <c r="I40">
        <v>10125</v>
      </c>
      <c r="J40">
        <v>94875</v>
      </c>
      <c r="K40" t="s">
        <v>1635</v>
      </c>
      <c r="L40">
        <v>3375</v>
      </c>
      <c r="M40" s="7" t="s">
        <v>1636</v>
      </c>
      <c r="N40">
        <v>0</v>
      </c>
    </row>
    <row r="41" spans="1:14">
      <c r="A41">
        <v>1</v>
      </c>
      <c r="B41" t="s">
        <v>15</v>
      </c>
      <c r="C41" t="s">
        <v>258</v>
      </c>
      <c r="D41" t="s">
        <v>259</v>
      </c>
      <c r="E41" s="8">
        <v>45933</v>
      </c>
      <c r="F41">
        <v>3</v>
      </c>
      <c r="G41">
        <v>4307</v>
      </c>
      <c r="H41">
        <v>79553</v>
      </c>
      <c r="I41">
        <v>11290.67</v>
      </c>
      <c r="J41">
        <v>68262.33</v>
      </c>
      <c r="K41" t="s">
        <v>1635</v>
      </c>
      <c r="L41">
        <v>4307</v>
      </c>
      <c r="M41" s="7" t="s">
        <v>1636</v>
      </c>
      <c r="N41">
        <v>0</v>
      </c>
    </row>
    <row r="42" spans="1:14">
      <c r="A42">
        <v>1</v>
      </c>
      <c r="B42" t="s">
        <v>15</v>
      </c>
      <c r="C42" t="s">
        <v>268</v>
      </c>
      <c r="D42" t="s">
        <v>269</v>
      </c>
      <c r="E42" s="8">
        <v>45940</v>
      </c>
      <c r="F42">
        <v>3</v>
      </c>
      <c r="G42">
        <v>3990</v>
      </c>
      <c r="H42">
        <v>73000</v>
      </c>
      <c r="I42">
        <v>10663.33</v>
      </c>
      <c r="J42">
        <v>62336.67</v>
      </c>
      <c r="K42" t="s">
        <v>1635</v>
      </c>
      <c r="L42">
        <v>3990</v>
      </c>
      <c r="M42" s="7" t="s">
        <v>1636</v>
      </c>
      <c r="N42">
        <v>0</v>
      </c>
    </row>
    <row r="43" spans="1:14">
      <c r="A43">
        <v>1</v>
      </c>
      <c r="B43" t="s">
        <v>15</v>
      </c>
      <c r="C43" t="s">
        <v>270</v>
      </c>
      <c r="D43" t="s">
        <v>271</v>
      </c>
      <c r="E43" s="8">
        <v>45940</v>
      </c>
      <c r="F43">
        <v>3</v>
      </c>
      <c r="G43">
        <v>4872</v>
      </c>
      <c r="H43">
        <v>121733</v>
      </c>
      <c r="I43">
        <v>13224</v>
      </c>
      <c r="J43">
        <v>108509</v>
      </c>
      <c r="K43" t="s">
        <v>1635</v>
      </c>
      <c r="L43">
        <v>4872</v>
      </c>
      <c r="M43" s="7" t="s">
        <v>1636</v>
      </c>
      <c r="N43">
        <v>0</v>
      </c>
    </row>
    <row r="44" spans="1:14">
      <c r="A44">
        <v>1</v>
      </c>
      <c r="B44" t="s">
        <v>15</v>
      </c>
      <c r="C44" t="s">
        <v>274</v>
      </c>
      <c r="D44" t="s">
        <v>275</v>
      </c>
      <c r="E44" s="8">
        <v>45940</v>
      </c>
      <c r="F44">
        <v>3</v>
      </c>
      <c r="G44">
        <v>2400</v>
      </c>
      <c r="H44">
        <v>73000</v>
      </c>
      <c r="I44">
        <v>7000</v>
      </c>
      <c r="J44">
        <v>66000</v>
      </c>
      <c r="K44" t="s">
        <v>1635</v>
      </c>
      <c r="L44">
        <v>2400</v>
      </c>
      <c r="M44" s="7" t="s">
        <v>1636</v>
      </c>
      <c r="N44">
        <v>0</v>
      </c>
    </row>
    <row r="45" spans="1:14">
      <c r="A45">
        <v>1</v>
      </c>
      <c r="B45" t="s">
        <v>15</v>
      </c>
      <c r="C45" t="s">
        <v>276</v>
      </c>
      <c r="D45" t="s">
        <v>277</v>
      </c>
      <c r="E45" s="8">
        <v>45940</v>
      </c>
      <c r="F45">
        <v>3</v>
      </c>
      <c r="G45">
        <v>2960</v>
      </c>
      <c r="H45">
        <v>82751</v>
      </c>
      <c r="I45">
        <v>8880</v>
      </c>
      <c r="J45">
        <v>73871</v>
      </c>
      <c r="K45" t="s">
        <v>1635</v>
      </c>
      <c r="L45">
        <v>2960</v>
      </c>
      <c r="M45" s="7" t="s">
        <v>1636</v>
      </c>
      <c r="N45">
        <v>0</v>
      </c>
    </row>
    <row r="46" spans="1:14">
      <c r="A46">
        <v>1</v>
      </c>
      <c r="B46" t="s">
        <v>15</v>
      </c>
      <c r="C46" t="s">
        <v>280</v>
      </c>
      <c r="D46" t="s">
        <v>281</v>
      </c>
      <c r="E46" s="8">
        <v>45933</v>
      </c>
      <c r="F46">
        <v>3</v>
      </c>
      <c r="G46">
        <v>3180</v>
      </c>
      <c r="H46">
        <v>95000</v>
      </c>
      <c r="I46">
        <v>8441.67</v>
      </c>
      <c r="J46">
        <v>86558.33</v>
      </c>
      <c r="K46" t="s">
        <v>1635</v>
      </c>
      <c r="L46">
        <v>3180</v>
      </c>
      <c r="M46" s="7" t="s">
        <v>1636</v>
      </c>
      <c r="N46">
        <v>0</v>
      </c>
    </row>
    <row r="47" spans="1:14">
      <c r="A47">
        <v>1</v>
      </c>
      <c r="B47" t="s">
        <v>15</v>
      </c>
      <c r="C47" t="s">
        <v>282</v>
      </c>
      <c r="D47" t="s">
        <v>283</v>
      </c>
      <c r="E47" s="8">
        <v>45933</v>
      </c>
      <c r="F47">
        <v>3</v>
      </c>
      <c r="G47">
        <v>2432</v>
      </c>
      <c r="H47">
        <v>73000</v>
      </c>
      <c r="I47">
        <v>7296</v>
      </c>
      <c r="J47">
        <v>65704</v>
      </c>
      <c r="K47" t="s">
        <v>1635</v>
      </c>
      <c r="L47">
        <v>2432</v>
      </c>
      <c r="M47" s="7" t="s">
        <v>1636</v>
      </c>
      <c r="N47">
        <v>0</v>
      </c>
    </row>
    <row r="48" spans="1:14">
      <c r="A48">
        <v>1</v>
      </c>
      <c r="B48" t="s">
        <v>15</v>
      </c>
      <c r="C48" t="s">
        <v>286</v>
      </c>
      <c r="D48" t="s">
        <v>287</v>
      </c>
      <c r="E48" s="8">
        <v>45933</v>
      </c>
      <c r="F48">
        <v>3</v>
      </c>
      <c r="G48">
        <v>2835</v>
      </c>
      <c r="H48">
        <v>85900</v>
      </c>
      <c r="I48">
        <v>8505</v>
      </c>
      <c r="J48">
        <v>77395</v>
      </c>
      <c r="K48" t="s">
        <v>1635</v>
      </c>
      <c r="L48">
        <v>2835</v>
      </c>
      <c r="M48" s="7" t="s">
        <v>1636</v>
      </c>
      <c r="N48">
        <v>0</v>
      </c>
    </row>
    <row r="49" spans="1:14">
      <c r="A49">
        <v>1</v>
      </c>
      <c r="B49" t="s">
        <v>15</v>
      </c>
      <c r="C49" t="s">
        <v>288</v>
      </c>
      <c r="D49" t="s">
        <v>289</v>
      </c>
      <c r="E49" s="8">
        <v>45940</v>
      </c>
      <c r="F49">
        <v>3</v>
      </c>
      <c r="G49">
        <v>4692</v>
      </c>
      <c r="H49">
        <v>85000</v>
      </c>
      <c r="I49">
        <v>12079</v>
      </c>
      <c r="J49">
        <v>72921</v>
      </c>
      <c r="K49" t="s">
        <v>1635</v>
      </c>
      <c r="L49">
        <v>4692</v>
      </c>
      <c r="M49" s="7" t="s">
        <v>1636</v>
      </c>
      <c r="N49">
        <v>0</v>
      </c>
    </row>
    <row r="50" spans="1:14">
      <c r="A50">
        <v>1</v>
      </c>
      <c r="B50" t="s">
        <v>15</v>
      </c>
      <c r="C50" t="s">
        <v>290</v>
      </c>
      <c r="D50" t="s">
        <v>291</v>
      </c>
      <c r="E50" s="8">
        <v>45940</v>
      </c>
      <c r="F50">
        <v>3</v>
      </c>
      <c r="G50">
        <v>2520</v>
      </c>
      <c r="H50">
        <v>79600</v>
      </c>
      <c r="I50">
        <v>6840</v>
      </c>
      <c r="J50">
        <v>72760</v>
      </c>
      <c r="K50" t="s">
        <v>1635</v>
      </c>
      <c r="L50">
        <v>2520</v>
      </c>
      <c r="M50" s="7" t="s">
        <v>1636</v>
      </c>
      <c r="N50">
        <v>0</v>
      </c>
    </row>
    <row r="51" spans="1:14">
      <c r="A51">
        <v>1</v>
      </c>
      <c r="B51" t="s">
        <v>15</v>
      </c>
      <c r="C51" t="s">
        <v>294</v>
      </c>
      <c r="D51" t="s">
        <v>295</v>
      </c>
      <c r="E51" s="8">
        <v>45940</v>
      </c>
      <c r="F51">
        <v>3</v>
      </c>
      <c r="G51">
        <v>4824</v>
      </c>
      <c r="H51">
        <v>89000</v>
      </c>
      <c r="I51">
        <v>12408</v>
      </c>
      <c r="J51">
        <v>76592</v>
      </c>
      <c r="K51" t="s">
        <v>1635</v>
      </c>
      <c r="L51">
        <v>4824</v>
      </c>
      <c r="M51" s="7" t="s">
        <v>1636</v>
      </c>
      <c r="N51">
        <v>0</v>
      </c>
    </row>
    <row r="52" spans="1:14">
      <c r="A52">
        <v>1</v>
      </c>
      <c r="B52" t="s">
        <v>15</v>
      </c>
      <c r="C52" t="s">
        <v>296</v>
      </c>
      <c r="D52" t="s">
        <v>297</v>
      </c>
      <c r="E52" s="8">
        <v>45940</v>
      </c>
      <c r="F52">
        <v>3</v>
      </c>
      <c r="G52">
        <v>2970</v>
      </c>
      <c r="H52">
        <v>82153</v>
      </c>
      <c r="I52">
        <v>8910</v>
      </c>
      <c r="J52">
        <v>73243</v>
      </c>
      <c r="K52" t="s">
        <v>1635</v>
      </c>
      <c r="L52">
        <v>2970</v>
      </c>
      <c r="M52" s="7" t="s">
        <v>1636</v>
      </c>
      <c r="N52">
        <v>0</v>
      </c>
    </row>
    <row r="53" spans="1:14">
      <c r="A53">
        <v>1</v>
      </c>
      <c r="B53" t="s">
        <v>15</v>
      </c>
      <c r="C53" t="s">
        <v>304</v>
      </c>
      <c r="D53" t="s">
        <v>305</v>
      </c>
      <c r="E53" s="8">
        <v>45940</v>
      </c>
      <c r="F53">
        <v>3</v>
      </c>
      <c r="G53">
        <v>2470</v>
      </c>
      <c r="H53">
        <v>74000</v>
      </c>
      <c r="I53">
        <v>7410</v>
      </c>
      <c r="J53">
        <v>66590</v>
      </c>
      <c r="K53" t="s">
        <v>1635</v>
      </c>
      <c r="L53">
        <v>2470</v>
      </c>
      <c r="M53" s="7" t="s">
        <v>1636</v>
      </c>
      <c r="N53">
        <v>0</v>
      </c>
    </row>
    <row r="54" spans="1:14">
      <c r="A54">
        <v>1</v>
      </c>
      <c r="B54" t="s">
        <v>15</v>
      </c>
      <c r="C54" t="s">
        <v>320</v>
      </c>
      <c r="D54" t="s">
        <v>321</v>
      </c>
      <c r="E54" s="8">
        <v>45940</v>
      </c>
      <c r="F54">
        <v>3</v>
      </c>
      <c r="G54">
        <v>2850</v>
      </c>
      <c r="H54">
        <v>85000</v>
      </c>
      <c r="I54">
        <v>8550</v>
      </c>
      <c r="J54">
        <v>76450</v>
      </c>
      <c r="K54" t="s">
        <v>1635</v>
      </c>
      <c r="L54">
        <v>2850</v>
      </c>
      <c r="M54" s="7" t="s">
        <v>1636</v>
      </c>
      <c r="N54">
        <v>0</v>
      </c>
    </row>
    <row r="55" spans="1:14">
      <c r="A55">
        <v>1</v>
      </c>
      <c r="B55" t="s">
        <v>15</v>
      </c>
      <c r="C55" t="s">
        <v>425</v>
      </c>
      <c r="D55" t="s">
        <v>426</v>
      </c>
      <c r="E55" s="8">
        <v>45933</v>
      </c>
      <c r="F55">
        <v>3</v>
      </c>
      <c r="G55">
        <v>2714</v>
      </c>
      <c r="H55">
        <v>89000</v>
      </c>
      <c r="I55">
        <v>7268</v>
      </c>
      <c r="J55">
        <v>81732</v>
      </c>
      <c r="K55" t="s">
        <v>1635</v>
      </c>
      <c r="L55">
        <v>2714</v>
      </c>
      <c r="M55" s="7" t="s">
        <v>1636</v>
      </c>
      <c r="N55">
        <v>0</v>
      </c>
    </row>
    <row r="56" spans="1:14">
      <c r="A56">
        <v>1</v>
      </c>
      <c r="B56" t="s">
        <v>15</v>
      </c>
      <c r="C56" t="s">
        <v>455</v>
      </c>
      <c r="D56" t="s">
        <v>456</v>
      </c>
      <c r="E56" s="8">
        <v>45940</v>
      </c>
      <c r="F56">
        <v>3</v>
      </c>
      <c r="G56">
        <v>2665</v>
      </c>
      <c r="H56">
        <v>96000</v>
      </c>
      <c r="I56">
        <v>7930</v>
      </c>
      <c r="J56">
        <v>88070</v>
      </c>
      <c r="K56" t="s">
        <v>1635</v>
      </c>
      <c r="L56">
        <v>2665</v>
      </c>
      <c r="M56" s="7" t="s">
        <v>1636</v>
      </c>
      <c r="N56">
        <v>0</v>
      </c>
    </row>
    <row r="57" spans="1:14">
      <c r="A57">
        <v>1</v>
      </c>
      <c r="B57" t="s">
        <v>15</v>
      </c>
      <c r="C57" t="s">
        <v>550</v>
      </c>
      <c r="D57" t="s">
        <v>551</v>
      </c>
      <c r="E57" s="8">
        <v>45940</v>
      </c>
      <c r="F57">
        <v>3</v>
      </c>
      <c r="G57">
        <v>1178</v>
      </c>
      <c r="H57">
        <v>20715</v>
      </c>
      <c r="I57">
        <v>3534</v>
      </c>
      <c r="J57">
        <v>17181</v>
      </c>
      <c r="K57" t="s">
        <v>1635</v>
      </c>
      <c r="L57">
        <v>1178</v>
      </c>
      <c r="M57" s="7" t="s">
        <v>1636</v>
      </c>
      <c r="N57">
        <v>0</v>
      </c>
    </row>
    <row r="58" spans="1:14">
      <c r="A58">
        <v>1</v>
      </c>
      <c r="B58" t="s">
        <v>15</v>
      </c>
      <c r="C58" t="s">
        <v>556</v>
      </c>
      <c r="D58" t="s">
        <v>557</v>
      </c>
      <c r="E58" s="8">
        <v>45933</v>
      </c>
      <c r="F58">
        <v>3</v>
      </c>
      <c r="G58">
        <v>3050</v>
      </c>
      <c r="H58">
        <v>91016</v>
      </c>
      <c r="I58">
        <v>8100</v>
      </c>
      <c r="J58">
        <v>82916</v>
      </c>
      <c r="K58" t="s">
        <v>1635</v>
      </c>
      <c r="L58">
        <v>3050</v>
      </c>
      <c r="M58" s="7" t="s">
        <v>1636</v>
      </c>
      <c r="N58">
        <v>0</v>
      </c>
    </row>
    <row r="59" spans="1:14">
      <c r="A59">
        <v>1</v>
      </c>
      <c r="B59" t="s">
        <v>15</v>
      </c>
      <c r="C59" t="s">
        <v>564</v>
      </c>
      <c r="D59" t="s">
        <v>565</v>
      </c>
      <c r="E59" s="8">
        <v>45933</v>
      </c>
      <c r="F59">
        <v>3</v>
      </c>
      <c r="G59">
        <v>1560</v>
      </c>
      <c r="H59">
        <v>27722</v>
      </c>
      <c r="I59">
        <v>4680</v>
      </c>
      <c r="J59">
        <v>23042</v>
      </c>
      <c r="K59" t="s">
        <v>1635</v>
      </c>
      <c r="L59">
        <v>1560</v>
      </c>
      <c r="M59" s="7" t="s">
        <v>1636</v>
      </c>
      <c r="N59">
        <v>0</v>
      </c>
    </row>
    <row r="60" spans="1:14">
      <c r="A60">
        <v>1</v>
      </c>
      <c r="B60" t="s">
        <v>15</v>
      </c>
      <c r="C60" t="s">
        <v>569</v>
      </c>
      <c r="D60" t="s">
        <v>570</v>
      </c>
      <c r="E60" s="8">
        <v>45940</v>
      </c>
      <c r="F60">
        <v>3</v>
      </c>
      <c r="G60">
        <v>3285</v>
      </c>
      <c r="H60">
        <v>100000</v>
      </c>
      <c r="I60">
        <v>8370</v>
      </c>
      <c r="J60">
        <v>91630</v>
      </c>
      <c r="K60" t="s">
        <v>1635</v>
      </c>
      <c r="L60">
        <v>3285</v>
      </c>
      <c r="M60" s="7" t="s">
        <v>1636</v>
      </c>
      <c r="N60">
        <v>0</v>
      </c>
    </row>
    <row r="61" spans="1:14">
      <c r="A61">
        <v>1</v>
      </c>
      <c r="B61" t="s">
        <v>15</v>
      </c>
      <c r="C61" t="s">
        <v>602</v>
      </c>
      <c r="D61" t="s">
        <v>603</v>
      </c>
      <c r="E61" s="8">
        <v>45933</v>
      </c>
      <c r="F61">
        <v>3</v>
      </c>
      <c r="G61">
        <v>2814</v>
      </c>
      <c r="H61">
        <v>95414</v>
      </c>
      <c r="I61">
        <v>8442</v>
      </c>
      <c r="J61">
        <v>86972</v>
      </c>
      <c r="K61" t="s">
        <v>1635</v>
      </c>
      <c r="L61">
        <v>2814</v>
      </c>
      <c r="M61" s="7" t="s">
        <v>1636</v>
      </c>
      <c r="N61">
        <v>0</v>
      </c>
    </row>
    <row r="62" spans="1:14">
      <c r="A62">
        <v>1</v>
      </c>
      <c r="B62" t="s">
        <v>15</v>
      </c>
      <c r="C62" t="s">
        <v>604</v>
      </c>
      <c r="D62" t="s">
        <v>605</v>
      </c>
      <c r="E62" s="8">
        <v>45940</v>
      </c>
      <c r="F62">
        <v>3</v>
      </c>
      <c r="G62">
        <v>1380</v>
      </c>
      <c r="H62">
        <v>26555</v>
      </c>
      <c r="I62">
        <v>4140</v>
      </c>
      <c r="J62">
        <v>22415</v>
      </c>
      <c r="K62" t="s">
        <v>1635</v>
      </c>
      <c r="L62">
        <v>1380</v>
      </c>
      <c r="M62" s="7" t="s">
        <v>1636</v>
      </c>
      <c r="N62">
        <v>0</v>
      </c>
    </row>
    <row r="63" spans="1:14">
      <c r="A63">
        <v>1</v>
      </c>
      <c r="B63" t="s">
        <v>15</v>
      </c>
      <c r="C63" t="s">
        <v>611</v>
      </c>
      <c r="D63" t="s">
        <v>612</v>
      </c>
      <c r="E63" s="8">
        <v>45933</v>
      </c>
      <c r="F63">
        <v>3</v>
      </c>
      <c r="G63">
        <v>3034</v>
      </c>
      <c r="H63">
        <v>91593</v>
      </c>
      <c r="I63">
        <v>7708</v>
      </c>
      <c r="J63">
        <v>83885</v>
      </c>
      <c r="K63" t="s">
        <v>1635</v>
      </c>
      <c r="L63">
        <v>3034</v>
      </c>
      <c r="M63" s="7" t="s">
        <v>1636</v>
      </c>
      <c r="N63">
        <v>0</v>
      </c>
    </row>
    <row r="64" spans="1:14">
      <c r="A64">
        <v>1</v>
      </c>
      <c r="B64" t="s">
        <v>15</v>
      </c>
      <c r="C64" t="s">
        <v>613</v>
      </c>
      <c r="D64" t="s">
        <v>614</v>
      </c>
      <c r="E64" s="8">
        <v>45933</v>
      </c>
      <c r="F64">
        <v>3</v>
      </c>
      <c r="G64">
        <v>3278.5</v>
      </c>
      <c r="H64">
        <v>96397</v>
      </c>
      <c r="I64">
        <v>8267</v>
      </c>
      <c r="J64">
        <v>88130</v>
      </c>
      <c r="K64" t="s">
        <v>1635</v>
      </c>
      <c r="L64">
        <v>3278.5</v>
      </c>
      <c r="M64" s="7" t="s">
        <v>1636</v>
      </c>
      <c r="N64">
        <v>0</v>
      </c>
    </row>
    <row r="65" spans="1:14">
      <c r="A65">
        <v>1</v>
      </c>
      <c r="B65" t="s">
        <v>15</v>
      </c>
      <c r="C65" t="s">
        <v>628</v>
      </c>
      <c r="D65" t="s">
        <v>629</v>
      </c>
      <c r="E65" s="8">
        <v>45933</v>
      </c>
      <c r="F65">
        <v>3</v>
      </c>
      <c r="G65">
        <v>3640</v>
      </c>
      <c r="H65">
        <v>107767</v>
      </c>
      <c r="I65">
        <v>9360</v>
      </c>
      <c r="J65">
        <v>98407</v>
      </c>
      <c r="K65" t="s">
        <v>1635</v>
      </c>
      <c r="L65">
        <v>3640</v>
      </c>
      <c r="M65" s="7" t="s">
        <v>1636</v>
      </c>
      <c r="N65">
        <v>0</v>
      </c>
    </row>
    <row r="66" spans="1:14">
      <c r="A66">
        <v>1</v>
      </c>
      <c r="B66" t="s">
        <v>15</v>
      </c>
      <c r="C66" t="s">
        <v>653</v>
      </c>
      <c r="D66" t="s">
        <v>654</v>
      </c>
      <c r="E66" s="8">
        <v>45940</v>
      </c>
      <c r="F66">
        <v>3</v>
      </c>
      <c r="G66">
        <v>2756</v>
      </c>
      <c r="H66">
        <v>82697</v>
      </c>
      <c r="I66">
        <v>7592</v>
      </c>
      <c r="J66">
        <v>75105</v>
      </c>
      <c r="K66" t="s">
        <v>1635</v>
      </c>
      <c r="L66">
        <v>2756</v>
      </c>
      <c r="M66" s="7" t="s">
        <v>1636</v>
      </c>
      <c r="N66">
        <v>0</v>
      </c>
    </row>
    <row r="67" spans="1:14">
      <c r="A67">
        <v>1</v>
      </c>
      <c r="B67" t="s">
        <v>15</v>
      </c>
      <c r="C67" t="s">
        <v>657</v>
      </c>
      <c r="D67" t="s">
        <v>658</v>
      </c>
      <c r="E67" s="8">
        <v>45933</v>
      </c>
      <c r="F67">
        <v>3</v>
      </c>
      <c r="G67">
        <v>3834</v>
      </c>
      <c r="H67">
        <v>119100</v>
      </c>
      <c r="I67">
        <v>9828</v>
      </c>
      <c r="J67">
        <v>109272</v>
      </c>
      <c r="K67" t="s">
        <v>1635</v>
      </c>
      <c r="L67">
        <v>3834</v>
      </c>
      <c r="M67" s="7" t="s">
        <v>1636</v>
      </c>
      <c r="N67">
        <v>0</v>
      </c>
    </row>
    <row r="68" spans="1:14">
      <c r="A68">
        <v>1</v>
      </c>
      <c r="B68" t="s">
        <v>15</v>
      </c>
      <c r="C68" t="s">
        <v>686</v>
      </c>
      <c r="D68" t="s">
        <v>687</v>
      </c>
      <c r="E68" s="8">
        <v>45940</v>
      </c>
      <c r="F68">
        <v>3</v>
      </c>
      <c r="G68">
        <v>1488</v>
      </c>
      <c r="H68">
        <v>26555</v>
      </c>
      <c r="I68">
        <v>4464</v>
      </c>
      <c r="J68">
        <v>22091</v>
      </c>
      <c r="K68" t="s">
        <v>1635</v>
      </c>
      <c r="L68">
        <v>1488</v>
      </c>
      <c r="M68" s="7" t="s">
        <v>1636</v>
      </c>
      <c r="N68">
        <v>0</v>
      </c>
    </row>
    <row r="69" spans="1:14">
      <c r="A69">
        <v>1</v>
      </c>
      <c r="B69" t="s">
        <v>15</v>
      </c>
      <c r="C69" t="s">
        <v>688</v>
      </c>
      <c r="D69" t="s">
        <v>689</v>
      </c>
      <c r="E69" s="8">
        <v>45940</v>
      </c>
      <c r="F69">
        <v>3</v>
      </c>
      <c r="G69">
        <v>2937</v>
      </c>
      <c r="H69">
        <v>88800</v>
      </c>
      <c r="I69">
        <v>7194</v>
      </c>
      <c r="J69">
        <v>81606</v>
      </c>
      <c r="K69" t="s">
        <v>1635</v>
      </c>
      <c r="L69">
        <v>2937</v>
      </c>
      <c r="M69" s="7" t="s">
        <v>1636</v>
      </c>
      <c r="N69">
        <v>0</v>
      </c>
    </row>
    <row r="70" spans="1:14">
      <c r="A70">
        <v>1</v>
      </c>
      <c r="B70" t="s">
        <v>15</v>
      </c>
      <c r="C70" t="s">
        <v>692</v>
      </c>
      <c r="D70" t="s">
        <v>693</v>
      </c>
      <c r="E70" s="8">
        <v>45940</v>
      </c>
      <c r="F70">
        <v>3</v>
      </c>
      <c r="G70">
        <v>675</v>
      </c>
      <c r="H70">
        <v>16502</v>
      </c>
      <c r="I70">
        <v>2025</v>
      </c>
      <c r="J70">
        <v>14477</v>
      </c>
      <c r="K70" t="s">
        <v>1635</v>
      </c>
      <c r="L70">
        <v>675</v>
      </c>
      <c r="M70" s="7" t="s">
        <v>1636</v>
      </c>
      <c r="N70">
        <v>0</v>
      </c>
    </row>
    <row r="71" spans="1:14">
      <c r="A71">
        <v>1</v>
      </c>
      <c r="B71" t="s">
        <v>15</v>
      </c>
      <c r="C71" t="s">
        <v>696</v>
      </c>
      <c r="D71" t="s">
        <v>697</v>
      </c>
      <c r="E71" s="8">
        <v>45933</v>
      </c>
      <c r="F71">
        <v>3</v>
      </c>
      <c r="G71">
        <v>3116</v>
      </c>
      <c r="H71">
        <v>94000</v>
      </c>
      <c r="I71">
        <v>7872</v>
      </c>
      <c r="J71">
        <v>86128</v>
      </c>
      <c r="K71" t="s">
        <v>1635</v>
      </c>
      <c r="L71">
        <v>3116</v>
      </c>
      <c r="M71" s="7" t="s">
        <v>1636</v>
      </c>
      <c r="N71">
        <v>0</v>
      </c>
    </row>
    <row r="72" spans="1:14">
      <c r="A72">
        <v>1</v>
      </c>
      <c r="B72" t="s">
        <v>15</v>
      </c>
      <c r="C72" t="s">
        <v>702</v>
      </c>
      <c r="D72" t="s">
        <v>703</v>
      </c>
      <c r="E72" s="8">
        <v>45933</v>
      </c>
      <c r="F72">
        <v>3</v>
      </c>
      <c r="G72">
        <v>3486</v>
      </c>
      <c r="H72">
        <v>98800</v>
      </c>
      <c r="I72">
        <v>8752</v>
      </c>
      <c r="J72">
        <v>90048</v>
      </c>
      <c r="K72" t="s">
        <v>1635</v>
      </c>
      <c r="L72">
        <v>3486</v>
      </c>
      <c r="M72" s="7" t="s">
        <v>1636</v>
      </c>
      <c r="N72">
        <v>0</v>
      </c>
    </row>
    <row r="73" spans="1:14">
      <c r="A73">
        <v>1</v>
      </c>
      <c r="B73" t="s">
        <v>15</v>
      </c>
      <c r="C73" t="s">
        <v>704</v>
      </c>
      <c r="D73" t="s">
        <v>705</v>
      </c>
      <c r="E73" s="8">
        <v>45933</v>
      </c>
      <c r="F73">
        <v>3</v>
      </c>
      <c r="G73">
        <v>2520</v>
      </c>
      <c r="H73">
        <v>76656</v>
      </c>
      <c r="I73">
        <v>6840</v>
      </c>
      <c r="J73">
        <v>69816</v>
      </c>
      <c r="K73" t="s">
        <v>1635</v>
      </c>
      <c r="L73">
        <v>2520</v>
      </c>
      <c r="M73" s="7" t="s">
        <v>1636</v>
      </c>
      <c r="N73">
        <v>0</v>
      </c>
    </row>
    <row r="74" spans="1:14">
      <c r="A74">
        <v>1</v>
      </c>
      <c r="B74" t="s">
        <v>15</v>
      </c>
      <c r="C74" t="s">
        <v>711</v>
      </c>
      <c r="D74" t="s">
        <v>712</v>
      </c>
      <c r="E74" s="8">
        <v>45933</v>
      </c>
      <c r="F74">
        <v>3</v>
      </c>
      <c r="G74">
        <v>3432</v>
      </c>
      <c r="H74">
        <v>99877</v>
      </c>
      <c r="I74">
        <v>8724</v>
      </c>
      <c r="J74">
        <v>91153</v>
      </c>
      <c r="K74" t="s">
        <v>1635</v>
      </c>
      <c r="L74">
        <v>3432</v>
      </c>
      <c r="M74" s="7" t="s">
        <v>1636</v>
      </c>
      <c r="N74">
        <v>0</v>
      </c>
    </row>
    <row r="75" spans="1:14">
      <c r="A75">
        <v>1</v>
      </c>
      <c r="B75" t="s">
        <v>15</v>
      </c>
      <c r="C75" t="s">
        <v>713</v>
      </c>
      <c r="D75" t="s">
        <v>714</v>
      </c>
      <c r="E75" s="8">
        <v>45940</v>
      </c>
      <c r="F75">
        <v>3</v>
      </c>
      <c r="G75">
        <v>3564</v>
      </c>
      <c r="H75">
        <v>105000</v>
      </c>
      <c r="I75">
        <v>9818</v>
      </c>
      <c r="J75">
        <v>95182</v>
      </c>
      <c r="K75" t="s">
        <v>1635</v>
      </c>
      <c r="L75">
        <v>3564</v>
      </c>
      <c r="M75" s="7" t="s">
        <v>1636</v>
      </c>
      <c r="N75">
        <v>0</v>
      </c>
    </row>
    <row r="76" spans="1:14">
      <c r="A76">
        <v>1</v>
      </c>
      <c r="B76" t="s">
        <v>15</v>
      </c>
      <c r="C76" t="s">
        <v>715</v>
      </c>
      <c r="D76" t="s">
        <v>716</v>
      </c>
      <c r="E76" s="8">
        <v>45940</v>
      </c>
      <c r="F76">
        <v>3</v>
      </c>
      <c r="G76">
        <v>2925</v>
      </c>
      <c r="H76">
        <v>85000</v>
      </c>
      <c r="I76">
        <v>7700</v>
      </c>
      <c r="J76">
        <v>77300</v>
      </c>
      <c r="K76" t="s">
        <v>1635</v>
      </c>
      <c r="L76">
        <v>2925</v>
      </c>
      <c r="M76" s="7" t="s">
        <v>1636</v>
      </c>
      <c r="N76">
        <v>0</v>
      </c>
    </row>
    <row r="77" spans="1:14">
      <c r="A77">
        <v>1</v>
      </c>
      <c r="B77" t="s">
        <v>15</v>
      </c>
      <c r="C77" t="s">
        <v>717</v>
      </c>
      <c r="D77" t="s">
        <v>718</v>
      </c>
      <c r="E77" s="8">
        <v>45933</v>
      </c>
      <c r="F77">
        <v>3</v>
      </c>
      <c r="G77">
        <v>4785</v>
      </c>
      <c r="H77">
        <v>142410</v>
      </c>
      <c r="I77">
        <v>11770</v>
      </c>
      <c r="J77">
        <v>130640</v>
      </c>
      <c r="K77" t="s">
        <v>1635</v>
      </c>
      <c r="L77">
        <v>4785</v>
      </c>
      <c r="M77" s="7" t="s">
        <v>1636</v>
      </c>
      <c r="N77">
        <v>0</v>
      </c>
    </row>
    <row r="78" spans="1:14">
      <c r="A78">
        <v>1</v>
      </c>
      <c r="B78" t="s">
        <v>15</v>
      </c>
      <c r="C78" t="s">
        <v>741</v>
      </c>
      <c r="D78" t="s">
        <v>742</v>
      </c>
      <c r="E78" s="8">
        <v>45933</v>
      </c>
      <c r="F78">
        <v>3</v>
      </c>
      <c r="G78">
        <v>2982</v>
      </c>
      <c r="H78">
        <v>86000</v>
      </c>
      <c r="I78">
        <v>7744</v>
      </c>
      <c r="J78">
        <v>78256</v>
      </c>
      <c r="K78" t="s">
        <v>1635</v>
      </c>
      <c r="L78">
        <v>2982</v>
      </c>
      <c r="M78" s="7" t="s">
        <v>1636</v>
      </c>
      <c r="N78">
        <v>0</v>
      </c>
    </row>
    <row r="79" spans="1:14">
      <c r="A79">
        <v>1</v>
      </c>
      <c r="B79" t="s">
        <v>15</v>
      </c>
      <c r="C79" t="s">
        <v>769</v>
      </c>
      <c r="D79" t="s">
        <v>770</v>
      </c>
      <c r="E79" s="8">
        <v>45940</v>
      </c>
      <c r="F79">
        <v>3</v>
      </c>
      <c r="G79">
        <v>3420</v>
      </c>
      <c r="H79">
        <v>100900</v>
      </c>
      <c r="I79">
        <v>8410</v>
      </c>
      <c r="J79">
        <v>92490</v>
      </c>
      <c r="K79" t="s">
        <v>1635</v>
      </c>
      <c r="L79">
        <v>3420</v>
      </c>
      <c r="M79" s="7" t="s">
        <v>1636</v>
      </c>
      <c r="N79">
        <v>0</v>
      </c>
    </row>
    <row r="80" spans="1:14">
      <c r="A80">
        <v>1</v>
      </c>
      <c r="B80" t="s">
        <v>15</v>
      </c>
      <c r="C80" t="s">
        <v>816</v>
      </c>
      <c r="D80" t="s">
        <v>817</v>
      </c>
      <c r="E80" s="8">
        <v>45940</v>
      </c>
      <c r="F80">
        <v>3</v>
      </c>
      <c r="G80">
        <v>2254</v>
      </c>
      <c r="H80">
        <v>39074</v>
      </c>
      <c r="I80">
        <v>6398</v>
      </c>
      <c r="J80">
        <v>32676</v>
      </c>
      <c r="K80" t="s">
        <v>1635</v>
      </c>
      <c r="L80">
        <v>2254</v>
      </c>
      <c r="M80" s="7" t="s">
        <v>1636</v>
      </c>
      <c r="N80">
        <v>0</v>
      </c>
    </row>
    <row r="81" spans="1:14">
      <c r="A81">
        <v>1</v>
      </c>
      <c r="B81" t="s">
        <v>15</v>
      </c>
      <c r="C81" t="s">
        <v>820</v>
      </c>
      <c r="D81" t="s">
        <v>821</v>
      </c>
      <c r="E81" s="8">
        <v>45933</v>
      </c>
      <c r="F81">
        <v>3</v>
      </c>
      <c r="G81">
        <v>1920</v>
      </c>
      <c r="H81">
        <v>34750</v>
      </c>
      <c r="I81">
        <v>5760</v>
      </c>
      <c r="J81">
        <v>28990</v>
      </c>
      <c r="K81" t="s">
        <v>1635</v>
      </c>
      <c r="L81">
        <v>1920</v>
      </c>
      <c r="M81" s="7" t="s">
        <v>1636</v>
      </c>
      <c r="N81">
        <v>0</v>
      </c>
    </row>
    <row r="82" spans="1:14">
      <c r="A82">
        <v>1</v>
      </c>
      <c r="B82" t="s">
        <v>15</v>
      </c>
      <c r="C82" t="s">
        <v>42</v>
      </c>
      <c r="D82" t="s">
        <v>43</v>
      </c>
      <c r="E82" s="8">
        <v>45933</v>
      </c>
      <c r="F82">
        <v>4</v>
      </c>
      <c r="G82">
        <v>2000</v>
      </c>
      <c r="H82">
        <v>55000</v>
      </c>
      <c r="I82">
        <v>8000</v>
      </c>
      <c r="J82">
        <v>47000</v>
      </c>
      <c r="K82" t="s">
        <v>1635</v>
      </c>
      <c r="L82">
        <v>2000</v>
      </c>
      <c r="M82" s="7" t="s">
        <v>1636</v>
      </c>
      <c r="N82">
        <v>0</v>
      </c>
    </row>
    <row r="83" spans="1:14">
      <c r="A83">
        <v>1</v>
      </c>
      <c r="B83" t="s">
        <v>15</v>
      </c>
      <c r="C83" t="s">
        <v>44</v>
      </c>
      <c r="D83" t="s">
        <v>45</v>
      </c>
      <c r="E83" s="8">
        <v>45933</v>
      </c>
      <c r="F83">
        <v>4</v>
      </c>
      <c r="G83">
        <v>1456</v>
      </c>
      <c r="H83">
        <v>43600</v>
      </c>
      <c r="I83">
        <v>5824</v>
      </c>
      <c r="J83">
        <v>37776</v>
      </c>
      <c r="K83" t="s">
        <v>1635</v>
      </c>
      <c r="L83">
        <v>1456</v>
      </c>
      <c r="M83" s="7" t="s">
        <v>1636</v>
      </c>
      <c r="N83">
        <v>0</v>
      </c>
    </row>
    <row r="84" spans="1:14">
      <c r="A84">
        <v>1</v>
      </c>
      <c r="B84" t="s">
        <v>15</v>
      </c>
      <c r="C84" t="s">
        <v>83</v>
      </c>
      <c r="D84" t="s">
        <v>84</v>
      </c>
      <c r="E84" s="8">
        <v>45940</v>
      </c>
      <c r="F84">
        <v>4</v>
      </c>
      <c r="G84">
        <v>2970</v>
      </c>
      <c r="H84">
        <v>92789</v>
      </c>
      <c r="I84">
        <v>11880</v>
      </c>
      <c r="J84">
        <v>80909</v>
      </c>
      <c r="K84" t="s">
        <v>1635</v>
      </c>
      <c r="L84">
        <v>2970</v>
      </c>
      <c r="M84" s="7" t="s">
        <v>1636</v>
      </c>
      <c r="N84">
        <v>0</v>
      </c>
    </row>
    <row r="85" spans="1:14">
      <c r="A85">
        <v>1</v>
      </c>
      <c r="B85" t="s">
        <v>15</v>
      </c>
      <c r="C85" t="s">
        <v>87</v>
      </c>
      <c r="D85" t="s">
        <v>88</v>
      </c>
      <c r="E85" s="8">
        <v>45940</v>
      </c>
      <c r="F85">
        <v>4</v>
      </c>
      <c r="G85">
        <v>2464</v>
      </c>
      <c r="H85">
        <v>76000</v>
      </c>
      <c r="I85">
        <v>9856</v>
      </c>
      <c r="J85">
        <v>66144</v>
      </c>
      <c r="K85" t="s">
        <v>1635</v>
      </c>
      <c r="L85">
        <v>2464</v>
      </c>
      <c r="M85" s="7" t="s">
        <v>1636</v>
      </c>
      <c r="N85">
        <v>0</v>
      </c>
    </row>
    <row r="86" spans="1:14">
      <c r="A86">
        <v>1</v>
      </c>
      <c r="B86" t="s">
        <v>15</v>
      </c>
      <c r="C86" t="s">
        <v>104</v>
      </c>
      <c r="D86" t="s">
        <v>105</v>
      </c>
      <c r="E86" s="8">
        <v>45933</v>
      </c>
      <c r="F86">
        <v>4</v>
      </c>
      <c r="G86">
        <v>4150</v>
      </c>
      <c r="H86">
        <v>75285</v>
      </c>
      <c r="I86">
        <v>16600</v>
      </c>
      <c r="J86">
        <v>58685</v>
      </c>
      <c r="K86" t="s">
        <v>1635</v>
      </c>
      <c r="L86">
        <v>4150</v>
      </c>
      <c r="M86" s="7" t="s">
        <v>1636</v>
      </c>
      <c r="N86">
        <v>0</v>
      </c>
    </row>
    <row r="87" spans="1:14">
      <c r="A87">
        <v>1</v>
      </c>
      <c r="B87" t="s">
        <v>15</v>
      </c>
      <c r="C87" t="s">
        <v>111</v>
      </c>
      <c r="D87" t="s">
        <v>112</v>
      </c>
      <c r="E87" s="8">
        <v>45933</v>
      </c>
      <c r="F87">
        <v>4</v>
      </c>
      <c r="G87">
        <v>2210</v>
      </c>
      <c r="H87">
        <v>78900</v>
      </c>
      <c r="I87">
        <v>8840</v>
      </c>
      <c r="J87">
        <v>70060</v>
      </c>
      <c r="K87" t="s">
        <v>1635</v>
      </c>
      <c r="L87">
        <v>2210</v>
      </c>
      <c r="M87" s="7" t="s">
        <v>1636</v>
      </c>
      <c r="N87">
        <v>0</v>
      </c>
    </row>
    <row r="88" spans="1:14">
      <c r="A88">
        <v>1</v>
      </c>
      <c r="B88" t="s">
        <v>15</v>
      </c>
      <c r="C88" t="s">
        <v>127</v>
      </c>
      <c r="D88" t="s">
        <v>128</v>
      </c>
      <c r="E88" s="8">
        <v>45933</v>
      </c>
      <c r="F88">
        <v>4</v>
      </c>
      <c r="G88">
        <v>3000</v>
      </c>
      <c r="H88">
        <v>89318</v>
      </c>
      <c r="I88">
        <v>11750</v>
      </c>
      <c r="J88">
        <v>77568</v>
      </c>
      <c r="K88" t="s">
        <v>1635</v>
      </c>
      <c r="L88">
        <v>3000</v>
      </c>
      <c r="M88" s="7" t="s">
        <v>1636</v>
      </c>
      <c r="N88">
        <v>0</v>
      </c>
    </row>
    <row r="89" spans="1:14">
      <c r="A89">
        <v>1</v>
      </c>
      <c r="B89" t="s">
        <v>15</v>
      </c>
      <c r="C89" t="s">
        <v>137</v>
      </c>
      <c r="D89" t="s">
        <v>138</v>
      </c>
      <c r="E89" s="8">
        <v>45933</v>
      </c>
      <c r="F89">
        <v>4</v>
      </c>
      <c r="G89">
        <v>4664</v>
      </c>
      <c r="H89">
        <v>140559</v>
      </c>
      <c r="I89">
        <v>17512</v>
      </c>
      <c r="J89">
        <v>123047</v>
      </c>
      <c r="K89" t="s">
        <v>1635</v>
      </c>
      <c r="L89">
        <v>4664</v>
      </c>
      <c r="M89" s="7" t="s">
        <v>1636</v>
      </c>
      <c r="N89">
        <v>0</v>
      </c>
    </row>
    <row r="90" spans="1:14">
      <c r="A90">
        <v>1</v>
      </c>
      <c r="B90" t="s">
        <v>15</v>
      </c>
      <c r="C90" t="s">
        <v>139</v>
      </c>
      <c r="D90" t="s">
        <v>140</v>
      </c>
      <c r="E90" s="8">
        <v>45933</v>
      </c>
      <c r="F90">
        <v>4</v>
      </c>
      <c r="G90">
        <v>5382</v>
      </c>
      <c r="H90">
        <v>98888</v>
      </c>
      <c r="I90">
        <v>19006</v>
      </c>
      <c r="J90">
        <v>79882</v>
      </c>
      <c r="K90" t="s">
        <v>1635</v>
      </c>
      <c r="L90">
        <v>5382</v>
      </c>
      <c r="M90" s="7" t="s">
        <v>1636</v>
      </c>
      <c r="N90">
        <v>0</v>
      </c>
    </row>
    <row r="91" spans="1:14">
      <c r="A91">
        <v>1</v>
      </c>
      <c r="B91" t="s">
        <v>15</v>
      </c>
      <c r="C91" t="s">
        <v>141</v>
      </c>
      <c r="D91" t="s">
        <v>142</v>
      </c>
      <c r="E91" s="8">
        <v>45933</v>
      </c>
      <c r="F91">
        <v>4</v>
      </c>
      <c r="G91">
        <v>5382</v>
      </c>
      <c r="H91">
        <v>98888</v>
      </c>
      <c r="I91">
        <v>19006</v>
      </c>
      <c r="J91">
        <v>79882</v>
      </c>
      <c r="K91" t="s">
        <v>1635</v>
      </c>
      <c r="L91">
        <v>5382</v>
      </c>
      <c r="M91" s="7" t="s">
        <v>1636</v>
      </c>
      <c r="N91">
        <v>0</v>
      </c>
    </row>
    <row r="92" spans="1:14">
      <c r="A92">
        <v>1</v>
      </c>
      <c r="B92" t="s">
        <v>15</v>
      </c>
      <c r="C92" t="s">
        <v>143</v>
      </c>
      <c r="D92" t="s">
        <v>144</v>
      </c>
      <c r="E92" s="8">
        <v>45933</v>
      </c>
      <c r="F92">
        <v>4</v>
      </c>
      <c r="G92">
        <v>5704</v>
      </c>
      <c r="H92">
        <v>108000</v>
      </c>
      <c r="I92">
        <v>20488.669999999998</v>
      </c>
      <c r="J92">
        <v>87511.33</v>
      </c>
      <c r="K92" t="s">
        <v>1635</v>
      </c>
      <c r="L92">
        <v>5704</v>
      </c>
      <c r="M92" s="7" t="s">
        <v>1636</v>
      </c>
      <c r="N92">
        <v>0</v>
      </c>
    </row>
    <row r="93" spans="1:14">
      <c r="A93">
        <v>1</v>
      </c>
      <c r="B93" t="s">
        <v>15</v>
      </c>
      <c r="C93" t="s">
        <v>151</v>
      </c>
      <c r="D93" t="s">
        <v>152</v>
      </c>
      <c r="E93" s="8">
        <v>45940</v>
      </c>
      <c r="F93">
        <v>4</v>
      </c>
      <c r="G93">
        <v>4288</v>
      </c>
      <c r="H93">
        <v>79477</v>
      </c>
      <c r="I93">
        <v>15270.67</v>
      </c>
      <c r="J93">
        <v>64206.33</v>
      </c>
      <c r="K93" t="s">
        <v>1635</v>
      </c>
      <c r="L93">
        <v>4288</v>
      </c>
      <c r="M93" s="7" t="s">
        <v>1636</v>
      </c>
      <c r="N93">
        <v>0</v>
      </c>
    </row>
    <row r="94" spans="1:14">
      <c r="A94">
        <v>1</v>
      </c>
      <c r="B94" t="s">
        <v>15</v>
      </c>
      <c r="C94" t="s">
        <v>157</v>
      </c>
      <c r="D94" t="s">
        <v>158</v>
      </c>
      <c r="E94" s="8">
        <v>45933</v>
      </c>
      <c r="F94">
        <v>4</v>
      </c>
      <c r="G94">
        <v>2970</v>
      </c>
      <c r="H94">
        <v>89244</v>
      </c>
      <c r="I94">
        <v>11880</v>
      </c>
      <c r="J94">
        <v>77364</v>
      </c>
      <c r="K94" t="s">
        <v>1635</v>
      </c>
      <c r="L94">
        <v>2970</v>
      </c>
      <c r="M94" s="7" t="s">
        <v>1636</v>
      </c>
      <c r="N94">
        <v>0</v>
      </c>
    </row>
    <row r="95" spans="1:14">
      <c r="A95">
        <v>1</v>
      </c>
      <c r="B95" t="s">
        <v>15</v>
      </c>
      <c r="C95" t="s">
        <v>167</v>
      </c>
      <c r="D95" t="s">
        <v>168</v>
      </c>
      <c r="E95" s="8">
        <v>45940</v>
      </c>
      <c r="F95">
        <v>4</v>
      </c>
      <c r="G95">
        <v>4536</v>
      </c>
      <c r="H95">
        <v>86485</v>
      </c>
      <c r="I95">
        <v>16218</v>
      </c>
      <c r="J95">
        <v>70267</v>
      </c>
      <c r="K95" t="s">
        <v>1635</v>
      </c>
      <c r="L95">
        <v>4536</v>
      </c>
      <c r="M95" s="7" t="s">
        <v>1636</v>
      </c>
      <c r="N95">
        <v>0</v>
      </c>
    </row>
    <row r="96" spans="1:14">
      <c r="A96">
        <v>1</v>
      </c>
      <c r="B96" t="s">
        <v>15</v>
      </c>
      <c r="C96" t="s">
        <v>171</v>
      </c>
      <c r="D96" t="s">
        <v>172</v>
      </c>
      <c r="E96" s="8">
        <v>45933</v>
      </c>
      <c r="F96">
        <v>4</v>
      </c>
      <c r="G96">
        <v>5635</v>
      </c>
      <c r="H96">
        <v>169978</v>
      </c>
      <c r="I96">
        <v>21121.67</v>
      </c>
      <c r="J96">
        <v>148856.32999999999</v>
      </c>
      <c r="K96" t="s">
        <v>1635</v>
      </c>
      <c r="L96">
        <v>5635</v>
      </c>
      <c r="M96" s="7" t="s">
        <v>1636</v>
      </c>
      <c r="N96">
        <v>0</v>
      </c>
    </row>
    <row r="97" spans="1:14">
      <c r="A97">
        <v>1</v>
      </c>
      <c r="B97" t="s">
        <v>15</v>
      </c>
      <c r="C97" t="s">
        <v>173</v>
      </c>
      <c r="D97" t="s">
        <v>174</v>
      </c>
      <c r="E97" s="8">
        <v>45933</v>
      </c>
      <c r="F97">
        <v>4</v>
      </c>
      <c r="G97">
        <v>3024</v>
      </c>
      <c r="H97">
        <v>94861</v>
      </c>
      <c r="I97">
        <v>10892</v>
      </c>
      <c r="J97">
        <v>83969</v>
      </c>
      <c r="K97" t="s">
        <v>1635</v>
      </c>
      <c r="L97">
        <v>3024</v>
      </c>
      <c r="M97" s="7" t="s">
        <v>1636</v>
      </c>
      <c r="N97">
        <v>0</v>
      </c>
    </row>
    <row r="98" spans="1:14">
      <c r="A98">
        <v>1</v>
      </c>
      <c r="B98" t="s">
        <v>15</v>
      </c>
      <c r="C98" t="s">
        <v>179</v>
      </c>
      <c r="D98" t="s">
        <v>180</v>
      </c>
      <c r="E98" s="8">
        <v>45940</v>
      </c>
      <c r="F98">
        <v>4</v>
      </c>
      <c r="G98">
        <v>3933</v>
      </c>
      <c r="H98">
        <v>125000</v>
      </c>
      <c r="I98">
        <v>13834</v>
      </c>
      <c r="J98">
        <v>111166</v>
      </c>
      <c r="K98" t="s">
        <v>1635</v>
      </c>
      <c r="L98">
        <v>3933</v>
      </c>
      <c r="M98" s="7" t="s">
        <v>1636</v>
      </c>
      <c r="N98">
        <v>0</v>
      </c>
    </row>
    <row r="99" spans="1:14">
      <c r="A99">
        <v>1</v>
      </c>
      <c r="B99" t="s">
        <v>15</v>
      </c>
      <c r="C99" t="s">
        <v>183</v>
      </c>
      <c r="D99" t="s">
        <v>184</v>
      </c>
      <c r="E99" s="8">
        <v>45940</v>
      </c>
      <c r="F99">
        <v>4</v>
      </c>
      <c r="G99">
        <v>2924</v>
      </c>
      <c r="H99">
        <v>87520</v>
      </c>
      <c r="I99">
        <v>11315.33</v>
      </c>
      <c r="J99">
        <v>76204.67</v>
      </c>
      <c r="K99" t="s">
        <v>1635</v>
      </c>
      <c r="L99">
        <v>2924</v>
      </c>
      <c r="M99" s="7" t="s">
        <v>1636</v>
      </c>
      <c r="N99">
        <v>0</v>
      </c>
    </row>
    <row r="100" spans="1:14">
      <c r="A100">
        <v>1</v>
      </c>
      <c r="B100" t="s">
        <v>15</v>
      </c>
      <c r="C100" t="s">
        <v>185</v>
      </c>
      <c r="D100" t="s">
        <v>186</v>
      </c>
      <c r="E100" s="8">
        <v>45940</v>
      </c>
      <c r="F100">
        <v>4</v>
      </c>
      <c r="G100">
        <v>5616</v>
      </c>
      <c r="H100">
        <v>106000</v>
      </c>
      <c r="I100">
        <v>21378</v>
      </c>
      <c r="J100">
        <v>84622</v>
      </c>
      <c r="K100" t="s">
        <v>1635</v>
      </c>
      <c r="L100">
        <v>5616</v>
      </c>
      <c r="M100" s="7" t="s">
        <v>1636</v>
      </c>
      <c r="N100">
        <v>0</v>
      </c>
    </row>
    <row r="101" spans="1:14">
      <c r="A101">
        <v>1</v>
      </c>
      <c r="B101" t="s">
        <v>15</v>
      </c>
      <c r="C101" t="s">
        <v>187</v>
      </c>
      <c r="D101" t="s">
        <v>188</v>
      </c>
      <c r="E101" s="8">
        <v>45933</v>
      </c>
      <c r="F101">
        <v>4</v>
      </c>
      <c r="G101">
        <v>2263</v>
      </c>
      <c r="H101">
        <v>73000</v>
      </c>
      <c r="I101">
        <v>6317</v>
      </c>
      <c r="J101">
        <v>66683</v>
      </c>
      <c r="K101" t="s">
        <v>1635</v>
      </c>
      <c r="L101">
        <v>2263</v>
      </c>
      <c r="M101" s="7" t="s">
        <v>1636</v>
      </c>
      <c r="N101">
        <v>0</v>
      </c>
    </row>
    <row r="102" spans="1:14">
      <c r="A102">
        <v>1</v>
      </c>
      <c r="B102" t="s">
        <v>15</v>
      </c>
      <c r="C102" t="s">
        <v>195</v>
      </c>
      <c r="D102" t="s">
        <v>196</v>
      </c>
      <c r="E102" s="8">
        <v>45933</v>
      </c>
      <c r="F102">
        <v>4</v>
      </c>
      <c r="G102">
        <v>2340</v>
      </c>
      <c r="H102">
        <v>69800</v>
      </c>
      <c r="I102">
        <v>9360</v>
      </c>
      <c r="J102">
        <v>60440</v>
      </c>
      <c r="K102" t="s">
        <v>1635</v>
      </c>
      <c r="L102">
        <v>2340</v>
      </c>
      <c r="M102" s="7" t="s">
        <v>1636</v>
      </c>
      <c r="N102">
        <v>0</v>
      </c>
    </row>
    <row r="103" spans="1:14">
      <c r="A103">
        <v>1</v>
      </c>
      <c r="B103" t="s">
        <v>15</v>
      </c>
      <c r="C103" t="s">
        <v>201</v>
      </c>
      <c r="D103" t="s">
        <v>202</v>
      </c>
      <c r="E103" s="8">
        <v>45940</v>
      </c>
      <c r="F103">
        <v>4</v>
      </c>
      <c r="G103">
        <v>2814</v>
      </c>
      <c r="H103">
        <v>81975</v>
      </c>
      <c r="I103">
        <v>10998.67</v>
      </c>
      <c r="J103">
        <v>70976.33</v>
      </c>
      <c r="K103" t="s">
        <v>1635</v>
      </c>
      <c r="L103">
        <v>2814</v>
      </c>
      <c r="M103" s="7" t="s">
        <v>1636</v>
      </c>
      <c r="N103">
        <v>0</v>
      </c>
    </row>
    <row r="104" spans="1:14">
      <c r="A104">
        <v>1</v>
      </c>
      <c r="B104" t="s">
        <v>15</v>
      </c>
      <c r="C104" t="s">
        <v>213</v>
      </c>
      <c r="D104" t="s">
        <v>214</v>
      </c>
      <c r="E104" s="8">
        <v>45933</v>
      </c>
      <c r="F104">
        <v>4</v>
      </c>
      <c r="G104">
        <v>2940</v>
      </c>
      <c r="H104">
        <v>86200</v>
      </c>
      <c r="I104">
        <v>11760</v>
      </c>
      <c r="J104">
        <v>74440</v>
      </c>
      <c r="K104" t="s">
        <v>1635</v>
      </c>
      <c r="L104">
        <v>2940</v>
      </c>
      <c r="M104" s="7" t="s">
        <v>1636</v>
      </c>
      <c r="N104">
        <v>0</v>
      </c>
    </row>
    <row r="105" spans="1:14">
      <c r="A105">
        <v>1</v>
      </c>
      <c r="B105" t="s">
        <v>15</v>
      </c>
      <c r="C105" t="s">
        <v>217</v>
      </c>
      <c r="D105" t="s">
        <v>218</v>
      </c>
      <c r="E105" s="8">
        <v>45940</v>
      </c>
      <c r="F105">
        <v>4</v>
      </c>
      <c r="G105">
        <v>3036</v>
      </c>
      <c r="H105">
        <v>90000</v>
      </c>
      <c r="I105">
        <v>11688</v>
      </c>
      <c r="J105">
        <v>78312</v>
      </c>
      <c r="K105" t="s">
        <v>1635</v>
      </c>
      <c r="L105">
        <v>3036</v>
      </c>
      <c r="M105" s="7" t="s">
        <v>1636</v>
      </c>
      <c r="N105">
        <v>0</v>
      </c>
    </row>
    <row r="106" spans="1:14">
      <c r="A106">
        <v>1</v>
      </c>
      <c r="B106" t="s">
        <v>15</v>
      </c>
      <c r="C106" t="s">
        <v>225</v>
      </c>
      <c r="D106" t="s">
        <v>226</v>
      </c>
      <c r="E106" s="8">
        <v>45933</v>
      </c>
      <c r="F106">
        <v>4</v>
      </c>
      <c r="G106">
        <v>4860</v>
      </c>
      <c r="H106">
        <v>92000</v>
      </c>
      <c r="I106">
        <v>16790</v>
      </c>
      <c r="J106">
        <v>75210</v>
      </c>
      <c r="K106" t="s">
        <v>1635</v>
      </c>
      <c r="L106">
        <v>4860</v>
      </c>
      <c r="M106" s="7" t="s">
        <v>1636</v>
      </c>
      <c r="N106">
        <v>0</v>
      </c>
    </row>
    <row r="107" spans="1:14">
      <c r="A107">
        <v>1</v>
      </c>
      <c r="B107" t="s">
        <v>15</v>
      </c>
      <c r="C107" t="s">
        <v>229</v>
      </c>
      <c r="D107" t="s">
        <v>230</v>
      </c>
      <c r="E107" s="8">
        <v>45933</v>
      </c>
      <c r="F107">
        <v>4</v>
      </c>
      <c r="G107">
        <v>4200</v>
      </c>
      <c r="H107">
        <v>77000</v>
      </c>
      <c r="I107">
        <v>14900</v>
      </c>
      <c r="J107">
        <v>62100</v>
      </c>
      <c r="K107" t="s">
        <v>1635</v>
      </c>
      <c r="L107">
        <v>4200</v>
      </c>
      <c r="M107" s="7" t="s">
        <v>1636</v>
      </c>
      <c r="N107">
        <v>0</v>
      </c>
    </row>
    <row r="108" spans="1:14">
      <c r="A108">
        <v>1</v>
      </c>
      <c r="B108" t="s">
        <v>15</v>
      </c>
      <c r="C108" t="s">
        <v>236</v>
      </c>
      <c r="D108" t="s">
        <v>237</v>
      </c>
      <c r="E108" s="8">
        <v>45940</v>
      </c>
      <c r="F108">
        <v>4</v>
      </c>
      <c r="G108">
        <v>2430</v>
      </c>
      <c r="H108">
        <v>73000</v>
      </c>
      <c r="I108">
        <v>9115</v>
      </c>
      <c r="J108">
        <v>63885</v>
      </c>
      <c r="K108" t="s">
        <v>1635</v>
      </c>
      <c r="L108">
        <v>2430</v>
      </c>
      <c r="M108" s="7" t="s">
        <v>1636</v>
      </c>
      <c r="N108">
        <v>0</v>
      </c>
    </row>
    <row r="109" spans="1:14">
      <c r="A109">
        <v>1</v>
      </c>
      <c r="B109" t="s">
        <v>15</v>
      </c>
      <c r="C109" t="s">
        <v>308</v>
      </c>
      <c r="D109" t="s">
        <v>309</v>
      </c>
      <c r="E109" s="8">
        <v>45933</v>
      </c>
      <c r="F109">
        <v>4</v>
      </c>
      <c r="G109">
        <v>2808</v>
      </c>
      <c r="H109">
        <v>88414</v>
      </c>
      <c r="I109">
        <v>10504</v>
      </c>
      <c r="J109">
        <v>77910</v>
      </c>
      <c r="K109" t="s">
        <v>1635</v>
      </c>
      <c r="L109">
        <v>2808</v>
      </c>
      <c r="M109" s="7" t="s">
        <v>1636</v>
      </c>
      <c r="N109">
        <v>0</v>
      </c>
    </row>
    <row r="110" spans="1:14">
      <c r="A110">
        <v>1</v>
      </c>
      <c r="B110" t="s">
        <v>15</v>
      </c>
      <c r="C110" t="s">
        <v>310</v>
      </c>
      <c r="D110" t="s">
        <v>311</v>
      </c>
      <c r="E110" s="8">
        <v>45940</v>
      </c>
      <c r="F110">
        <v>4</v>
      </c>
      <c r="G110">
        <v>2754</v>
      </c>
      <c r="H110">
        <v>98000</v>
      </c>
      <c r="I110">
        <v>8328</v>
      </c>
      <c r="J110">
        <v>89672</v>
      </c>
      <c r="K110" t="s">
        <v>1635</v>
      </c>
      <c r="L110">
        <v>2754</v>
      </c>
      <c r="M110" s="7" t="s">
        <v>1636</v>
      </c>
      <c r="N110">
        <v>0</v>
      </c>
    </row>
    <row r="111" spans="1:14">
      <c r="A111">
        <v>1</v>
      </c>
      <c r="B111" t="s">
        <v>15</v>
      </c>
      <c r="C111" t="s">
        <v>318</v>
      </c>
      <c r="D111" t="s">
        <v>319</v>
      </c>
      <c r="E111" s="8">
        <v>45940</v>
      </c>
      <c r="F111">
        <v>4</v>
      </c>
      <c r="G111">
        <v>3330</v>
      </c>
      <c r="H111">
        <v>80000</v>
      </c>
      <c r="I111">
        <v>11470</v>
      </c>
      <c r="J111">
        <v>68530</v>
      </c>
      <c r="K111" t="s">
        <v>1635</v>
      </c>
      <c r="L111">
        <v>3330</v>
      </c>
      <c r="M111" s="7" t="s">
        <v>1636</v>
      </c>
      <c r="N111">
        <v>0</v>
      </c>
    </row>
    <row r="112" spans="1:14">
      <c r="A112">
        <v>1</v>
      </c>
      <c r="B112" t="s">
        <v>15</v>
      </c>
      <c r="C112" t="s">
        <v>322</v>
      </c>
      <c r="D112" t="s">
        <v>323</v>
      </c>
      <c r="E112" s="8">
        <v>45940</v>
      </c>
      <c r="F112">
        <v>4</v>
      </c>
      <c r="G112">
        <v>1105</v>
      </c>
      <c r="H112">
        <v>19454</v>
      </c>
      <c r="I112">
        <v>4420</v>
      </c>
      <c r="J112">
        <v>15034</v>
      </c>
      <c r="K112" t="s">
        <v>1635</v>
      </c>
      <c r="L112">
        <v>1105</v>
      </c>
      <c r="M112" s="7" t="s">
        <v>1636</v>
      </c>
      <c r="N112">
        <v>0</v>
      </c>
    </row>
    <row r="113" spans="1:14">
      <c r="A113">
        <v>1</v>
      </c>
      <c r="B113" t="s">
        <v>15</v>
      </c>
      <c r="C113" t="s">
        <v>324</v>
      </c>
      <c r="D113" t="s">
        <v>325</v>
      </c>
      <c r="E113" s="8">
        <v>45940</v>
      </c>
      <c r="F113">
        <v>4</v>
      </c>
      <c r="G113">
        <v>2250</v>
      </c>
      <c r="H113">
        <v>69260</v>
      </c>
      <c r="I113">
        <v>6000</v>
      </c>
      <c r="J113">
        <v>63260</v>
      </c>
      <c r="K113" t="s">
        <v>1635</v>
      </c>
      <c r="L113">
        <v>2250</v>
      </c>
      <c r="M113" s="7" t="s">
        <v>1636</v>
      </c>
      <c r="N113">
        <v>0</v>
      </c>
    </row>
    <row r="114" spans="1:14">
      <c r="A114">
        <v>1</v>
      </c>
      <c r="B114" t="s">
        <v>15</v>
      </c>
      <c r="C114" t="s">
        <v>332</v>
      </c>
      <c r="D114" t="s">
        <v>333</v>
      </c>
      <c r="E114" s="8">
        <v>45933</v>
      </c>
      <c r="F114">
        <v>4</v>
      </c>
      <c r="G114">
        <v>3840</v>
      </c>
      <c r="H114">
        <v>130500</v>
      </c>
      <c r="I114">
        <v>13030</v>
      </c>
      <c r="J114">
        <v>117470</v>
      </c>
      <c r="K114" t="s">
        <v>1635</v>
      </c>
      <c r="L114">
        <v>3840</v>
      </c>
      <c r="M114" s="7" t="s">
        <v>1636</v>
      </c>
      <c r="N114">
        <v>0</v>
      </c>
    </row>
    <row r="115" spans="1:14">
      <c r="A115">
        <v>1</v>
      </c>
      <c r="B115" t="s">
        <v>15</v>
      </c>
      <c r="C115" t="s">
        <v>338</v>
      </c>
      <c r="D115" t="s">
        <v>339</v>
      </c>
      <c r="E115" s="8">
        <v>45933</v>
      </c>
      <c r="F115">
        <v>4</v>
      </c>
      <c r="G115">
        <v>3060</v>
      </c>
      <c r="H115">
        <v>92000</v>
      </c>
      <c r="I115">
        <v>12240</v>
      </c>
      <c r="J115">
        <v>79760</v>
      </c>
      <c r="K115" t="s">
        <v>1635</v>
      </c>
      <c r="L115">
        <v>3060</v>
      </c>
      <c r="M115" s="7" t="s">
        <v>1636</v>
      </c>
      <c r="N115">
        <v>0</v>
      </c>
    </row>
    <row r="116" spans="1:14">
      <c r="A116">
        <v>1</v>
      </c>
      <c r="B116" t="s">
        <v>15</v>
      </c>
      <c r="C116" t="s">
        <v>340</v>
      </c>
      <c r="D116" t="s">
        <v>341</v>
      </c>
      <c r="E116" s="8">
        <v>45940</v>
      </c>
      <c r="F116">
        <v>4</v>
      </c>
      <c r="G116">
        <v>3835</v>
      </c>
      <c r="H116">
        <v>118000</v>
      </c>
      <c r="I116">
        <v>13955</v>
      </c>
      <c r="J116">
        <v>104045</v>
      </c>
      <c r="K116" t="s">
        <v>1635</v>
      </c>
      <c r="L116">
        <v>3835</v>
      </c>
      <c r="M116" s="7" t="s">
        <v>1636</v>
      </c>
      <c r="N116">
        <v>0</v>
      </c>
    </row>
    <row r="117" spans="1:14">
      <c r="A117">
        <v>1</v>
      </c>
      <c r="B117" t="s">
        <v>15</v>
      </c>
      <c r="C117" t="s">
        <v>342</v>
      </c>
      <c r="D117" t="s">
        <v>343</v>
      </c>
      <c r="E117" s="8">
        <v>45940</v>
      </c>
      <c r="F117">
        <v>4</v>
      </c>
      <c r="G117">
        <v>5760</v>
      </c>
      <c r="H117">
        <v>173888</v>
      </c>
      <c r="I117">
        <v>20880</v>
      </c>
      <c r="J117">
        <v>153008</v>
      </c>
      <c r="K117" t="s">
        <v>1635</v>
      </c>
      <c r="L117">
        <v>5760</v>
      </c>
      <c r="M117" s="7" t="s">
        <v>1636</v>
      </c>
      <c r="N117">
        <v>0</v>
      </c>
    </row>
    <row r="118" spans="1:14">
      <c r="A118">
        <v>1</v>
      </c>
      <c r="B118" t="s">
        <v>15</v>
      </c>
      <c r="C118" t="s">
        <v>350</v>
      </c>
      <c r="D118" t="s">
        <v>351</v>
      </c>
      <c r="E118" s="8">
        <v>45940</v>
      </c>
      <c r="F118">
        <v>4</v>
      </c>
      <c r="G118">
        <v>2940</v>
      </c>
      <c r="H118">
        <v>90777</v>
      </c>
      <c r="I118">
        <v>11220</v>
      </c>
      <c r="J118">
        <v>79557</v>
      </c>
      <c r="K118" t="s">
        <v>1635</v>
      </c>
      <c r="L118">
        <v>2940</v>
      </c>
      <c r="M118" s="7" t="s">
        <v>1636</v>
      </c>
      <c r="N118">
        <v>0</v>
      </c>
    </row>
    <row r="119" spans="1:14">
      <c r="A119">
        <v>1</v>
      </c>
      <c r="B119" t="s">
        <v>15</v>
      </c>
      <c r="C119" t="s">
        <v>364</v>
      </c>
      <c r="D119" t="s">
        <v>365</v>
      </c>
      <c r="E119" s="8">
        <v>45940</v>
      </c>
      <c r="F119">
        <v>4</v>
      </c>
      <c r="G119">
        <v>2795</v>
      </c>
      <c r="H119">
        <v>83042</v>
      </c>
      <c r="I119">
        <v>11180</v>
      </c>
      <c r="J119">
        <v>71862</v>
      </c>
      <c r="K119" t="s">
        <v>1635</v>
      </c>
      <c r="L119">
        <v>2795</v>
      </c>
      <c r="M119" s="7" t="s">
        <v>1636</v>
      </c>
      <c r="N119">
        <v>0</v>
      </c>
    </row>
    <row r="120" spans="1:14">
      <c r="A120">
        <v>1</v>
      </c>
      <c r="B120" t="s">
        <v>15</v>
      </c>
      <c r="C120" t="s">
        <v>379</v>
      </c>
      <c r="D120" t="s">
        <v>380</v>
      </c>
      <c r="E120" s="8">
        <v>45933</v>
      </c>
      <c r="F120">
        <v>4</v>
      </c>
      <c r="G120">
        <v>2000</v>
      </c>
      <c r="H120">
        <v>33828</v>
      </c>
      <c r="I120">
        <v>6000</v>
      </c>
      <c r="J120">
        <v>27828</v>
      </c>
      <c r="K120" t="s">
        <v>1635</v>
      </c>
      <c r="L120">
        <v>2000</v>
      </c>
      <c r="M120" s="7" t="s">
        <v>1636</v>
      </c>
      <c r="N120">
        <v>0</v>
      </c>
    </row>
    <row r="121" spans="1:14">
      <c r="A121">
        <v>1</v>
      </c>
      <c r="B121" t="s">
        <v>15</v>
      </c>
      <c r="C121" t="s">
        <v>381</v>
      </c>
      <c r="D121" t="s">
        <v>382</v>
      </c>
      <c r="E121" s="8">
        <v>45940</v>
      </c>
      <c r="F121">
        <v>4</v>
      </c>
      <c r="G121">
        <v>4234</v>
      </c>
      <c r="H121">
        <v>129002</v>
      </c>
      <c r="I121">
        <v>15622</v>
      </c>
      <c r="J121">
        <v>113380</v>
      </c>
      <c r="K121" t="s">
        <v>1635</v>
      </c>
      <c r="L121">
        <v>4234</v>
      </c>
      <c r="M121" s="7" t="s">
        <v>1636</v>
      </c>
      <c r="N121">
        <v>0</v>
      </c>
    </row>
    <row r="122" spans="1:14">
      <c r="A122">
        <v>1</v>
      </c>
      <c r="B122" t="s">
        <v>15</v>
      </c>
      <c r="C122" t="s">
        <v>393</v>
      </c>
      <c r="D122" t="s">
        <v>394</v>
      </c>
      <c r="E122" s="8">
        <v>45933</v>
      </c>
      <c r="F122">
        <v>4</v>
      </c>
      <c r="G122">
        <v>2585</v>
      </c>
      <c r="H122">
        <v>93000</v>
      </c>
      <c r="I122">
        <v>9955</v>
      </c>
      <c r="J122">
        <v>83045</v>
      </c>
      <c r="K122" t="s">
        <v>1635</v>
      </c>
      <c r="L122">
        <v>2585</v>
      </c>
      <c r="M122" s="7" t="s">
        <v>1636</v>
      </c>
      <c r="N122">
        <v>0</v>
      </c>
    </row>
    <row r="123" spans="1:14">
      <c r="A123">
        <v>1</v>
      </c>
      <c r="B123" t="s">
        <v>15</v>
      </c>
      <c r="C123" t="s">
        <v>395</v>
      </c>
      <c r="D123" t="s">
        <v>396</v>
      </c>
      <c r="E123" s="8">
        <v>45933</v>
      </c>
      <c r="F123">
        <v>4</v>
      </c>
      <c r="G123">
        <v>1512</v>
      </c>
      <c r="H123">
        <v>27000</v>
      </c>
      <c r="I123">
        <v>6048</v>
      </c>
      <c r="J123">
        <v>20952</v>
      </c>
      <c r="K123" t="s">
        <v>1635</v>
      </c>
      <c r="L123">
        <v>1512</v>
      </c>
      <c r="M123" s="7" t="s">
        <v>1636</v>
      </c>
      <c r="N123">
        <v>0</v>
      </c>
    </row>
    <row r="124" spans="1:14">
      <c r="A124">
        <v>1</v>
      </c>
      <c r="B124" t="s">
        <v>15</v>
      </c>
      <c r="C124" t="s">
        <v>397</v>
      </c>
      <c r="D124" t="s">
        <v>398</v>
      </c>
      <c r="E124" s="8">
        <v>45933</v>
      </c>
      <c r="F124">
        <v>4</v>
      </c>
      <c r="G124">
        <v>2800</v>
      </c>
      <c r="H124">
        <v>84713</v>
      </c>
      <c r="I124">
        <v>10000</v>
      </c>
      <c r="J124">
        <v>74713</v>
      </c>
      <c r="K124" t="s">
        <v>1635</v>
      </c>
      <c r="L124">
        <v>2800</v>
      </c>
      <c r="M124" s="7" t="s">
        <v>1636</v>
      </c>
      <c r="N124">
        <v>0</v>
      </c>
    </row>
    <row r="125" spans="1:14">
      <c r="A125">
        <v>1</v>
      </c>
      <c r="B125" t="s">
        <v>15</v>
      </c>
      <c r="C125" t="s">
        <v>399</v>
      </c>
      <c r="D125" t="s">
        <v>400</v>
      </c>
      <c r="E125" s="8">
        <v>45933</v>
      </c>
      <c r="F125">
        <v>4</v>
      </c>
      <c r="G125">
        <v>3080</v>
      </c>
      <c r="H125">
        <v>91000</v>
      </c>
      <c r="I125">
        <v>12320</v>
      </c>
      <c r="J125">
        <v>78680</v>
      </c>
      <c r="K125" t="s">
        <v>1635</v>
      </c>
      <c r="L125">
        <v>3080</v>
      </c>
      <c r="M125" s="7" t="s">
        <v>1636</v>
      </c>
      <c r="N125">
        <v>0</v>
      </c>
    </row>
    <row r="126" spans="1:14">
      <c r="A126">
        <v>1</v>
      </c>
      <c r="B126" t="s">
        <v>15</v>
      </c>
      <c r="C126" t="s">
        <v>405</v>
      </c>
      <c r="D126" t="s">
        <v>406</v>
      </c>
      <c r="E126" s="8">
        <v>45940</v>
      </c>
      <c r="F126">
        <v>4</v>
      </c>
      <c r="G126">
        <v>3075</v>
      </c>
      <c r="H126">
        <v>89337</v>
      </c>
      <c r="I126">
        <v>12300</v>
      </c>
      <c r="J126">
        <v>77037</v>
      </c>
      <c r="K126" t="s">
        <v>1635</v>
      </c>
      <c r="L126">
        <v>3075</v>
      </c>
      <c r="M126" s="7" t="s">
        <v>1636</v>
      </c>
      <c r="N126">
        <v>0</v>
      </c>
    </row>
    <row r="127" spans="1:14">
      <c r="A127">
        <v>1</v>
      </c>
      <c r="B127" t="s">
        <v>15</v>
      </c>
      <c r="C127" t="s">
        <v>417</v>
      </c>
      <c r="D127" t="s">
        <v>418</v>
      </c>
      <c r="E127" s="8">
        <v>45933</v>
      </c>
      <c r="F127">
        <v>4</v>
      </c>
      <c r="G127">
        <v>1500</v>
      </c>
      <c r="H127">
        <v>26749</v>
      </c>
      <c r="I127">
        <v>6000</v>
      </c>
      <c r="J127">
        <v>20749</v>
      </c>
      <c r="K127" t="s">
        <v>1635</v>
      </c>
      <c r="L127">
        <v>1500</v>
      </c>
      <c r="M127" s="7" t="s">
        <v>1636</v>
      </c>
      <c r="N127">
        <v>0</v>
      </c>
    </row>
    <row r="128" spans="1:14">
      <c r="A128">
        <v>1</v>
      </c>
      <c r="B128" t="s">
        <v>15</v>
      </c>
      <c r="C128" t="s">
        <v>421</v>
      </c>
      <c r="D128" t="s">
        <v>422</v>
      </c>
      <c r="E128" s="8">
        <v>45933</v>
      </c>
      <c r="F128">
        <v>4</v>
      </c>
      <c r="G128">
        <v>4100</v>
      </c>
      <c r="H128">
        <v>70000</v>
      </c>
      <c r="I128">
        <v>14359</v>
      </c>
      <c r="J128">
        <v>55641</v>
      </c>
      <c r="K128" t="s">
        <v>1635</v>
      </c>
      <c r="L128">
        <v>4100</v>
      </c>
      <c r="M128" s="7" t="s">
        <v>1636</v>
      </c>
      <c r="N128">
        <v>0</v>
      </c>
    </row>
    <row r="129" spans="1:14">
      <c r="A129">
        <v>1</v>
      </c>
      <c r="B129" t="s">
        <v>15</v>
      </c>
      <c r="C129" t="s">
        <v>435</v>
      </c>
      <c r="D129" t="s">
        <v>436</v>
      </c>
      <c r="E129" s="8">
        <v>45933</v>
      </c>
      <c r="F129">
        <v>4</v>
      </c>
      <c r="G129">
        <v>826</v>
      </c>
      <c r="H129">
        <v>22053</v>
      </c>
      <c r="I129">
        <v>3304</v>
      </c>
      <c r="J129">
        <v>18749</v>
      </c>
      <c r="K129" t="s">
        <v>1635</v>
      </c>
      <c r="L129">
        <v>826</v>
      </c>
      <c r="M129" s="7" t="s">
        <v>1636</v>
      </c>
      <c r="N129">
        <v>0</v>
      </c>
    </row>
    <row r="130" spans="1:14">
      <c r="A130">
        <v>1</v>
      </c>
      <c r="B130" t="s">
        <v>15</v>
      </c>
      <c r="C130" t="s">
        <v>437</v>
      </c>
      <c r="D130" t="s">
        <v>438</v>
      </c>
      <c r="E130" s="8">
        <v>45933</v>
      </c>
      <c r="F130">
        <v>4</v>
      </c>
      <c r="G130">
        <v>3525</v>
      </c>
      <c r="H130">
        <v>105878</v>
      </c>
      <c r="I130">
        <v>13575</v>
      </c>
      <c r="J130">
        <v>92303</v>
      </c>
      <c r="K130" t="s">
        <v>1635</v>
      </c>
      <c r="L130">
        <v>3525</v>
      </c>
      <c r="M130" s="7" t="s">
        <v>1636</v>
      </c>
      <c r="N130">
        <v>0</v>
      </c>
    </row>
    <row r="131" spans="1:14">
      <c r="A131">
        <v>1</v>
      </c>
      <c r="B131" t="s">
        <v>15</v>
      </c>
      <c r="C131" t="s">
        <v>441</v>
      </c>
      <c r="D131" t="s">
        <v>442</v>
      </c>
      <c r="E131" s="8">
        <v>45933</v>
      </c>
      <c r="F131">
        <v>4</v>
      </c>
      <c r="G131">
        <v>2448</v>
      </c>
      <c r="H131">
        <v>79554</v>
      </c>
      <c r="I131">
        <v>9164</v>
      </c>
      <c r="J131">
        <v>70390</v>
      </c>
      <c r="K131" t="s">
        <v>1635</v>
      </c>
      <c r="L131">
        <v>2448</v>
      </c>
      <c r="M131" s="7" t="s">
        <v>1636</v>
      </c>
      <c r="N131">
        <v>0</v>
      </c>
    </row>
    <row r="132" spans="1:14">
      <c r="A132">
        <v>1</v>
      </c>
      <c r="B132" t="s">
        <v>15</v>
      </c>
      <c r="C132" t="s">
        <v>449</v>
      </c>
      <c r="D132" t="s">
        <v>450</v>
      </c>
      <c r="E132" s="8">
        <v>45933</v>
      </c>
      <c r="F132">
        <v>4</v>
      </c>
      <c r="G132">
        <v>1920</v>
      </c>
      <c r="H132">
        <v>69900</v>
      </c>
      <c r="I132">
        <v>7360</v>
      </c>
      <c r="J132">
        <v>62540</v>
      </c>
      <c r="K132" t="s">
        <v>1635</v>
      </c>
      <c r="L132">
        <v>1920</v>
      </c>
      <c r="M132" s="7" t="s">
        <v>1636</v>
      </c>
      <c r="N132">
        <v>0</v>
      </c>
    </row>
    <row r="133" spans="1:14">
      <c r="A133">
        <v>1</v>
      </c>
      <c r="B133" t="s">
        <v>15</v>
      </c>
      <c r="C133" t="s">
        <v>451</v>
      </c>
      <c r="D133" t="s">
        <v>452</v>
      </c>
      <c r="E133" s="8">
        <v>45933</v>
      </c>
      <c r="F133">
        <v>4</v>
      </c>
      <c r="G133">
        <v>2960</v>
      </c>
      <c r="H133">
        <v>106836</v>
      </c>
      <c r="I133">
        <v>8840</v>
      </c>
      <c r="J133">
        <v>97996</v>
      </c>
      <c r="K133" t="s">
        <v>1635</v>
      </c>
      <c r="L133">
        <v>2960</v>
      </c>
      <c r="M133" s="7" t="s">
        <v>1636</v>
      </c>
      <c r="N133">
        <v>0</v>
      </c>
    </row>
    <row r="134" spans="1:14">
      <c r="A134">
        <v>1</v>
      </c>
      <c r="B134" t="s">
        <v>15</v>
      </c>
      <c r="C134" t="s">
        <v>461</v>
      </c>
      <c r="D134" t="s">
        <v>462</v>
      </c>
      <c r="E134" s="8">
        <v>45933</v>
      </c>
      <c r="F134">
        <v>4</v>
      </c>
      <c r="G134">
        <v>2700</v>
      </c>
      <c r="H134">
        <v>78259</v>
      </c>
      <c r="I134">
        <v>10360</v>
      </c>
      <c r="J134">
        <v>67899</v>
      </c>
      <c r="K134" t="s">
        <v>1635</v>
      </c>
      <c r="L134">
        <v>2700</v>
      </c>
      <c r="M134" s="7" t="s">
        <v>1636</v>
      </c>
      <c r="N134">
        <v>0</v>
      </c>
    </row>
    <row r="135" spans="1:14">
      <c r="A135">
        <v>1</v>
      </c>
      <c r="B135" t="s">
        <v>15</v>
      </c>
      <c r="C135" t="s">
        <v>465</v>
      </c>
      <c r="D135" t="s">
        <v>466</v>
      </c>
      <c r="E135" s="8">
        <v>45940</v>
      </c>
      <c r="F135">
        <v>4</v>
      </c>
      <c r="G135">
        <v>3705</v>
      </c>
      <c r="H135">
        <v>112715</v>
      </c>
      <c r="I135">
        <v>13715</v>
      </c>
      <c r="J135">
        <v>99000</v>
      </c>
      <c r="K135" t="s">
        <v>1635</v>
      </c>
      <c r="L135">
        <v>3705</v>
      </c>
      <c r="M135" s="7" t="s">
        <v>1636</v>
      </c>
      <c r="N135">
        <v>0</v>
      </c>
    </row>
    <row r="136" spans="1:14">
      <c r="A136">
        <v>1</v>
      </c>
      <c r="B136" t="s">
        <v>15</v>
      </c>
      <c r="C136" t="s">
        <v>467</v>
      </c>
      <c r="D136" t="s">
        <v>468</v>
      </c>
      <c r="E136" s="8">
        <v>45940</v>
      </c>
      <c r="F136">
        <v>4</v>
      </c>
      <c r="G136">
        <v>1320</v>
      </c>
      <c r="H136">
        <v>22853</v>
      </c>
      <c r="I136">
        <v>5280</v>
      </c>
      <c r="J136">
        <v>17573</v>
      </c>
      <c r="K136" t="s">
        <v>1635</v>
      </c>
      <c r="L136">
        <v>1320</v>
      </c>
      <c r="M136" s="7" t="s">
        <v>1636</v>
      </c>
      <c r="N136">
        <v>0</v>
      </c>
    </row>
    <row r="137" spans="1:14">
      <c r="A137">
        <v>1</v>
      </c>
      <c r="B137" t="s">
        <v>15</v>
      </c>
      <c r="C137" t="s">
        <v>487</v>
      </c>
      <c r="D137" t="s">
        <v>488</v>
      </c>
      <c r="E137" s="8">
        <v>45940</v>
      </c>
      <c r="F137">
        <v>4</v>
      </c>
      <c r="G137">
        <v>2635.2</v>
      </c>
      <c r="H137">
        <v>77000</v>
      </c>
      <c r="I137">
        <v>9793.5999999999894</v>
      </c>
      <c r="J137">
        <v>67206.399999999994</v>
      </c>
      <c r="K137" t="s">
        <v>1635</v>
      </c>
      <c r="L137">
        <v>2635.2</v>
      </c>
      <c r="M137" s="7" t="s">
        <v>1636</v>
      </c>
      <c r="N137">
        <v>0</v>
      </c>
    </row>
    <row r="138" spans="1:14">
      <c r="A138">
        <v>1</v>
      </c>
      <c r="B138" t="s">
        <v>15</v>
      </c>
      <c r="C138" t="s">
        <v>491</v>
      </c>
      <c r="D138" t="s">
        <v>492</v>
      </c>
      <c r="E138" s="8">
        <v>45940</v>
      </c>
      <c r="F138">
        <v>4</v>
      </c>
      <c r="G138">
        <v>4450</v>
      </c>
      <c r="H138">
        <v>132000</v>
      </c>
      <c r="I138">
        <v>15400</v>
      </c>
      <c r="J138">
        <v>116600</v>
      </c>
      <c r="K138" t="s">
        <v>1635</v>
      </c>
      <c r="L138">
        <v>4450</v>
      </c>
      <c r="M138" s="7" t="s">
        <v>1636</v>
      </c>
      <c r="N138">
        <v>0</v>
      </c>
    </row>
    <row r="139" spans="1:14">
      <c r="A139">
        <v>1</v>
      </c>
      <c r="B139" t="s">
        <v>15</v>
      </c>
      <c r="C139" t="s">
        <v>495</v>
      </c>
      <c r="D139" t="s">
        <v>496</v>
      </c>
      <c r="E139" s="8">
        <v>45933</v>
      </c>
      <c r="F139">
        <v>4</v>
      </c>
      <c r="G139">
        <v>1365</v>
      </c>
      <c r="H139">
        <v>24963</v>
      </c>
      <c r="I139">
        <v>5460</v>
      </c>
      <c r="J139">
        <v>19503</v>
      </c>
      <c r="K139" t="s">
        <v>1635</v>
      </c>
      <c r="L139">
        <v>1365</v>
      </c>
      <c r="M139" s="7" t="s">
        <v>1636</v>
      </c>
      <c r="N139">
        <v>0</v>
      </c>
    </row>
    <row r="140" spans="1:14">
      <c r="A140">
        <v>1</v>
      </c>
      <c r="B140" t="s">
        <v>15</v>
      </c>
      <c r="C140" t="s">
        <v>501</v>
      </c>
      <c r="D140" t="s">
        <v>502</v>
      </c>
      <c r="E140" s="8">
        <v>45933</v>
      </c>
      <c r="F140">
        <v>4</v>
      </c>
      <c r="G140">
        <v>3300</v>
      </c>
      <c r="H140">
        <v>99900</v>
      </c>
      <c r="I140">
        <v>12300</v>
      </c>
      <c r="J140">
        <v>87600</v>
      </c>
      <c r="K140" t="s">
        <v>1635</v>
      </c>
      <c r="L140">
        <v>3300</v>
      </c>
      <c r="M140" s="7" t="s">
        <v>1636</v>
      </c>
      <c r="N140">
        <v>0</v>
      </c>
    </row>
    <row r="141" spans="1:14">
      <c r="A141">
        <v>1</v>
      </c>
      <c r="B141" t="s">
        <v>15</v>
      </c>
      <c r="C141" t="s">
        <v>511</v>
      </c>
      <c r="D141" t="s">
        <v>512</v>
      </c>
      <c r="E141" s="8">
        <v>45933</v>
      </c>
      <c r="F141">
        <v>4</v>
      </c>
      <c r="G141">
        <v>2967</v>
      </c>
      <c r="H141">
        <v>90192</v>
      </c>
      <c r="I141">
        <v>10621</v>
      </c>
      <c r="J141">
        <v>79571</v>
      </c>
      <c r="K141" t="s">
        <v>1635</v>
      </c>
      <c r="L141">
        <v>2967</v>
      </c>
      <c r="M141" s="7" t="s">
        <v>1636</v>
      </c>
      <c r="N141">
        <v>0</v>
      </c>
    </row>
    <row r="142" spans="1:14">
      <c r="A142">
        <v>1</v>
      </c>
      <c r="B142" t="s">
        <v>15</v>
      </c>
      <c r="C142" t="s">
        <v>515</v>
      </c>
      <c r="D142" t="s">
        <v>516</v>
      </c>
      <c r="E142" s="8">
        <v>45933</v>
      </c>
      <c r="F142">
        <v>4</v>
      </c>
      <c r="G142">
        <v>2800</v>
      </c>
      <c r="H142">
        <v>50038</v>
      </c>
      <c r="I142">
        <v>11200</v>
      </c>
      <c r="J142">
        <v>38838</v>
      </c>
      <c r="K142" t="s">
        <v>1635</v>
      </c>
      <c r="L142">
        <v>2800</v>
      </c>
      <c r="M142" s="7" t="s">
        <v>1636</v>
      </c>
      <c r="N142">
        <v>0</v>
      </c>
    </row>
    <row r="143" spans="1:14">
      <c r="A143">
        <v>1</v>
      </c>
      <c r="B143" t="s">
        <v>15</v>
      </c>
      <c r="C143" t="s">
        <v>517</v>
      </c>
      <c r="D143" t="s">
        <v>518</v>
      </c>
      <c r="E143" s="8">
        <v>45933</v>
      </c>
      <c r="F143">
        <v>4</v>
      </c>
      <c r="G143">
        <v>2500</v>
      </c>
      <c r="H143">
        <v>44480</v>
      </c>
      <c r="I143">
        <v>7500</v>
      </c>
      <c r="J143">
        <v>36980</v>
      </c>
      <c r="K143" t="s">
        <v>1635</v>
      </c>
      <c r="L143">
        <v>2500</v>
      </c>
      <c r="M143" s="7" t="s">
        <v>1636</v>
      </c>
      <c r="N143">
        <v>0</v>
      </c>
    </row>
    <row r="144" spans="1:14">
      <c r="A144">
        <v>1</v>
      </c>
      <c r="B144" t="s">
        <v>15</v>
      </c>
      <c r="C144" t="s">
        <v>521</v>
      </c>
      <c r="D144" t="s">
        <v>522</v>
      </c>
      <c r="E144" s="8">
        <v>45940</v>
      </c>
      <c r="F144">
        <v>4</v>
      </c>
      <c r="G144">
        <v>1302</v>
      </c>
      <c r="H144">
        <v>23001</v>
      </c>
      <c r="I144">
        <v>5208</v>
      </c>
      <c r="J144">
        <v>17793</v>
      </c>
      <c r="K144" t="s">
        <v>1635</v>
      </c>
      <c r="L144">
        <v>1302</v>
      </c>
      <c r="M144" s="7" t="s">
        <v>1636</v>
      </c>
      <c r="N144">
        <v>0</v>
      </c>
    </row>
    <row r="145" spans="1:14">
      <c r="A145">
        <v>1</v>
      </c>
      <c r="B145" t="s">
        <v>15</v>
      </c>
      <c r="C145" t="s">
        <v>523</v>
      </c>
      <c r="D145" t="s">
        <v>524</v>
      </c>
      <c r="E145" s="8">
        <v>45940</v>
      </c>
      <c r="F145">
        <v>4</v>
      </c>
      <c r="G145">
        <v>1755</v>
      </c>
      <c r="H145">
        <v>31400</v>
      </c>
      <c r="I145">
        <v>7020</v>
      </c>
      <c r="J145">
        <v>24380</v>
      </c>
      <c r="K145" t="s">
        <v>1635</v>
      </c>
      <c r="L145">
        <v>1755</v>
      </c>
      <c r="M145" s="7" t="s">
        <v>1636</v>
      </c>
      <c r="N145">
        <v>0</v>
      </c>
    </row>
    <row r="146" spans="1:14">
      <c r="A146">
        <v>1</v>
      </c>
      <c r="B146" t="s">
        <v>15</v>
      </c>
      <c r="C146" t="s">
        <v>535</v>
      </c>
      <c r="D146" t="s">
        <v>536</v>
      </c>
      <c r="E146" s="8">
        <v>45933</v>
      </c>
      <c r="F146">
        <v>4</v>
      </c>
      <c r="G146">
        <v>3256</v>
      </c>
      <c r="H146">
        <v>98799</v>
      </c>
      <c r="I146">
        <v>11248</v>
      </c>
      <c r="J146">
        <v>87551</v>
      </c>
      <c r="K146" t="s">
        <v>1635</v>
      </c>
      <c r="L146">
        <v>3256</v>
      </c>
      <c r="M146" s="7" t="s">
        <v>1636</v>
      </c>
      <c r="N146">
        <v>0</v>
      </c>
    </row>
    <row r="147" spans="1:14">
      <c r="A147">
        <v>1</v>
      </c>
      <c r="B147" t="s">
        <v>15</v>
      </c>
      <c r="C147" t="s">
        <v>544</v>
      </c>
      <c r="D147" t="s">
        <v>545</v>
      </c>
      <c r="E147" s="8">
        <v>45940</v>
      </c>
      <c r="F147">
        <v>4</v>
      </c>
      <c r="G147">
        <v>3339</v>
      </c>
      <c r="H147">
        <v>101368</v>
      </c>
      <c r="I147">
        <v>12137</v>
      </c>
      <c r="J147">
        <v>89231</v>
      </c>
      <c r="K147" t="s">
        <v>1635</v>
      </c>
      <c r="L147">
        <v>3339</v>
      </c>
      <c r="M147" s="7" t="s">
        <v>1636</v>
      </c>
      <c r="N147">
        <v>0</v>
      </c>
    </row>
    <row r="148" spans="1:14">
      <c r="A148">
        <v>1</v>
      </c>
      <c r="B148" t="s">
        <v>15</v>
      </c>
      <c r="C148" t="s">
        <v>546</v>
      </c>
      <c r="D148" t="s">
        <v>547</v>
      </c>
      <c r="E148" s="8">
        <v>45933</v>
      </c>
      <c r="F148">
        <v>4</v>
      </c>
      <c r="G148">
        <v>1620</v>
      </c>
      <c r="H148">
        <v>27862</v>
      </c>
      <c r="I148">
        <v>5990</v>
      </c>
      <c r="J148">
        <v>21872</v>
      </c>
      <c r="K148" t="s">
        <v>1635</v>
      </c>
      <c r="L148">
        <v>1620</v>
      </c>
      <c r="M148" s="7" t="s">
        <v>1636</v>
      </c>
      <c r="N148">
        <v>0</v>
      </c>
    </row>
    <row r="149" spans="1:14">
      <c r="A149">
        <v>1</v>
      </c>
      <c r="B149" t="s">
        <v>15</v>
      </c>
      <c r="C149" t="s">
        <v>554</v>
      </c>
      <c r="D149" t="s">
        <v>555</v>
      </c>
      <c r="E149" s="8">
        <v>45940</v>
      </c>
      <c r="F149">
        <v>4</v>
      </c>
      <c r="G149">
        <v>5358</v>
      </c>
      <c r="H149">
        <v>163831</v>
      </c>
      <c r="I149">
        <v>19784</v>
      </c>
      <c r="J149">
        <v>144047</v>
      </c>
      <c r="K149" t="s">
        <v>1635</v>
      </c>
      <c r="L149">
        <v>5358</v>
      </c>
      <c r="M149" s="7" t="s">
        <v>1636</v>
      </c>
      <c r="N149">
        <v>0</v>
      </c>
    </row>
    <row r="150" spans="1:14">
      <c r="A150">
        <v>1</v>
      </c>
      <c r="B150" t="s">
        <v>15</v>
      </c>
      <c r="C150" t="s">
        <v>558</v>
      </c>
      <c r="D150" t="s">
        <v>559</v>
      </c>
      <c r="E150" s="8">
        <v>45940</v>
      </c>
      <c r="F150">
        <v>4</v>
      </c>
      <c r="G150">
        <v>1440</v>
      </c>
      <c r="H150">
        <v>25912</v>
      </c>
      <c r="I150">
        <v>5760</v>
      </c>
      <c r="J150">
        <v>20152</v>
      </c>
      <c r="K150" t="s">
        <v>1635</v>
      </c>
      <c r="L150">
        <v>1440</v>
      </c>
      <c r="M150" s="7" t="s">
        <v>1636</v>
      </c>
      <c r="N150">
        <v>0</v>
      </c>
    </row>
    <row r="151" spans="1:14">
      <c r="A151">
        <v>1</v>
      </c>
      <c r="B151" t="s">
        <v>15</v>
      </c>
      <c r="C151" t="s">
        <v>590</v>
      </c>
      <c r="D151" t="s">
        <v>591</v>
      </c>
      <c r="E151" s="8">
        <v>45940</v>
      </c>
      <c r="F151">
        <v>4</v>
      </c>
      <c r="G151">
        <v>1491</v>
      </c>
      <c r="H151">
        <v>27758</v>
      </c>
      <c r="I151">
        <v>5964</v>
      </c>
      <c r="J151">
        <v>21794</v>
      </c>
      <c r="K151" t="s">
        <v>1635</v>
      </c>
      <c r="L151">
        <v>1491</v>
      </c>
      <c r="M151" s="7" t="s">
        <v>1636</v>
      </c>
      <c r="N151">
        <v>0</v>
      </c>
    </row>
    <row r="152" spans="1:14">
      <c r="A152">
        <v>1</v>
      </c>
      <c r="B152" t="s">
        <v>15</v>
      </c>
      <c r="C152" t="s">
        <v>596</v>
      </c>
      <c r="D152" t="s">
        <v>597</v>
      </c>
      <c r="E152" s="8">
        <v>45933</v>
      </c>
      <c r="F152">
        <v>4</v>
      </c>
      <c r="G152">
        <v>3567</v>
      </c>
      <c r="H152">
        <v>107595</v>
      </c>
      <c r="I152">
        <v>12391</v>
      </c>
      <c r="J152">
        <v>95204</v>
      </c>
      <c r="K152" t="s">
        <v>1635</v>
      </c>
      <c r="L152">
        <v>3567</v>
      </c>
      <c r="M152" s="7" t="s">
        <v>1636</v>
      </c>
      <c r="N152">
        <v>0</v>
      </c>
    </row>
    <row r="153" spans="1:14">
      <c r="A153">
        <v>1</v>
      </c>
      <c r="B153" t="s">
        <v>15</v>
      </c>
      <c r="C153" t="s">
        <v>600</v>
      </c>
      <c r="D153" t="s">
        <v>601</v>
      </c>
      <c r="E153" s="8">
        <v>45940</v>
      </c>
      <c r="F153">
        <v>4</v>
      </c>
      <c r="G153">
        <v>4524</v>
      </c>
      <c r="H153">
        <v>136666</v>
      </c>
      <c r="I153">
        <v>15652</v>
      </c>
      <c r="J153">
        <v>121014</v>
      </c>
      <c r="K153" t="s">
        <v>1635</v>
      </c>
      <c r="L153">
        <v>4524</v>
      </c>
      <c r="M153" s="7" t="s">
        <v>1636</v>
      </c>
      <c r="N153">
        <v>0</v>
      </c>
    </row>
    <row r="154" spans="1:14">
      <c r="A154">
        <v>1</v>
      </c>
      <c r="B154" t="s">
        <v>15</v>
      </c>
      <c r="C154" t="s">
        <v>620</v>
      </c>
      <c r="D154" t="s">
        <v>621</v>
      </c>
      <c r="E154" s="8">
        <v>45933</v>
      </c>
      <c r="F154">
        <v>4</v>
      </c>
      <c r="G154">
        <v>1350</v>
      </c>
      <c r="H154">
        <v>24498</v>
      </c>
      <c r="I154">
        <v>5400</v>
      </c>
      <c r="J154">
        <v>19098</v>
      </c>
      <c r="K154" t="s">
        <v>1635</v>
      </c>
      <c r="L154">
        <v>1350</v>
      </c>
      <c r="M154" s="7" t="s">
        <v>1636</v>
      </c>
      <c r="N154">
        <v>0</v>
      </c>
    </row>
    <row r="155" spans="1:14">
      <c r="A155">
        <v>1</v>
      </c>
      <c r="B155" t="s">
        <v>15</v>
      </c>
      <c r="C155" t="s">
        <v>624</v>
      </c>
      <c r="D155" t="s">
        <v>625</v>
      </c>
      <c r="E155" s="8">
        <v>45940</v>
      </c>
      <c r="F155">
        <v>4</v>
      </c>
      <c r="G155">
        <v>3817.8</v>
      </c>
      <c r="H155">
        <v>109800</v>
      </c>
      <c r="I155">
        <v>14007.4</v>
      </c>
      <c r="J155">
        <v>95792.6</v>
      </c>
      <c r="K155" t="s">
        <v>1635</v>
      </c>
      <c r="L155">
        <v>3817.8</v>
      </c>
      <c r="M155" s="7" t="s">
        <v>1636</v>
      </c>
      <c r="N155">
        <v>0</v>
      </c>
    </row>
    <row r="156" spans="1:14">
      <c r="A156">
        <v>1</v>
      </c>
      <c r="B156" t="s">
        <v>15</v>
      </c>
      <c r="C156" t="s">
        <v>632</v>
      </c>
      <c r="D156" t="s">
        <v>633</v>
      </c>
      <c r="E156" s="8">
        <v>45940</v>
      </c>
      <c r="F156">
        <v>4</v>
      </c>
      <c r="G156">
        <v>2928</v>
      </c>
      <c r="H156">
        <v>85000</v>
      </c>
      <c r="I156">
        <v>10804</v>
      </c>
      <c r="J156">
        <v>74196</v>
      </c>
      <c r="K156" t="s">
        <v>1635</v>
      </c>
      <c r="L156">
        <v>2928</v>
      </c>
      <c r="M156" s="7" t="s">
        <v>1636</v>
      </c>
      <c r="N156">
        <v>0</v>
      </c>
    </row>
    <row r="157" spans="1:14">
      <c r="A157">
        <v>1</v>
      </c>
      <c r="B157" t="s">
        <v>15</v>
      </c>
      <c r="C157" t="s">
        <v>638</v>
      </c>
      <c r="D157" t="s">
        <v>639</v>
      </c>
      <c r="E157" s="8">
        <v>45940</v>
      </c>
      <c r="F157">
        <v>4</v>
      </c>
      <c r="G157">
        <v>1273</v>
      </c>
      <c r="H157">
        <v>22732</v>
      </c>
      <c r="I157">
        <v>5092</v>
      </c>
      <c r="J157">
        <v>17640</v>
      </c>
      <c r="K157" t="s">
        <v>1635</v>
      </c>
      <c r="L157">
        <v>1273</v>
      </c>
      <c r="M157" s="7" t="s">
        <v>1636</v>
      </c>
      <c r="N157">
        <v>0</v>
      </c>
    </row>
    <row r="158" spans="1:14">
      <c r="A158">
        <v>1</v>
      </c>
      <c r="B158" t="s">
        <v>15</v>
      </c>
      <c r="C158" t="s">
        <v>659</v>
      </c>
      <c r="D158" t="s">
        <v>660</v>
      </c>
      <c r="E158" s="8">
        <v>45933</v>
      </c>
      <c r="F158">
        <v>4</v>
      </c>
      <c r="G158">
        <v>1360</v>
      </c>
      <c r="H158">
        <v>24696</v>
      </c>
      <c r="I158">
        <v>5440</v>
      </c>
      <c r="J158">
        <v>19256</v>
      </c>
      <c r="K158" t="s">
        <v>1635</v>
      </c>
      <c r="L158">
        <v>1360</v>
      </c>
      <c r="M158" s="7" t="s">
        <v>1636</v>
      </c>
      <c r="N158">
        <v>0</v>
      </c>
    </row>
    <row r="159" spans="1:14">
      <c r="A159">
        <v>1</v>
      </c>
      <c r="B159" t="s">
        <v>15</v>
      </c>
      <c r="C159" t="s">
        <v>671</v>
      </c>
      <c r="D159" t="s">
        <v>672</v>
      </c>
      <c r="E159" s="8">
        <v>45933</v>
      </c>
      <c r="F159">
        <v>4</v>
      </c>
      <c r="G159">
        <v>3360</v>
      </c>
      <c r="H159">
        <v>100000</v>
      </c>
      <c r="I159">
        <v>13440</v>
      </c>
      <c r="J159">
        <v>86560</v>
      </c>
      <c r="K159" t="s">
        <v>1635</v>
      </c>
      <c r="L159">
        <v>3360</v>
      </c>
      <c r="M159" s="7" t="s">
        <v>1636</v>
      </c>
      <c r="N159">
        <v>0</v>
      </c>
    </row>
    <row r="160" spans="1:14">
      <c r="A160">
        <v>1</v>
      </c>
      <c r="B160" t="s">
        <v>15</v>
      </c>
      <c r="C160" t="s">
        <v>790</v>
      </c>
      <c r="D160" t="s">
        <v>791</v>
      </c>
      <c r="E160" s="8">
        <v>45933</v>
      </c>
      <c r="F160">
        <v>4</v>
      </c>
      <c r="G160">
        <v>3780</v>
      </c>
      <c r="H160">
        <v>115818</v>
      </c>
      <c r="I160">
        <v>13740</v>
      </c>
      <c r="J160">
        <v>102078</v>
      </c>
      <c r="K160" t="s">
        <v>1635</v>
      </c>
      <c r="L160">
        <v>3780</v>
      </c>
      <c r="M160" s="7" t="s">
        <v>1636</v>
      </c>
      <c r="N160">
        <v>0</v>
      </c>
    </row>
    <row r="161" spans="1:14">
      <c r="A161">
        <v>1</v>
      </c>
      <c r="B161" t="s">
        <v>15</v>
      </c>
      <c r="C161" t="s">
        <v>53</v>
      </c>
      <c r="D161" t="s">
        <v>54</v>
      </c>
      <c r="E161" s="8">
        <v>45940</v>
      </c>
      <c r="F161">
        <v>5</v>
      </c>
      <c r="G161">
        <v>3471</v>
      </c>
      <c r="H161">
        <v>103759</v>
      </c>
      <c r="I161">
        <v>17355</v>
      </c>
      <c r="J161">
        <v>86404</v>
      </c>
      <c r="K161" t="s">
        <v>1635</v>
      </c>
      <c r="L161">
        <v>3471</v>
      </c>
      <c r="M161" s="7" t="s">
        <v>1636</v>
      </c>
      <c r="N161">
        <v>0</v>
      </c>
    </row>
    <row r="162" spans="1:14">
      <c r="A162">
        <v>1</v>
      </c>
      <c r="B162" t="s">
        <v>15</v>
      </c>
      <c r="C162" t="s">
        <v>61</v>
      </c>
      <c r="D162" t="s">
        <v>62</v>
      </c>
      <c r="E162" s="8">
        <v>45933</v>
      </c>
      <c r="F162">
        <v>5</v>
      </c>
      <c r="G162">
        <v>2992</v>
      </c>
      <c r="H162">
        <v>93250</v>
      </c>
      <c r="I162">
        <v>14361.33</v>
      </c>
      <c r="J162">
        <v>78888.67</v>
      </c>
      <c r="K162" t="s">
        <v>1635</v>
      </c>
      <c r="L162">
        <v>2992</v>
      </c>
      <c r="M162" s="7" t="s">
        <v>1636</v>
      </c>
      <c r="N162">
        <v>0</v>
      </c>
    </row>
    <row r="163" spans="1:14">
      <c r="A163">
        <v>1</v>
      </c>
      <c r="B163" t="s">
        <v>15</v>
      </c>
      <c r="C163" t="s">
        <v>71</v>
      </c>
      <c r="D163" t="s">
        <v>72</v>
      </c>
      <c r="E163" s="8">
        <v>45933</v>
      </c>
      <c r="F163">
        <v>5</v>
      </c>
      <c r="G163">
        <v>2415</v>
      </c>
      <c r="H163">
        <v>74625</v>
      </c>
      <c r="I163">
        <v>11672.5</v>
      </c>
      <c r="J163">
        <v>62952.5</v>
      </c>
      <c r="K163" t="s">
        <v>1635</v>
      </c>
      <c r="L163">
        <v>2415</v>
      </c>
      <c r="M163" s="7" t="s">
        <v>1636</v>
      </c>
      <c r="N163">
        <v>0</v>
      </c>
    </row>
    <row r="164" spans="1:14">
      <c r="A164">
        <v>1</v>
      </c>
      <c r="B164" t="s">
        <v>15</v>
      </c>
      <c r="C164" t="s">
        <v>102</v>
      </c>
      <c r="D164" t="s">
        <v>103</v>
      </c>
      <c r="E164" s="8">
        <v>45940</v>
      </c>
      <c r="F164">
        <v>5</v>
      </c>
      <c r="G164">
        <v>5460</v>
      </c>
      <c r="H164">
        <v>100000</v>
      </c>
      <c r="I164">
        <v>24390</v>
      </c>
      <c r="J164">
        <v>75610</v>
      </c>
      <c r="K164" t="s">
        <v>1635</v>
      </c>
      <c r="L164">
        <v>5460</v>
      </c>
      <c r="M164" s="7" t="s">
        <v>1636</v>
      </c>
      <c r="N164">
        <v>0</v>
      </c>
    </row>
    <row r="165" spans="1:14">
      <c r="A165">
        <v>1</v>
      </c>
      <c r="B165" t="s">
        <v>15</v>
      </c>
      <c r="C165" t="s">
        <v>106</v>
      </c>
      <c r="D165" t="s">
        <v>107</v>
      </c>
      <c r="E165" s="8">
        <v>45933</v>
      </c>
      <c r="F165">
        <v>5</v>
      </c>
      <c r="G165">
        <v>2926</v>
      </c>
      <c r="H165">
        <v>91996</v>
      </c>
      <c r="I165">
        <v>14630</v>
      </c>
      <c r="J165">
        <v>77366</v>
      </c>
      <c r="K165" t="s">
        <v>1635</v>
      </c>
      <c r="L165">
        <v>2926</v>
      </c>
      <c r="M165" s="7" t="s">
        <v>1636</v>
      </c>
      <c r="N165">
        <v>0</v>
      </c>
    </row>
    <row r="166" spans="1:14">
      <c r="A166">
        <v>1</v>
      </c>
      <c r="B166" t="s">
        <v>15</v>
      </c>
      <c r="C166" t="s">
        <v>108</v>
      </c>
      <c r="D166" t="s">
        <v>109</v>
      </c>
      <c r="E166" s="8">
        <v>45933</v>
      </c>
      <c r="F166">
        <v>5</v>
      </c>
      <c r="G166">
        <v>2709</v>
      </c>
      <c r="H166">
        <v>85845</v>
      </c>
      <c r="I166">
        <v>13206</v>
      </c>
      <c r="J166">
        <v>72639</v>
      </c>
      <c r="K166" t="s">
        <v>1635</v>
      </c>
      <c r="L166">
        <v>2709</v>
      </c>
      <c r="M166" s="7" t="s">
        <v>1636</v>
      </c>
      <c r="N166">
        <v>0</v>
      </c>
    </row>
    <row r="167" spans="1:14">
      <c r="A167">
        <v>1</v>
      </c>
      <c r="B167" t="s">
        <v>15</v>
      </c>
      <c r="C167" t="s">
        <v>123</v>
      </c>
      <c r="D167" t="s">
        <v>124</v>
      </c>
      <c r="E167" s="8">
        <v>45933</v>
      </c>
      <c r="F167">
        <v>5</v>
      </c>
      <c r="G167">
        <v>2700</v>
      </c>
      <c r="H167">
        <v>78148</v>
      </c>
      <c r="I167">
        <v>12375</v>
      </c>
      <c r="J167">
        <v>65773</v>
      </c>
      <c r="K167" t="s">
        <v>1635</v>
      </c>
      <c r="L167">
        <v>2700</v>
      </c>
      <c r="M167" s="7" t="s">
        <v>1636</v>
      </c>
      <c r="N167">
        <v>0</v>
      </c>
    </row>
    <row r="168" spans="1:14">
      <c r="A168">
        <v>1</v>
      </c>
      <c r="B168" t="s">
        <v>15</v>
      </c>
      <c r="C168" t="s">
        <v>125</v>
      </c>
      <c r="D168" t="s">
        <v>126</v>
      </c>
      <c r="E168" s="8">
        <v>45933</v>
      </c>
      <c r="F168">
        <v>5</v>
      </c>
      <c r="G168">
        <v>2774</v>
      </c>
      <c r="H168">
        <v>84023</v>
      </c>
      <c r="I168">
        <v>13772.67</v>
      </c>
      <c r="J168">
        <v>70250.33</v>
      </c>
      <c r="K168" t="s">
        <v>1635</v>
      </c>
      <c r="L168">
        <v>2774</v>
      </c>
      <c r="M168" s="7" t="s">
        <v>1636</v>
      </c>
      <c r="N168">
        <v>0</v>
      </c>
    </row>
    <row r="169" spans="1:14">
      <c r="A169">
        <v>1</v>
      </c>
      <c r="B169" t="s">
        <v>15</v>
      </c>
      <c r="C169" t="s">
        <v>145</v>
      </c>
      <c r="D169" t="s">
        <v>146</v>
      </c>
      <c r="E169" s="8">
        <v>45933</v>
      </c>
      <c r="F169">
        <v>5</v>
      </c>
      <c r="G169">
        <v>2237.1999999999998</v>
      </c>
      <c r="H169">
        <v>78000</v>
      </c>
      <c r="I169">
        <v>11186</v>
      </c>
      <c r="J169">
        <v>66814</v>
      </c>
      <c r="K169" t="s">
        <v>1635</v>
      </c>
      <c r="L169">
        <v>2237.1999999999998</v>
      </c>
      <c r="M169" s="7" t="s">
        <v>1636</v>
      </c>
      <c r="N169">
        <v>0</v>
      </c>
    </row>
    <row r="170" spans="1:14">
      <c r="A170">
        <v>1</v>
      </c>
      <c r="B170" t="s">
        <v>15</v>
      </c>
      <c r="C170" t="s">
        <v>149</v>
      </c>
      <c r="D170" t="s">
        <v>150</v>
      </c>
      <c r="E170" s="8">
        <v>45940</v>
      </c>
      <c r="F170">
        <v>5</v>
      </c>
      <c r="G170">
        <v>3445</v>
      </c>
      <c r="H170">
        <v>104637</v>
      </c>
      <c r="I170">
        <v>16163.33</v>
      </c>
      <c r="J170">
        <v>88473.67</v>
      </c>
      <c r="K170" t="s">
        <v>1635</v>
      </c>
      <c r="L170">
        <v>3445</v>
      </c>
      <c r="M170" s="7" t="s">
        <v>1636</v>
      </c>
      <c r="N170">
        <v>0</v>
      </c>
    </row>
    <row r="171" spans="1:14">
      <c r="A171">
        <v>1</v>
      </c>
      <c r="B171" t="s">
        <v>15</v>
      </c>
      <c r="C171" t="s">
        <v>354</v>
      </c>
      <c r="D171" t="s">
        <v>355</v>
      </c>
      <c r="E171" s="8">
        <v>45940</v>
      </c>
      <c r="F171">
        <v>5</v>
      </c>
      <c r="G171">
        <v>3976</v>
      </c>
      <c r="H171">
        <v>117000</v>
      </c>
      <c r="I171">
        <v>18794</v>
      </c>
      <c r="J171">
        <v>98206</v>
      </c>
      <c r="K171" t="s">
        <v>1635</v>
      </c>
      <c r="L171">
        <v>3976</v>
      </c>
      <c r="M171" s="7" t="s">
        <v>1636</v>
      </c>
      <c r="N171">
        <v>0</v>
      </c>
    </row>
    <row r="172" spans="1:14">
      <c r="A172">
        <v>1</v>
      </c>
      <c r="B172" t="s">
        <v>15</v>
      </c>
      <c r="C172" t="s">
        <v>362</v>
      </c>
      <c r="D172" t="s">
        <v>363</v>
      </c>
      <c r="E172" s="8">
        <v>45933</v>
      </c>
      <c r="F172">
        <v>5</v>
      </c>
      <c r="G172">
        <v>2035.5</v>
      </c>
      <c r="H172">
        <v>59000</v>
      </c>
      <c r="I172">
        <v>9597</v>
      </c>
      <c r="J172">
        <v>49403</v>
      </c>
      <c r="K172" t="s">
        <v>1635</v>
      </c>
      <c r="L172">
        <v>2035.5</v>
      </c>
      <c r="M172" s="7" t="s">
        <v>1636</v>
      </c>
      <c r="N172">
        <v>0</v>
      </c>
    </row>
    <row r="173" spans="1:14">
      <c r="A173">
        <v>1</v>
      </c>
      <c r="B173" t="s">
        <v>15</v>
      </c>
      <c r="C173" t="s">
        <v>368</v>
      </c>
      <c r="D173" t="s">
        <v>369</v>
      </c>
      <c r="E173" s="8">
        <v>45940</v>
      </c>
      <c r="F173">
        <v>5</v>
      </c>
      <c r="G173">
        <v>1615</v>
      </c>
      <c r="H173">
        <v>28553</v>
      </c>
      <c r="I173">
        <v>8075</v>
      </c>
      <c r="J173">
        <v>20478</v>
      </c>
      <c r="K173" t="s">
        <v>1635</v>
      </c>
      <c r="L173">
        <v>1615</v>
      </c>
      <c r="M173" s="7" t="s">
        <v>1636</v>
      </c>
      <c r="N173">
        <v>0</v>
      </c>
    </row>
    <row r="174" spans="1:14">
      <c r="A174">
        <v>1</v>
      </c>
      <c r="B174" t="s">
        <v>15</v>
      </c>
      <c r="C174" t="s">
        <v>383</v>
      </c>
      <c r="D174" t="s">
        <v>384</v>
      </c>
      <c r="E174" s="8">
        <v>45940</v>
      </c>
      <c r="F174">
        <v>5</v>
      </c>
      <c r="G174">
        <v>1540</v>
      </c>
      <c r="H174">
        <v>44340</v>
      </c>
      <c r="I174">
        <v>6160</v>
      </c>
      <c r="J174">
        <v>38180</v>
      </c>
      <c r="K174" t="s">
        <v>1635</v>
      </c>
      <c r="L174">
        <v>1540</v>
      </c>
      <c r="M174" s="7" t="s">
        <v>1636</v>
      </c>
      <c r="N174">
        <v>0</v>
      </c>
    </row>
    <row r="175" spans="1:14">
      <c r="A175">
        <v>1</v>
      </c>
      <c r="B175" t="s">
        <v>15</v>
      </c>
      <c r="C175" t="s">
        <v>385</v>
      </c>
      <c r="D175" t="s">
        <v>386</v>
      </c>
      <c r="E175" s="8">
        <v>45940</v>
      </c>
      <c r="F175">
        <v>5</v>
      </c>
      <c r="G175">
        <v>2914</v>
      </c>
      <c r="H175">
        <v>87624</v>
      </c>
      <c r="I175">
        <v>13536</v>
      </c>
      <c r="J175">
        <v>74088</v>
      </c>
      <c r="K175" t="s">
        <v>1635</v>
      </c>
      <c r="L175">
        <v>2914</v>
      </c>
      <c r="M175" s="7" t="s">
        <v>1636</v>
      </c>
      <c r="N175">
        <v>0</v>
      </c>
    </row>
    <row r="176" spans="1:14">
      <c r="A176">
        <v>1</v>
      </c>
      <c r="B176" t="s">
        <v>15</v>
      </c>
      <c r="C176" t="s">
        <v>389</v>
      </c>
      <c r="D176" t="s">
        <v>390</v>
      </c>
      <c r="E176" s="8">
        <v>45933</v>
      </c>
      <c r="F176">
        <v>5</v>
      </c>
      <c r="G176">
        <v>2397</v>
      </c>
      <c r="H176">
        <v>86683</v>
      </c>
      <c r="I176">
        <v>9212</v>
      </c>
      <c r="J176">
        <v>77471</v>
      </c>
      <c r="K176" t="s">
        <v>1635</v>
      </c>
      <c r="L176">
        <v>2397</v>
      </c>
      <c r="M176" s="7" t="s">
        <v>1636</v>
      </c>
      <c r="N176">
        <v>0</v>
      </c>
    </row>
    <row r="177" spans="1:14">
      <c r="A177">
        <v>1</v>
      </c>
      <c r="B177" t="s">
        <v>15</v>
      </c>
      <c r="C177" t="s">
        <v>407</v>
      </c>
      <c r="D177" t="s">
        <v>408</v>
      </c>
      <c r="E177" s="8">
        <v>45933</v>
      </c>
      <c r="F177">
        <v>5</v>
      </c>
      <c r="G177">
        <v>3375</v>
      </c>
      <c r="H177">
        <v>98000</v>
      </c>
      <c r="I177">
        <v>12430</v>
      </c>
      <c r="J177">
        <v>85570</v>
      </c>
      <c r="K177" t="s">
        <v>1635</v>
      </c>
      <c r="L177">
        <v>3375</v>
      </c>
      <c r="M177" s="7" t="s">
        <v>1636</v>
      </c>
      <c r="N177">
        <v>0</v>
      </c>
    </row>
    <row r="178" spans="1:14">
      <c r="A178">
        <v>1</v>
      </c>
      <c r="B178" t="s">
        <v>15</v>
      </c>
      <c r="C178" t="s">
        <v>411</v>
      </c>
      <c r="D178" t="s">
        <v>412</v>
      </c>
      <c r="E178" s="8">
        <v>45940</v>
      </c>
      <c r="F178">
        <v>5</v>
      </c>
      <c r="G178">
        <v>368</v>
      </c>
      <c r="H178">
        <v>9216</v>
      </c>
      <c r="I178">
        <v>2852</v>
      </c>
      <c r="J178">
        <v>6364</v>
      </c>
      <c r="K178" t="s">
        <v>1635</v>
      </c>
      <c r="L178">
        <v>368</v>
      </c>
      <c r="M178" s="7" t="s">
        <v>1636</v>
      </c>
      <c r="N178">
        <v>0</v>
      </c>
    </row>
    <row r="179" spans="1:14">
      <c r="A179">
        <v>1</v>
      </c>
      <c r="B179" t="s">
        <v>15</v>
      </c>
      <c r="C179" t="s">
        <v>433</v>
      </c>
      <c r="D179" t="s">
        <v>434</v>
      </c>
      <c r="E179" s="8">
        <v>45940</v>
      </c>
      <c r="F179">
        <v>5</v>
      </c>
      <c r="G179">
        <v>2400</v>
      </c>
      <c r="H179">
        <v>76000</v>
      </c>
      <c r="I179">
        <v>12506</v>
      </c>
      <c r="J179">
        <v>63494</v>
      </c>
      <c r="K179" t="s">
        <v>1635</v>
      </c>
      <c r="L179">
        <v>2400</v>
      </c>
      <c r="M179" s="7" t="s">
        <v>1636</v>
      </c>
      <c r="N179">
        <v>0</v>
      </c>
    </row>
    <row r="180" spans="1:14">
      <c r="A180">
        <v>1</v>
      </c>
      <c r="B180" t="s">
        <v>15</v>
      </c>
      <c r="C180" t="s">
        <v>634</v>
      </c>
      <c r="D180" t="s">
        <v>635</v>
      </c>
      <c r="E180" s="8">
        <v>45940</v>
      </c>
      <c r="F180">
        <v>5</v>
      </c>
      <c r="G180">
        <v>1399.92</v>
      </c>
      <c r="H180">
        <v>24606</v>
      </c>
      <c r="I180">
        <v>6999.6</v>
      </c>
      <c r="J180">
        <v>17606.400000000001</v>
      </c>
      <c r="K180" t="s">
        <v>1635</v>
      </c>
      <c r="L180">
        <v>1399.92</v>
      </c>
      <c r="M180" s="7" t="s">
        <v>1636</v>
      </c>
      <c r="N180">
        <v>0</v>
      </c>
    </row>
    <row r="181" spans="1:14">
      <c r="A181">
        <v>1</v>
      </c>
      <c r="B181" t="s">
        <v>15</v>
      </c>
      <c r="C181" t="s">
        <v>26</v>
      </c>
      <c r="D181" t="s">
        <v>27</v>
      </c>
      <c r="E181" s="8">
        <v>45933</v>
      </c>
      <c r="F181">
        <v>6</v>
      </c>
      <c r="G181">
        <v>2314</v>
      </c>
      <c r="H181">
        <v>61372</v>
      </c>
      <c r="I181">
        <v>9256</v>
      </c>
      <c r="J181">
        <v>52116</v>
      </c>
      <c r="K181" t="s">
        <v>1635</v>
      </c>
      <c r="L181">
        <v>2314</v>
      </c>
      <c r="M181" s="7" t="s">
        <v>1636</v>
      </c>
      <c r="N181">
        <v>0</v>
      </c>
    </row>
    <row r="182" spans="1:14">
      <c r="A182">
        <v>1</v>
      </c>
      <c r="B182" t="s">
        <v>15</v>
      </c>
      <c r="C182" t="s">
        <v>34</v>
      </c>
      <c r="D182" t="s">
        <v>35</v>
      </c>
      <c r="E182" s="8">
        <v>45933</v>
      </c>
      <c r="F182">
        <v>6</v>
      </c>
      <c r="G182">
        <v>3709.8</v>
      </c>
      <c r="H182">
        <v>109806</v>
      </c>
      <c r="I182">
        <v>20268.3299999999</v>
      </c>
      <c r="J182">
        <v>89537.67</v>
      </c>
      <c r="K182" t="s">
        <v>1635</v>
      </c>
      <c r="L182">
        <v>3709.8</v>
      </c>
      <c r="M182" s="7" t="s">
        <v>1636</v>
      </c>
      <c r="N182">
        <v>0</v>
      </c>
    </row>
    <row r="183" spans="1:14">
      <c r="A183">
        <v>1</v>
      </c>
      <c r="B183" t="s">
        <v>15</v>
      </c>
      <c r="C183" t="s">
        <v>77</v>
      </c>
      <c r="D183" t="s">
        <v>78</v>
      </c>
      <c r="E183" s="8">
        <v>45933</v>
      </c>
      <c r="F183">
        <v>6</v>
      </c>
      <c r="G183">
        <v>4165</v>
      </c>
      <c r="H183">
        <v>78585</v>
      </c>
      <c r="I183">
        <v>19893</v>
      </c>
      <c r="J183">
        <v>58692</v>
      </c>
      <c r="K183" t="s">
        <v>1635</v>
      </c>
      <c r="L183">
        <v>4165</v>
      </c>
      <c r="M183" s="7" t="s">
        <v>1636</v>
      </c>
      <c r="N183">
        <v>0</v>
      </c>
    </row>
    <row r="184" spans="1:14">
      <c r="A184">
        <v>1</v>
      </c>
      <c r="B184" t="s">
        <v>15</v>
      </c>
      <c r="C184" t="s">
        <v>336</v>
      </c>
      <c r="D184" t="s">
        <v>337</v>
      </c>
      <c r="E184" s="8">
        <v>45940</v>
      </c>
      <c r="F184">
        <v>6</v>
      </c>
      <c r="G184">
        <v>2400</v>
      </c>
      <c r="H184">
        <v>44000</v>
      </c>
      <c r="I184">
        <v>14400</v>
      </c>
      <c r="J184">
        <v>29600</v>
      </c>
      <c r="K184" t="s">
        <v>1635</v>
      </c>
      <c r="L184">
        <v>2400</v>
      </c>
      <c r="M184" s="7" t="s">
        <v>1636</v>
      </c>
      <c r="N184">
        <v>0</v>
      </c>
    </row>
    <row r="185" spans="1:14">
      <c r="A185">
        <v>1</v>
      </c>
      <c r="B185" t="s">
        <v>15</v>
      </c>
      <c r="C185" t="s">
        <v>312</v>
      </c>
      <c r="D185" t="s">
        <v>313</v>
      </c>
      <c r="E185" s="8">
        <v>45940</v>
      </c>
      <c r="F185">
        <v>7</v>
      </c>
      <c r="G185">
        <v>1782</v>
      </c>
      <c r="H185">
        <v>52000</v>
      </c>
      <c r="I185">
        <v>12474</v>
      </c>
      <c r="J185">
        <v>39526</v>
      </c>
      <c r="K185" t="s">
        <v>1635</v>
      </c>
      <c r="L185">
        <v>1782</v>
      </c>
      <c r="M185" s="7" t="s">
        <v>1636</v>
      </c>
      <c r="N185">
        <v>0</v>
      </c>
    </row>
    <row r="186" spans="1:14">
      <c r="A186">
        <v>1</v>
      </c>
      <c r="B186" t="s">
        <v>15</v>
      </c>
      <c r="C186" t="s">
        <v>316</v>
      </c>
      <c r="D186" t="s">
        <v>317</v>
      </c>
      <c r="E186" s="8">
        <v>45940</v>
      </c>
      <c r="F186">
        <v>7</v>
      </c>
      <c r="G186">
        <v>2790</v>
      </c>
      <c r="H186">
        <v>77507.5</v>
      </c>
      <c r="I186">
        <v>11160</v>
      </c>
      <c r="J186">
        <v>66347.5</v>
      </c>
      <c r="K186" t="s">
        <v>1635</v>
      </c>
      <c r="L186">
        <v>2790</v>
      </c>
      <c r="M186" s="7" t="s">
        <v>1636</v>
      </c>
      <c r="N186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1DA-42F8-442E-8C52-69B189A30B1E}">
  <dimension ref="A1:N216"/>
  <sheetViews>
    <sheetView topLeftCell="C1" workbookViewId="0">
      <selection activeCell="K3" sqref="K3"/>
    </sheetView>
  </sheetViews>
  <sheetFormatPr baseColWidth="10" defaultColWidth="8.83203125" defaultRowHeight="14"/>
  <cols>
    <col min="1" max="1" width="11.6640625" bestFit="1" customWidth="1"/>
    <col min="2" max="2" width="31.5" bestFit="1" customWidth="1"/>
    <col min="3" max="3" width="18.33203125" bestFit="1" customWidth="1"/>
    <col min="4" max="4" width="13.83203125" bestFit="1" customWidth="1"/>
    <col min="5" max="5" width="18.33203125" bestFit="1" customWidth="1"/>
    <col min="6" max="6" width="9.5" bestFit="1" customWidth="1"/>
    <col min="7" max="8" width="18.33203125" bestFit="1" customWidth="1"/>
    <col min="9" max="10" width="16.1640625" bestFit="1" customWidth="1"/>
    <col min="11" max="11" width="13.83203125" bestFit="1" customWidth="1"/>
    <col min="12" max="12" width="18.33203125" bestFit="1" customWidth="1"/>
    <col min="13" max="14" width="13.8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32</v>
      </c>
      <c r="D2" t="s">
        <v>33</v>
      </c>
      <c r="E2" s="8">
        <v>45947</v>
      </c>
      <c r="F2">
        <v>2</v>
      </c>
      <c r="G2">
        <v>9263</v>
      </c>
      <c r="H2">
        <v>164000</v>
      </c>
      <c r="I2">
        <v>18526</v>
      </c>
      <c r="J2">
        <v>145474</v>
      </c>
      <c r="K2" t="s">
        <v>1635</v>
      </c>
      <c r="L2">
        <v>9263</v>
      </c>
      <c r="M2" s="7" t="s">
        <v>1636</v>
      </c>
      <c r="N2">
        <v>0</v>
      </c>
    </row>
    <row r="3" spans="1:14">
      <c r="A3">
        <v>1</v>
      </c>
      <c r="B3" t="s">
        <v>15</v>
      </c>
      <c r="C3" t="s">
        <v>636</v>
      </c>
      <c r="D3" t="s">
        <v>637</v>
      </c>
      <c r="E3" s="8">
        <v>45947</v>
      </c>
      <c r="F3">
        <v>2</v>
      </c>
      <c r="G3">
        <v>1300</v>
      </c>
      <c r="H3">
        <v>23000</v>
      </c>
      <c r="I3">
        <v>2600</v>
      </c>
      <c r="J3">
        <v>20400</v>
      </c>
      <c r="K3" t="s">
        <v>1635</v>
      </c>
      <c r="L3">
        <v>1300</v>
      </c>
      <c r="M3" s="7" t="s">
        <v>1636</v>
      </c>
      <c r="N3">
        <v>0</v>
      </c>
    </row>
    <row r="4" spans="1:14">
      <c r="A4">
        <v>1</v>
      </c>
      <c r="B4" t="s">
        <v>15</v>
      </c>
      <c r="C4" t="s">
        <v>667</v>
      </c>
      <c r="D4" t="s">
        <v>668</v>
      </c>
      <c r="E4" s="8">
        <v>45947</v>
      </c>
      <c r="F4">
        <v>2</v>
      </c>
      <c r="G4">
        <v>2923</v>
      </c>
      <c r="H4">
        <v>84279</v>
      </c>
      <c r="I4">
        <v>5846</v>
      </c>
      <c r="J4">
        <v>78433</v>
      </c>
      <c r="K4" t="s">
        <v>1635</v>
      </c>
      <c r="L4">
        <v>2923</v>
      </c>
      <c r="M4" s="7" t="s">
        <v>1636</v>
      </c>
      <c r="N4">
        <v>0</v>
      </c>
    </row>
    <row r="5" spans="1:14">
      <c r="A5">
        <v>1</v>
      </c>
      <c r="B5" t="s">
        <v>15</v>
      </c>
      <c r="C5" t="s">
        <v>684</v>
      </c>
      <c r="D5" t="s">
        <v>685</v>
      </c>
      <c r="E5" s="8">
        <v>45947</v>
      </c>
      <c r="F5">
        <v>2</v>
      </c>
      <c r="G5">
        <v>2225</v>
      </c>
      <c r="H5">
        <v>67500</v>
      </c>
      <c r="I5">
        <v>3225</v>
      </c>
      <c r="J5">
        <v>64275</v>
      </c>
      <c r="K5" t="s">
        <v>1635</v>
      </c>
      <c r="L5">
        <v>2225</v>
      </c>
      <c r="M5" s="7" t="s">
        <v>1636</v>
      </c>
      <c r="N5">
        <v>0</v>
      </c>
    </row>
    <row r="6" spans="1:14">
      <c r="A6">
        <v>1</v>
      </c>
      <c r="B6" t="s">
        <v>15</v>
      </c>
      <c r="C6" t="s">
        <v>743</v>
      </c>
      <c r="D6" t="s">
        <v>744</v>
      </c>
      <c r="E6" s="8">
        <v>45947</v>
      </c>
      <c r="F6">
        <v>2</v>
      </c>
      <c r="G6">
        <v>1575</v>
      </c>
      <c r="H6">
        <v>45000</v>
      </c>
      <c r="I6">
        <v>2910</v>
      </c>
      <c r="J6">
        <v>42090</v>
      </c>
      <c r="K6" t="s">
        <v>1635</v>
      </c>
      <c r="L6">
        <v>1575</v>
      </c>
      <c r="M6" s="7" t="s">
        <v>1636</v>
      </c>
      <c r="N6">
        <v>0</v>
      </c>
    </row>
    <row r="7" spans="1:14">
      <c r="A7">
        <v>1</v>
      </c>
      <c r="B7" t="s">
        <v>15</v>
      </c>
      <c r="C7" t="s">
        <v>761</v>
      </c>
      <c r="D7" t="s">
        <v>762</v>
      </c>
      <c r="E7" s="8">
        <v>45947</v>
      </c>
      <c r="F7">
        <v>2</v>
      </c>
      <c r="G7">
        <v>3550</v>
      </c>
      <c r="H7">
        <v>105700</v>
      </c>
      <c r="I7">
        <v>5550</v>
      </c>
      <c r="J7">
        <v>100150</v>
      </c>
      <c r="K7" t="s">
        <v>1635</v>
      </c>
      <c r="L7">
        <v>3550</v>
      </c>
      <c r="M7" s="7" t="s">
        <v>1636</v>
      </c>
      <c r="N7">
        <v>0</v>
      </c>
    </row>
    <row r="8" spans="1:14">
      <c r="A8">
        <v>1</v>
      </c>
      <c r="B8" t="s">
        <v>15</v>
      </c>
      <c r="C8" t="s">
        <v>792</v>
      </c>
      <c r="D8" t="s">
        <v>793</v>
      </c>
      <c r="E8" s="8">
        <v>45954</v>
      </c>
      <c r="F8">
        <v>2</v>
      </c>
      <c r="G8">
        <v>4620</v>
      </c>
      <c r="H8">
        <v>137000</v>
      </c>
      <c r="I8">
        <v>7420</v>
      </c>
      <c r="J8">
        <v>129580</v>
      </c>
      <c r="K8" t="s">
        <v>1635</v>
      </c>
      <c r="L8">
        <v>4620</v>
      </c>
      <c r="M8" s="7" t="s">
        <v>1636</v>
      </c>
      <c r="N8">
        <v>0</v>
      </c>
    </row>
    <row r="9" spans="1:14">
      <c r="A9">
        <v>1</v>
      </c>
      <c r="B9" t="s">
        <v>15</v>
      </c>
      <c r="C9" t="s">
        <v>18</v>
      </c>
      <c r="D9" t="s">
        <v>19</v>
      </c>
      <c r="E9" s="8">
        <v>45954</v>
      </c>
      <c r="F9">
        <v>3</v>
      </c>
      <c r="G9">
        <v>1211.33</v>
      </c>
      <c r="H9">
        <v>49162</v>
      </c>
      <c r="I9">
        <v>3633.99</v>
      </c>
      <c r="J9">
        <v>45528.01</v>
      </c>
      <c r="K9" t="s">
        <v>1635</v>
      </c>
      <c r="L9">
        <v>1211.33</v>
      </c>
      <c r="M9" s="7" t="s">
        <v>1636</v>
      </c>
      <c r="N9">
        <v>0</v>
      </c>
    </row>
    <row r="10" spans="1:14">
      <c r="A10">
        <v>1</v>
      </c>
      <c r="B10" t="s">
        <v>15</v>
      </c>
      <c r="C10" t="s">
        <v>22</v>
      </c>
      <c r="D10" t="s">
        <v>23</v>
      </c>
      <c r="E10" s="8">
        <v>45954</v>
      </c>
      <c r="F10">
        <v>3</v>
      </c>
      <c r="G10">
        <v>2420</v>
      </c>
      <c r="H10">
        <v>50000</v>
      </c>
      <c r="I10">
        <v>7260</v>
      </c>
      <c r="J10">
        <v>42740</v>
      </c>
      <c r="K10" t="s">
        <v>1635</v>
      </c>
      <c r="L10">
        <v>2420</v>
      </c>
      <c r="M10" s="7" t="s">
        <v>1636</v>
      </c>
      <c r="N10">
        <v>0</v>
      </c>
    </row>
    <row r="11" spans="1:14">
      <c r="A11">
        <v>1</v>
      </c>
      <c r="B11" t="s">
        <v>15</v>
      </c>
      <c r="C11" t="s">
        <v>30</v>
      </c>
      <c r="D11" t="s">
        <v>31</v>
      </c>
      <c r="E11" s="8">
        <v>45954</v>
      </c>
      <c r="F11">
        <v>3</v>
      </c>
      <c r="G11">
        <v>2835</v>
      </c>
      <c r="H11">
        <v>84000</v>
      </c>
      <c r="I11">
        <v>8505</v>
      </c>
      <c r="J11">
        <v>75495</v>
      </c>
      <c r="K11" t="s">
        <v>1635</v>
      </c>
      <c r="L11">
        <v>2835</v>
      </c>
      <c r="M11" s="7" t="s">
        <v>1636</v>
      </c>
      <c r="N11">
        <v>0</v>
      </c>
    </row>
    <row r="12" spans="1:14">
      <c r="A12">
        <v>1</v>
      </c>
      <c r="B12" t="s">
        <v>15</v>
      </c>
      <c r="C12" t="s">
        <v>223</v>
      </c>
      <c r="D12" t="s">
        <v>224</v>
      </c>
      <c r="E12" s="8">
        <v>45954</v>
      </c>
      <c r="F12">
        <v>3</v>
      </c>
      <c r="G12">
        <v>2800</v>
      </c>
      <c r="H12">
        <v>83560</v>
      </c>
      <c r="I12">
        <v>8400</v>
      </c>
      <c r="J12">
        <v>75160</v>
      </c>
      <c r="K12" t="s">
        <v>1635</v>
      </c>
      <c r="L12">
        <v>2800</v>
      </c>
      <c r="M12" s="7" t="s">
        <v>1636</v>
      </c>
      <c r="N12">
        <v>0</v>
      </c>
    </row>
    <row r="13" spans="1:14">
      <c r="A13">
        <v>1</v>
      </c>
      <c r="B13" t="s">
        <v>15</v>
      </c>
      <c r="C13" t="s">
        <v>248</v>
      </c>
      <c r="D13" t="s">
        <v>249</v>
      </c>
      <c r="E13" s="8">
        <v>45947</v>
      </c>
      <c r="F13">
        <v>3</v>
      </c>
      <c r="G13">
        <v>2940</v>
      </c>
      <c r="H13">
        <v>77000</v>
      </c>
      <c r="I13">
        <v>7410</v>
      </c>
      <c r="J13">
        <v>69590</v>
      </c>
      <c r="K13" t="s">
        <v>1635</v>
      </c>
      <c r="L13">
        <v>2940</v>
      </c>
      <c r="M13" s="7" t="s">
        <v>1636</v>
      </c>
      <c r="N13">
        <v>0</v>
      </c>
    </row>
    <row r="14" spans="1:14">
      <c r="A14">
        <v>1</v>
      </c>
      <c r="B14" t="s">
        <v>15</v>
      </c>
      <c r="C14" t="s">
        <v>252</v>
      </c>
      <c r="D14" t="s">
        <v>253</v>
      </c>
      <c r="E14" s="8">
        <v>45947</v>
      </c>
      <c r="F14">
        <v>3</v>
      </c>
      <c r="G14">
        <v>2409</v>
      </c>
      <c r="H14">
        <v>74625</v>
      </c>
      <c r="I14">
        <v>7227</v>
      </c>
      <c r="J14">
        <v>67398</v>
      </c>
      <c r="K14" t="s">
        <v>1635</v>
      </c>
      <c r="L14">
        <v>2409</v>
      </c>
      <c r="M14" s="7" t="s">
        <v>1636</v>
      </c>
      <c r="N14">
        <v>0</v>
      </c>
    </row>
    <row r="15" spans="1:14">
      <c r="A15">
        <v>1</v>
      </c>
      <c r="B15" t="s">
        <v>15</v>
      </c>
      <c r="C15" t="s">
        <v>254</v>
      </c>
      <c r="D15" t="s">
        <v>255</v>
      </c>
      <c r="E15" s="8">
        <v>45954</v>
      </c>
      <c r="F15">
        <v>3</v>
      </c>
      <c r="G15">
        <v>3840</v>
      </c>
      <c r="H15">
        <v>115413</v>
      </c>
      <c r="I15">
        <v>11520</v>
      </c>
      <c r="J15">
        <v>103893</v>
      </c>
      <c r="K15" t="s">
        <v>1635</v>
      </c>
      <c r="L15">
        <v>3840</v>
      </c>
      <c r="M15" s="7" t="s">
        <v>1636</v>
      </c>
      <c r="N15">
        <v>0</v>
      </c>
    </row>
    <row r="16" spans="1:14">
      <c r="A16">
        <v>1</v>
      </c>
      <c r="B16" t="s">
        <v>15</v>
      </c>
      <c r="C16" t="s">
        <v>260</v>
      </c>
      <c r="D16" t="s">
        <v>261</v>
      </c>
      <c r="E16" s="8">
        <v>45954</v>
      </c>
      <c r="F16">
        <v>3</v>
      </c>
      <c r="G16">
        <v>2660</v>
      </c>
      <c r="H16">
        <v>78299</v>
      </c>
      <c r="I16">
        <v>7980</v>
      </c>
      <c r="J16">
        <v>70319</v>
      </c>
      <c r="K16" t="s">
        <v>1635</v>
      </c>
      <c r="L16">
        <v>2660</v>
      </c>
      <c r="M16" s="7" t="s">
        <v>1636</v>
      </c>
      <c r="N16">
        <v>0</v>
      </c>
    </row>
    <row r="17" spans="1:14">
      <c r="A17">
        <v>1</v>
      </c>
      <c r="B17" t="s">
        <v>15</v>
      </c>
      <c r="C17" t="s">
        <v>264</v>
      </c>
      <c r="D17" t="s">
        <v>265</v>
      </c>
      <c r="E17" s="8">
        <v>45954</v>
      </c>
      <c r="F17">
        <v>3</v>
      </c>
      <c r="G17">
        <v>3850</v>
      </c>
      <c r="H17">
        <v>115960</v>
      </c>
      <c r="I17">
        <v>11550</v>
      </c>
      <c r="J17">
        <v>104410</v>
      </c>
      <c r="K17" t="s">
        <v>1635</v>
      </c>
      <c r="L17">
        <v>3850</v>
      </c>
      <c r="M17" s="7" t="s">
        <v>1636</v>
      </c>
      <c r="N17">
        <v>0</v>
      </c>
    </row>
    <row r="18" spans="1:14">
      <c r="A18">
        <v>1</v>
      </c>
      <c r="B18" t="s">
        <v>15</v>
      </c>
      <c r="C18" t="s">
        <v>266</v>
      </c>
      <c r="D18" t="s">
        <v>267</v>
      </c>
      <c r="E18" s="8">
        <v>45947</v>
      </c>
      <c r="F18">
        <v>3</v>
      </c>
      <c r="G18">
        <v>2300</v>
      </c>
      <c r="H18">
        <v>43500</v>
      </c>
      <c r="I18">
        <v>6490</v>
      </c>
      <c r="J18">
        <v>37010</v>
      </c>
      <c r="K18" t="s">
        <v>1635</v>
      </c>
      <c r="L18">
        <v>2300</v>
      </c>
      <c r="M18" s="7" t="s">
        <v>1636</v>
      </c>
      <c r="N18">
        <v>0</v>
      </c>
    </row>
    <row r="19" spans="1:14">
      <c r="A19">
        <v>1</v>
      </c>
      <c r="B19" t="s">
        <v>15</v>
      </c>
      <c r="C19" t="s">
        <v>278</v>
      </c>
      <c r="D19" t="s">
        <v>279</v>
      </c>
      <c r="E19" s="8">
        <v>45947</v>
      </c>
      <c r="F19">
        <v>3</v>
      </c>
      <c r="G19">
        <v>4608</v>
      </c>
      <c r="H19">
        <v>84625</v>
      </c>
      <c r="I19">
        <v>11856</v>
      </c>
      <c r="J19">
        <v>72769</v>
      </c>
      <c r="K19" t="s">
        <v>1635</v>
      </c>
      <c r="L19">
        <v>4608</v>
      </c>
      <c r="M19" s="7" t="s">
        <v>1636</v>
      </c>
      <c r="N19">
        <v>0</v>
      </c>
    </row>
    <row r="20" spans="1:14">
      <c r="A20">
        <v>1</v>
      </c>
      <c r="B20" t="s">
        <v>15</v>
      </c>
      <c r="C20" t="s">
        <v>284</v>
      </c>
      <c r="D20" t="s">
        <v>285</v>
      </c>
      <c r="E20" s="8">
        <v>45947</v>
      </c>
      <c r="F20">
        <v>3</v>
      </c>
      <c r="G20">
        <v>6020</v>
      </c>
      <c r="H20">
        <v>111290</v>
      </c>
      <c r="I20">
        <v>17406.669999999998</v>
      </c>
      <c r="J20">
        <v>93883.33</v>
      </c>
      <c r="K20" t="s">
        <v>1635</v>
      </c>
      <c r="L20">
        <v>6020</v>
      </c>
      <c r="M20" s="7" t="s">
        <v>1636</v>
      </c>
      <c r="N20">
        <v>0</v>
      </c>
    </row>
    <row r="21" spans="1:14">
      <c r="A21">
        <v>1</v>
      </c>
      <c r="B21" t="s">
        <v>15</v>
      </c>
      <c r="C21" t="s">
        <v>292</v>
      </c>
      <c r="D21" t="s">
        <v>293</v>
      </c>
      <c r="E21" s="8">
        <v>45947</v>
      </c>
      <c r="F21">
        <v>3</v>
      </c>
      <c r="G21">
        <v>2250</v>
      </c>
      <c r="H21">
        <v>78580</v>
      </c>
      <c r="I21">
        <v>6750</v>
      </c>
      <c r="J21">
        <v>71830</v>
      </c>
      <c r="K21" t="s">
        <v>1635</v>
      </c>
      <c r="L21">
        <v>2250</v>
      </c>
      <c r="M21" s="7" t="s">
        <v>1636</v>
      </c>
      <c r="N21">
        <v>0</v>
      </c>
    </row>
    <row r="22" spans="1:14">
      <c r="A22">
        <v>1</v>
      </c>
      <c r="B22" t="s">
        <v>15</v>
      </c>
      <c r="C22" t="s">
        <v>298</v>
      </c>
      <c r="D22" t="s">
        <v>299</v>
      </c>
      <c r="E22" s="8">
        <v>45954</v>
      </c>
      <c r="F22">
        <v>3</v>
      </c>
      <c r="G22">
        <v>2856</v>
      </c>
      <c r="H22">
        <v>85872</v>
      </c>
      <c r="I22">
        <v>8205.33</v>
      </c>
      <c r="J22">
        <v>77666.67</v>
      </c>
      <c r="K22" t="s">
        <v>1635</v>
      </c>
      <c r="L22">
        <v>2856</v>
      </c>
      <c r="M22" s="7" t="s">
        <v>1636</v>
      </c>
      <c r="N22">
        <v>0</v>
      </c>
    </row>
    <row r="23" spans="1:14">
      <c r="A23">
        <v>1</v>
      </c>
      <c r="B23" t="s">
        <v>15</v>
      </c>
      <c r="C23" t="s">
        <v>300</v>
      </c>
      <c r="D23" t="s">
        <v>301</v>
      </c>
      <c r="E23" s="8">
        <v>45954</v>
      </c>
      <c r="F23">
        <v>3</v>
      </c>
      <c r="G23">
        <v>2520</v>
      </c>
      <c r="H23">
        <v>75800</v>
      </c>
      <c r="I23">
        <v>7340</v>
      </c>
      <c r="J23">
        <v>68460</v>
      </c>
      <c r="K23" t="s">
        <v>1635</v>
      </c>
      <c r="L23">
        <v>2520</v>
      </c>
      <c r="M23" s="7" t="s">
        <v>1636</v>
      </c>
      <c r="N23">
        <v>0</v>
      </c>
    </row>
    <row r="24" spans="1:14">
      <c r="A24">
        <v>1</v>
      </c>
      <c r="B24" t="s">
        <v>15</v>
      </c>
      <c r="C24" t="s">
        <v>302</v>
      </c>
      <c r="D24" t="s">
        <v>303</v>
      </c>
      <c r="E24" s="8">
        <v>45947</v>
      </c>
      <c r="F24">
        <v>3</v>
      </c>
      <c r="G24">
        <v>2850</v>
      </c>
      <c r="H24">
        <v>84946</v>
      </c>
      <c r="I24">
        <v>8450</v>
      </c>
      <c r="J24">
        <v>76496</v>
      </c>
      <c r="K24" t="s">
        <v>1635</v>
      </c>
      <c r="L24">
        <v>2850</v>
      </c>
      <c r="M24" s="7" t="s">
        <v>1636</v>
      </c>
      <c r="N24">
        <v>0</v>
      </c>
    </row>
    <row r="25" spans="1:14">
      <c r="A25">
        <v>1</v>
      </c>
      <c r="B25" t="s">
        <v>15</v>
      </c>
      <c r="C25" t="s">
        <v>348</v>
      </c>
      <c r="D25" t="s">
        <v>349</v>
      </c>
      <c r="E25" s="8">
        <v>45947</v>
      </c>
      <c r="F25">
        <v>3</v>
      </c>
      <c r="G25">
        <v>3120</v>
      </c>
      <c r="H25">
        <v>99693</v>
      </c>
      <c r="I25">
        <v>8390</v>
      </c>
      <c r="J25">
        <v>91303</v>
      </c>
      <c r="K25" t="s">
        <v>1635</v>
      </c>
      <c r="L25">
        <v>3120</v>
      </c>
      <c r="M25" s="7" t="s">
        <v>1636</v>
      </c>
      <c r="N25">
        <v>0</v>
      </c>
    </row>
    <row r="26" spans="1:14">
      <c r="A26">
        <v>1</v>
      </c>
      <c r="B26" t="s">
        <v>15</v>
      </c>
      <c r="C26" t="s">
        <v>469</v>
      </c>
      <c r="D26" t="s">
        <v>470</v>
      </c>
      <c r="E26" s="8">
        <v>45947</v>
      </c>
      <c r="F26">
        <v>3</v>
      </c>
      <c r="G26">
        <v>2964</v>
      </c>
      <c r="H26">
        <v>89000</v>
      </c>
      <c r="I26">
        <v>6006</v>
      </c>
      <c r="J26">
        <v>82994</v>
      </c>
      <c r="K26" t="s">
        <v>1635</v>
      </c>
      <c r="L26">
        <v>2964</v>
      </c>
      <c r="M26" s="7" t="s">
        <v>1636</v>
      </c>
      <c r="N26">
        <v>0</v>
      </c>
    </row>
    <row r="27" spans="1:14">
      <c r="A27">
        <v>1</v>
      </c>
      <c r="B27" t="s">
        <v>15</v>
      </c>
      <c r="C27" t="s">
        <v>499</v>
      </c>
      <c r="D27" t="s">
        <v>500</v>
      </c>
      <c r="E27" s="8">
        <v>45947</v>
      </c>
      <c r="F27">
        <v>3</v>
      </c>
      <c r="G27">
        <v>3108</v>
      </c>
      <c r="H27">
        <v>101346</v>
      </c>
      <c r="I27">
        <v>8876</v>
      </c>
      <c r="J27">
        <v>92470</v>
      </c>
      <c r="K27" t="s">
        <v>1635</v>
      </c>
      <c r="L27">
        <v>3108</v>
      </c>
      <c r="M27" s="7" t="s">
        <v>1636</v>
      </c>
      <c r="N27">
        <v>0</v>
      </c>
    </row>
    <row r="28" spans="1:14">
      <c r="A28">
        <v>1</v>
      </c>
      <c r="B28" t="s">
        <v>15</v>
      </c>
      <c r="C28" t="s">
        <v>503</v>
      </c>
      <c r="D28" t="s">
        <v>504</v>
      </c>
      <c r="E28" s="8">
        <v>45947</v>
      </c>
      <c r="F28">
        <v>3</v>
      </c>
      <c r="G28">
        <v>2912.7</v>
      </c>
      <c r="H28">
        <v>82911</v>
      </c>
      <c r="I28">
        <v>8738.0999999999894</v>
      </c>
      <c r="J28">
        <v>74172.899999999994</v>
      </c>
      <c r="K28" t="s">
        <v>1635</v>
      </c>
      <c r="L28">
        <v>2912.7</v>
      </c>
      <c r="M28" s="7" t="s">
        <v>1636</v>
      </c>
      <c r="N28">
        <v>0</v>
      </c>
    </row>
    <row r="29" spans="1:14">
      <c r="A29">
        <v>1</v>
      </c>
      <c r="B29" t="s">
        <v>15</v>
      </c>
      <c r="C29" t="s">
        <v>529</v>
      </c>
      <c r="D29" t="s">
        <v>530</v>
      </c>
      <c r="E29" s="8">
        <v>45954</v>
      </c>
      <c r="F29">
        <v>3</v>
      </c>
      <c r="G29">
        <v>2970</v>
      </c>
      <c r="H29">
        <v>84000</v>
      </c>
      <c r="I29">
        <v>8910</v>
      </c>
      <c r="J29">
        <v>75090</v>
      </c>
      <c r="K29" t="s">
        <v>1635</v>
      </c>
      <c r="L29">
        <v>2970</v>
      </c>
      <c r="M29" s="7" t="s">
        <v>1636</v>
      </c>
      <c r="N29">
        <v>0</v>
      </c>
    </row>
    <row r="30" spans="1:14">
      <c r="A30">
        <v>1</v>
      </c>
      <c r="B30" t="s">
        <v>15</v>
      </c>
      <c r="C30" t="s">
        <v>573</v>
      </c>
      <c r="D30" t="s">
        <v>574</v>
      </c>
      <c r="E30" s="8">
        <v>45947</v>
      </c>
      <c r="F30">
        <v>3</v>
      </c>
      <c r="G30">
        <v>1380</v>
      </c>
      <c r="H30">
        <v>25912</v>
      </c>
      <c r="I30">
        <v>4140</v>
      </c>
      <c r="J30">
        <v>21772</v>
      </c>
      <c r="K30" t="s">
        <v>1635</v>
      </c>
      <c r="L30">
        <v>1380</v>
      </c>
      <c r="M30" s="7" t="s">
        <v>1636</v>
      </c>
      <c r="N30">
        <v>0</v>
      </c>
    </row>
    <row r="31" spans="1:14">
      <c r="A31">
        <v>1</v>
      </c>
      <c r="B31" t="s">
        <v>15</v>
      </c>
      <c r="C31" t="s">
        <v>575</v>
      </c>
      <c r="D31" t="s">
        <v>576</v>
      </c>
      <c r="E31" s="8">
        <v>45947</v>
      </c>
      <c r="F31">
        <v>3</v>
      </c>
      <c r="G31">
        <v>2475</v>
      </c>
      <c r="H31">
        <v>78888</v>
      </c>
      <c r="I31">
        <v>6750</v>
      </c>
      <c r="J31">
        <v>72138</v>
      </c>
      <c r="K31" t="s">
        <v>1635</v>
      </c>
      <c r="L31">
        <v>2475</v>
      </c>
      <c r="M31" s="7" t="s">
        <v>1636</v>
      </c>
      <c r="N31">
        <v>0</v>
      </c>
    </row>
    <row r="32" spans="1:14">
      <c r="A32">
        <v>1</v>
      </c>
      <c r="B32" t="s">
        <v>15</v>
      </c>
      <c r="C32" t="s">
        <v>592</v>
      </c>
      <c r="D32" t="s">
        <v>593</v>
      </c>
      <c r="E32" s="8">
        <v>45954</v>
      </c>
      <c r="F32">
        <v>3</v>
      </c>
      <c r="G32">
        <v>4466</v>
      </c>
      <c r="H32">
        <v>135000</v>
      </c>
      <c r="I32">
        <v>11002</v>
      </c>
      <c r="J32">
        <v>123998</v>
      </c>
      <c r="K32" t="s">
        <v>1635</v>
      </c>
      <c r="L32">
        <v>4466</v>
      </c>
      <c r="M32" s="7" t="s">
        <v>1636</v>
      </c>
      <c r="N32">
        <v>0</v>
      </c>
    </row>
    <row r="33" spans="1:14">
      <c r="A33">
        <v>1</v>
      </c>
      <c r="B33" t="s">
        <v>15</v>
      </c>
      <c r="C33" t="s">
        <v>617</v>
      </c>
      <c r="D33" t="s">
        <v>618</v>
      </c>
      <c r="E33" s="8">
        <v>45947</v>
      </c>
      <c r="F33">
        <v>3</v>
      </c>
      <c r="G33">
        <v>2470</v>
      </c>
      <c r="H33">
        <v>73000</v>
      </c>
      <c r="I33">
        <v>7410</v>
      </c>
      <c r="J33">
        <v>65590</v>
      </c>
      <c r="K33" t="s">
        <v>1635</v>
      </c>
      <c r="L33">
        <v>2470</v>
      </c>
      <c r="M33" s="7" t="s">
        <v>1636</v>
      </c>
      <c r="N33">
        <v>0</v>
      </c>
    </row>
    <row r="34" spans="1:14">
      <c r="A34">
        <v>1</v>
      </c>
      <c r="B34" t="s">
        <v>15</v>
      </c>
      <c r="C34" t="s">
        <v>622</v>
      </c>
      <c r="D34" t="s">
        <v>623</v>
      </c>
      <c r="E34" s="8">
        <v>45954</v>
      </c>
      <c r="F34">
        <v>3</v>
      </c>
      <c r="G34">
        <v>2480</v>
      </c>
      <c r="H34">
        <v>89000</v>
      </c>
      <c r="I34">
        <v>7936</v>
      </c>
      <c r="J34">
        <v>81064</v>
      </c>
      <c r="K34" t="s">
        <v>1635</v>
      </c>
      <c r="L34">
        <v>2480</v>
      </c>
      <c r="M34" s="7" t="s">
        <v>1636</v>
      </c>
      <c r="N34">
        <v>0</v>
      </c>
    </row>
    <row r="35" spans="1:14">
      <c r="A35">
        <v>1</v>
      </c>
      <c r="B35" t="s">
        <v>15</v>
      </c>
      <c r="C35" t="s">
        <v>642</v>
      </c>
      <c r="D35" t="s">
        <v>643</v>
      </c>
      <c r="E35" s="8">
        <v>45954</v>
      </c>
      <c r="F35">
        <v>3</v>
      </c>
      <c r="G35">
        <v>837</v>
      </c>
      <c r="H35">
        <v>15000</v>
      </c>
      <c r="I35">
        <v>2511</v>
      </c>
      <c r="J35">
        <v>12489</v>
      </c>
      <c r="K35" t="s">
        <v>1635</v>
      </c>
      <c r="L35">
        <v>837</v>
      </c>
      <c r="M35" s="7" t="s">
        <v>1636</v>
      </c>
      <c r="N35">
        <v>0</v>
      </c>
    </row>
    <row r="36" spans="1:14">
      <c r="A36">
        <v>1</v>
      </c>
      <c r="B36" t="s">
        <v>15</v>
      </c>
      <c r="C36" t="s">
        <v>649</v>
      </c>
      <c r="D36" t="s">
        <v>650</v>
      </c>
      <c r="E36" s="8">
        <v>45954</v>
      </c>
      <c r="F36">
        <v>3</v>
      </c>
      <c r="G36">
        <v>3672</v>
      </c>
      <c r="H36">
        <v>106000</v>
      </c>
      <c r="I36">
        <v>9604</v>
      </c>
      <c r="J36">
        <v>96396</v>
      </c>
      <c r="K36" t="s">
        <v>1635</v>
      </c>
      <c r="L36">
        <v>3672</v>
      </c>
      <c r="M36" s="7" t="s">
        <v>1636</v>
      </c>
      <c r="N36">
        <v>0</v>
      </c>
    </row>
    <row r="37" spans="1:14">
      <c r="A37">
        <v>1</v>
      </c>
      <c r="B37" t="s">
        <v>15</v>
      </c>
      <c r="C37" t="s">
        <v>655</v>
      </c>
      <c r="D37" t="s">
        <v>656</v>
      </c>
      <c r="E37" s="8">
        <v>45954</v>
      </c>
      <c r="F37">
        <v>3</v>
      </c>
      <c r="G37">
        <v>3200</v>
      </c>
      <c r="H37">
        <v>97000</v>
      </c>
      <c r="I37">
        <v>8400</v>
      </c>
      <c r="J37">
        <v>88600</v>
      </c>
      <c r="K37" t="s">
        <v>1635</v>
      </c>
      <c r="L37">
        <v>3200</v>
      </c>
      <c r="M37" s="7" t="s">
        <v>1636</v>
      </c>
      <c r="N37">
        <v>0</v>
      </c>
    </row>
    <row r="38" spans="1:14">
      <c r="A38">
        <v>1</v>
      </c>
      <c r="B38" t="s">
        <v>15</v>
      </c>
      <c r="C38" t="s">
        <v>690</v>
      </c>
      <c r="D38" t="s">
        <v>691</v>
      </c>
      <c r="E38" s="8">
        <v>45954</v>
      </c>
      <c r="F38">
        <v>3</v>
      </c>
      <c r="G38">
        <v>2970</v>
      </c>
      <c r="H38">
        <v>92468</v>
      </c>
      <c r="I38">
        <v>8580</v>
      </c>
      <c r="J38">
        <v>83888</v>
      </c>
      <c r="K38" t="s">
        <v>1635</v>
      </c>
      <c r="L38">
        <v>2970</v>
      </c>
      <c r="M38" s="7" t="s">
        <v>1636</v>
      </c>
      <c r="N38">
        <v>0</v>
      </c>
    </row>
    <row r="39" spans="1:14">
      <c r="A39">
        <v>1</v>
      </c>
      <c r="B39" t="s">
        <v>15</v>
      </c>
      <c r="C39" t="s">
        <v>698</v>
      </c>
      <c r="D39" t="s">
        <v>699</v>
      </c>
      <c r="E39" s="8">
        <v>45947</v>
      </c>
      <c r="F39">
        <v>3</v>
      </c>
      <c r="G39">
        <v>4380</v>
      </c>
      <c r="H39">
        <v>129825</v>
      </c>
      <c r="I39">
        <v>11160</v>
      </c>
      <c r="J39">
        <v>118665</v>
      </c>
      <c r="K39" t="s">
        <v>1635</v>
      </c>
      <c r="L39">
        <v>4380</v>
      </c>
      <c r="M39" s="7" t="s">
        <v>1636</v>
      </c>
      <c r="N39">
        <v>0</v>
      </c>
    </row>
    <row r="40" spans="1:14">
      <c r="A40">
        <v>1</v>
      </c>
      <c r="B40" t="s">
        <v>15</v>
      </c>
      <c r="C40" t="s">
        <v>700</v>
      </c>
      <c r="D40" t="s">
        <v>701</v>
      </c>
      <c r="E40" s="8">
        <v>45954</v>
      </c>
      <c r="F40">
        <v>3</v>
      </c>
      <c r="G40">
        <v>3870</v>
      </c>
      <c r="H40">
        <v>115000</v>
      </c>
      <c r="I40">
        <v>9540</v>
      </c>
      <c r="J40">
        <v>105460</v>
      </c>
      <c r="K40" t="s">
        <v>1635</v>
      </c>
      <c r="L40">
        <v>3870</v>
      </c>
      <c r="M40" s="7" t="s">
        <v>1636</v>
      </c>
      <c r="N40">
        <v>0</v>
      </c>
    </row>
    <row r="41" spans="1:14">
      <c r="A41">
        <v>1</v>
      </c>
      <c r="B41" t="s">
        <v>15</v>
      </c>
      <c r="C41" t="s">
        <v>709</v>
      </c>
      <c r="D41" t="s">
        <v>710</v>
      </c>
      <c r="E41" s="8">
        <v>45954</v>
      </c>
      <c r="F41">
        <v>3</v>
      </c>
      <c r="G41">
        <v>4500</v>
      </c>
      <c r="H41">
        <v>134461</v>
      </c>
      <c r="I41">
        <v>11000</v>
      </c>
      <c r="J41">
        <v>123461</v>
      </c>
      <c r="K41" t="s">
        <v>1635</v>
      </c>
      <c r="L41">
        <v>4500</v>
      </c>
      <c r="M41" s="7" t="s">
        <v>1636</v>
      </c>
      <c r="N41">
        <v>0</v>
      </c>
    </row>
    <row r="42" spans="1:14">
      <c r="A42">
        <v>1</v>
      </c>
      <c r="B42" t="s">
        <v>15</v>
      </c>
      <c r="C42" t="s">
        <v>719</v>
      </c>
      <c r="D42" t="s">
        <v>720</v>
      </c>
      <c r="E42" s="8">
        <v>45947</v>
      </c>
      <c r="F42">
        <v>3</v>
      </c>
      <c r="G42">
        <v>3800</v>
      </c>
      <c r="H42">
        <v>112151</v>
      </c>
      <c r="I42">
        <v>9650</v>
      </c>
      <c r="J42">
        <v>102501</v>
      </c>
      <c r="K42" t="s">
        <v>1635</v>
      </c>
      <c r="L42">
        <v>3800</v>
      </c>
      <c r="M42" s="7" t="s">
        <v>1636</v>
      </c>
      <c r="N42">
        <v>0</v>
      </c>
    </row>
    <row r="43" spans="1:14">
      <c r="A43">
        <v>1</v>
      </c>
      <c r="B43" t="s">
        <v>15</v>
      </c>
      <c r="C43" t="s">
        <v>723</v>
      </c>
      <c r="D43" t="s">
        <v>724</v>
      </c>
      <c r="E43" s="8">
        <v>45947</v>
      </c>
      <c r="F43">
        <v>3</v>
      </c>
      <c r="G43">
        <v>3465</v>
      </c>
      <c r="H43">
        <v>100000</v>
      </c>
      <c r="I43">
        <v>6121.5</v>
      </c>
      <c r="J43">
        <v>93878.5</v>
      </c>
      <c r="K43" t="s">
        <v>1635</v>
      </c>
      <c r="L43">
        <v>3465</v>
      </c>
      <c r="M43" s="7" t="s">
        <v>1636</v>
      </c>
      <c r="N43">
        <v>0</v>
      </c>
    </row>
    <row r="44" spans="1:14">
      <c r="A44">
        <v>1</v>
      </c>
      <c r="B44" t="s">
        <v>15</v>
      </c>
      <c r="C44" t="s">
        <v>725</v>
      </c>
      <c r="D44" t="s">
        <v>726</v>
      </c>
      <c r="E44" s="8">
        <v>45947</v>
      </c>
      <c r="F44">
        <v>3</v>
      </c>
      <c r="G44">
        <v>3531</v>
      </c>
      <c r="H44">
        <v>100000</v>
      </c>
      <c r="I44">
        <v>9327</v>
      </c>
      <c r="J44">
        <v>90673</v>
      </c>
      <c r="K44" t="s">
        <v>1635</v>
      </c>
      <c r="L44">
        <v>3531</v>
      </c>
      <c r="M44" s="7" t="s">
        <v>1636</v>
      </c>
      <c r="N44">
        <v>0</v>
      </c>
    </row>
    <row r="45" spans="1:14">
      <c r="A45">
        <v>1</v>
      </c>
      <c r="B45" t="s">
        <v>15</v>
      </c>
      <c r="C45" t="s">
        <v>727</v>
      </c>
      <c r="D45" t="s">
        <v>728</v>
      </c>
      <c r="E45" s="8">
        <v>45947</v>
      </c>
      <c r="F45">
        <v>3</v>
      </c>
      <c r="G45">
        <v>4316</v>
      </c>
      <c r="H45">
        <v>128253</v>
      </c>
      <c r="I45">
        <v>10712</v>
      </c>
      <c r="J45">
        <v>117541</v>
      </c>
      <c r="K45" t="s">
        <v>1635</v>
      </c>
      <c r="L45">
        <v>4316</v>
      </c>
      <c r="M45" s="7" t="s">
        <v>1636</v>
      </c>
      <c r="N45">
        <v>0</v>
      </c>
    </row>
    <row r="46" spans="1:14">
      <c r="A46">
        <v>1</v>
      </c>
      <c r="B46" t="s">
        <v>15</v>
      </c>
      <c r="C46" t="s">
        <v>729</v>
      </c>
      <c r="D46" t="s">
        <v>730</v>
      </c>
      <c r="E46" s="8">
        <v>45947</v>
      </c>
      <c r="F46">
        <v>3</v>
      </c>
      <c r="G46">
        <v>3168</v>
      </c>
      <c r="H46">
        <v>90580</v>
      </c>
      <c r="I46">
        <v>8356</v>
      </c>
      <c r="J46">
        <v>82224</v>
      </c>
      <c r="K46" t="s">
        <v>1635</v>
      </c>
      <c r="L46">
        <v>3168</v>
      </c>
      <c r="M46" s="7" t="s">
        <v>1636</v>
      </c>
      <c r="N46">
        <v>0</v>
      </c>
    </row>
    <row r="47" spans="1:14">
      <c r="A47">
        <v>1</v>
      </c>
      <c r="B47" t="s">
        <v>15</v>
      </c>
      <c r="C47" t="s">
        <v>731</v>
      </c>
      <c r="D47" t="s">
        <v>732</v>
      </c>
      <c r="E47" s="8">
        <v>45947</v>
      </c>
      <c r="F47">
        <v>3</v>
      </c>
      <c r="G47">
        <v>1750</v>
      </c>
      <c r="H47">
        <v>35714</v>
      </c>
      <c r="I47">
        <v>5250</v>
      </c>
      <c r="J47">
        <v>30464</v>
      </c>
      <c r="K47" t="s">
        <v>1635</v>
      </c>
      <c r="L47">
        <v>1750</v>
      </c>
      <c r="M47" s="7" t="s">
        <v>1636</v>
      </c>
      <c r="N47">
        <v>0</v>
      </c>
    </row>
    <row r="48" spans="1:14">
      <c r="A48">
        <v>1</v>
      </c>
      <c r="B48" t="s">
        <v>15</v>
      </c>
      <c r="C48" t="s">
        <v>733</v>
      </c>
      <c r="D48" t="s">
        <v>734</v>
      </c>
      <c r="E48" s="8">
        <v>45947</v>
      </c>
      <c r="F48">
        <v>3</v>
      </c>
      <c r="G48">
        <v>3465</v>
      </c>
      <c r="H48">
        <v>100000</v>
      </c>
      <c r="I48">
        <v>9155</v>
      </c>
      <c r="J48">
        <v>90845</v>
      </c>
      <c r="K48" t="s">
        <v>1635</v>
      </c>
      <c r="L48">
        <v>3465</v>
      </c>
      <c r="M48" s="7" t="s">
        <v>1636</v>
      </c>
      <c r="N48">
        <v>0</v>
      </c>
    </row>
    <row r="49" spans="1:14">
      <c r="A49">
        <v>1</v>
      </c>
      <c r="B49" t="s">
        <v>15</v>
      </c>
      <c r="C49" t="s">
        <v>735</v>
      </c>
      <c r="D49" t="s">
        <v>736</v>
      </c>
      <c r="E49" s="8">
        <v>45947</v>
      </c>
      <c r="F49">
        <v>3</v>
      </c>
      <c r="G49">
        <v>3465</v>
      </c>
      <c r="H49">
        <v>100000</v>
      </c>
      <c r="I49">
        <v>9155</v>
      </c>
      <c r="J49">
        <v>90845</v>
      </c>
      <c r="K49" t="s">
        <v>1635</v>
      </c>
      <c r="L49">
        <v>3465</v>
      </c>
      <c r="M49" s="7" t="s">
        <v>1636</v>
      </c>
      <c r="N49">
        <v>0</v>
      </c>
    </row>
    <row r="50" spans="1:14">
      <c r="A50">
        <v>1</v>
      </c>
      <c r="B50" t="s">
        <v>15</v>
      </c>
      <c r="C50" t="s">
        <v>737</v>
      </c>
      <c r="D50" t="s">
        <v>738</v>
      </c>
      <c r="E50" s="8">
        <v>45947</v>
      </c>
      <c r="F50">
        <v>3</v>
      </c>
      <c r="G50">
        <v>2745</v>
      </c>
      <c r="H50">
        <v>78544</v>
      </c>
      <c r="I50">
        <v>7390</v>
      </c>
      <c r="J50">
        <v>71154</v>
      </c>
      <c r="K50" t="s">
        <v>1635</v>
      </c>
      <c r="L50">
        <v>2745</v>
      </c>
      <c r="M50" s="7" t="s">
        <v>1636</v>
      </c>
      <c r="N50">
        <v>0</v>
      </c>
    </row>
    <row r="51" spans="1:14">
      <c r="A51">
        <v>1</v>
      </c>
      <c r="B51" t="s">
        <v>15</v>
      </c>
      <c r="C51" t="s">
        <v>739</v>
      </c>
      <c r="D51" t="s">
        <v>740</v>
      </c>
      <c r="E51" s="8">
        <v>45947</v>
      </c>
      <c r="F51">
        <v>3</v>
      </c>
      <c r="G51">
        <v>5076</v>
      </c>
      <c r="H51">
        <v>149690</v>
      </c>
      <c r="I51">
        <v>12997</v>
      </c>
      <c r="J51">
        <v>136693</v>
      </c>
      <c r="K51" t="s">
        <v>1635</v>
      </c>
      <c r="L51">
        <v>5076</v>
      </c>
      <c r="M51" s="7" t="s">
        <v>1636</v>
      </c>
      <c r="N51">
        <v>0</v>
      </c>
    </row>
    <row r="52" spans="1:14">
      <c r="A52">
        <v>1</v>
      </c>
      <c r="B52" t="s">
        <v>15</v>
      </c>
      <c r="C52" t="s">
        <v>743</v>
      </c>
      <c r="D52" t="s">
        <v>744</v>
      </c>
      <c r="E52" s="8">
        <v>45947</v>
      </c>
      <c r="F52">
        <v>3</v>
      </c>
      <c r="G52">
        <v>1575</v>
      </c>
      <c r="H52">
        <v>45000</v>
      </c>
      <c r="I52">
        <v>4485</v>
      </c>
      <c r="J52">
        <v>40515</v>
      </c>
      <c r="K52" t="s">
        <v>1635</v>
      </c>
      <c r="L52">
        <v>1575</v>
      </c>
      <c r="M52" s="7" t="s">
        <v>1636</v>
      </c>
      <c r="N52">
        <v>0</v>
      </c>
    </row>
    <row r="53" spans="1:14">
      <c r="A53">
        <v>1</v>
      </c>
      <c r="B53" t="s">
        <v>15</v>
      </c>
      <c r="C53" t="s">
        <v>745</v>
      </c>
      <c r="D53" t="s">
        <v>746</v>
      </c>
      <c r="E53" s="8">
        <v>45947</v>
      </c>
      <c r="F53">
        <v>3</v>
      </c>
      <c r="G53">
        <v>2760</v>
      </c>
      <c r="H53">
        <v>83500</v>
      </c>
      <c r="I53">
        <v>7120</v>
      </c>
      <c r="J53">
        <v>76380</v>
      </c>
      <c r="K53" t="s">
        <v>1635</v>
      </c>
      <c r="L53">
        <v>2760</v>
      </c>
      <c r="M53" s="7" t="s">
        <v>1636</v>
      </c>
      <c r="N53">
        <v>0</v>
      </c>
    </row>
    <row r="54" spans="1:14">
      <c r="A54">
        <v>1</v>
      </c>
      <c r="B54" t="s">
        <v>15</v>
      </c>
      <c r="C54" t="s">
        <v>747</v>
      </c>
      <c r="D54" t="s">
        <v>748</v>
      </c>
      <c r="E54" s="8">
        <v>45954</v>
      </c>
      <c r="F54">
        <v>3</v>
      </c>
      <c r="G54">
        <v>2610</v>
      </c>
      <c r="H54">
        <v>75000</v>
      </c>
      <c r="I54">
        <v>7095</v>
      </c>
      <c r="J54">
        <v>67905</v>
      </c>
      <c r="K54" t="s">
        <v>1635</v>
      </c>
      <c r="L54">
        <v>2610</v>
      </c>
      <c r="M54" s="7" t="s">
        <v>1636</v>
      </c>
      <c r="N54">
        <v>0</v>
      </c>
    </row>
    <row r="55" spans="1:14">
      <c r="A55">
        <v>1</v>
      </c>
      <c r="B55" t="s">
        <v>15</v>
      </c>
      <c r="C55" t="s">
        <v>749</v>
      </c>
      <c r="D55" t="s">
        <v>750</v>
      </c>
      <c r="E55" s="8">
        <v>45947</v>
      </c>
      <c r="F55">
        <v>3</v>
      </c>
      <c r="G55">
        <v>2760</v>
      </c>
      <c r="H55">
        <v>81657</v>
      </c>
      <c r="I55">
        <v>7410</v>
      </c>
      <c r="J55">
        <v>74247</v>
      </c>
      <c r="K55" t="s">
        <v>1635</v>
      </c>
      <c r="L55">
        <v>2760</v>
      </c>
      <c r="M55" s="7" t="s">
        <v>1636</v>
      </c>
      <c r="N55">
        <v>0</v>
      </c>
    </row>
    <row r="56" spans="1:14">
      <c r="A56">
        <v>1</v>
      </c>
      <c r="B56" t="s">
        <v>15</v>
      </c>
      <c r="C56" t="s">
        <v>751</v>
      </c>
      <c r="D56" t="s">
        <v>752</v>
      </c>
      <c r="E56" s="8">
        <v>45947</v>
      </c>
      <c r="F56">
        <v>3</v>
      </c>
      <c r="G56">
        <v>3285</v>
      </c>
      <c r="H56">
        <v>95000</v>
      </c>
      <c r="I56">
        <v>8470</v>
      </c>
      <c r="J56">
        <v>86530</v>
      </c>
      <c r="K56" t="s">
        <v>1635</v>
      </c>
      <c r="L56">
        <v>3285</v>
      </c>
      <c r="M56" s="7" t="s">
        <v>1636</v>
      </c>
      <c r="N56">
        <v>0</v>
      </c>
    </row>
    <row r="57" spans="1:14">
      <c r="A57">
        <v>1</v>
      </c>
      <c r="B57" t="s">
        <v>15</v>
      </c>
      <c r="C57" t="s">
        <v>757</v>
      </c>
      <c r="D57" t="s">
        <v>758</v>
      </c>
      <c r="E57" s="8">
        <v>45947</v>
      </c>
      <c r="F57">
        <v>3</v>
      </c>
      <c r="G57">
        <v>4980</v>
      </c>
      <c r="H57">
        <v>143403</v>
      </c>
      <c r="I57">
        <v>12460</v>
      </c>
      <c r="J57">
        <v>130943</v>
      </c>
      <c r="K57" t="s">
        <v>1635</v>
      </c>
      <c r="L57">
        <v>4980</v>
      </c>
      <c r="M57" s="7" t="s">
        <v>1636</v>
      </c>
      <c r="N57">
        <v>0</v>
      </c>
    </row>
    <row r="58" spans="1:14">
      <c r="A58">
        <v>1</v>
      </c>
      <c r="B58" t="s">
        <v>15</v>
      </c>
      <c r="C58" t="s">
        <v>765</v>
      </c>
      <c r="D58" t="s">
        <v>766</v>
      </c>
      <c r="E58" s="8">
        <v>45954</v>
      </c>
      <c r="F58">
        <v>3</v>
      </c>
      <c r="G58">
        <v>3960</v>
      </c>
      <c r="H58">
        <v>118145</v>
      </c>
      <c r="I58">
        <v>10560</v>
      </c>
      <c r="J58">
        <v>107585</v>
      </c>
      <c r="K58" t="s">
        <v>1635</v>
      </c>
      <c r="L58">
        <v>3960</v>
      </c>
      <c r="M58" s="7" t="s">
        <v>1636</v>
      </c>
      <c r="N58">
        <v>0</v>
      </c>
    </row>
    <row r="59" spans="1:14">
      <c r="A59">
        <v>1</v>
      </c>
      <c r="B59" t="s">
        <v>15</v>
      </c>
      <c r="C59" t="s">
        <v>771</v>
      </c>
      <c r="D59" t="s">
        <v>772</v>
      </c>
      <c r="E59" s="8">
        <v>45947</v>
      </c>
      <c r="F59">
        <v>3</v>
      </c>
      <c r="G59">
        <v>5325</v>
      </c>
      <c r="H59">
        <v>158407</v>
      </c>
      <c r="I59">
        <v>13650</v>
      </c>
      <c r="J59">
        <v>144757</v>
      </c>
      <c r="K59" t="s">
        <v>1635</v>
      </c>
      <c r="L59">
        <v>5325</v>
      </c>
      <c r="M59" s="7" t="s">
        <v>1636</v>
      </c>
      <c r="N59">
        <v>0</v>
      </c>
    </row>
    <row r="60" spans="1:14">
      <c r="A60">
        <v>1</v>
      </c>
      <c r="B60" t="s">
        <v>15</v>
      </c>
      <c r="C60" t="s">
        <v>774</v>
      </c>
      <c r="D60" t="s">
        <v>775</v>
      </c>
      <c r="E60" s="8">
        <v>45954</v>
      </c>
      <c r="F60">
        <v>3</v>
      </c>
      <c r="G60">
        <v>2664</v>
      </c>
      <c r="H60">
        <v>77000</v>
      </c>
      <c r="I60">
        <v>6858</v>
      </c>
      <c r="J60">
        <v>70142</v>
      </c>
      <c r="K60" t="s">
        <v>1635</v>
      </c>
      <c r="L60">
        <v>2664</v>
      </c>
      <c r="M60" s="7" t="s">
        <v>1636</v>
      </c>
      <c r="N60">
        <v>0</v>
      </c>
    </row>
    <row r="61" spans="1:14">
      <c r="A61">
        <v>1</v>
      </c>
      <c r="B61" t="s">
        <v>15</v>
      </c>
      <c r="C61" t="s">
        <v>776</v>
      </c>
      <c r="D61" t="s">
        <v>777</v>
      </c>
      <c r="E61" s="8">
        <v>45947</v>
      </c>
      <c r="F61">
        <v>3</v>
      </c>
      <c r="G61">
        <v>4422.6000000000004</v>
      </c>
      <c r="H61">
        <v>125989</v>
      </c>
      <c r="I61">
        <v>11159.2</v>
      </c>
      <c r="J61">
        <v>114829.8</v>
      </c>
      <c r="K61" t="s">
        <v>1635</v>
      </c>
      <c r="L61">
        <v>4422.6000000000004</v>
      </c>
      <c r="M61" s="7" t="s">
        <v>1636</v>
      </c>
      <c r="N61">
        <v>0</v>
      </c>
    </row>
    <row r="62" spans="1:14">
      <c r="A62">
        <v>1</v>
      </c>
      <c r="B62" t="s">
        <v>15</v>
      </c>
      <c r="C62" t="s">
        <v>780</v>
      </c>
      <c r="D62" t="s">
        <v>781</v>
      </c>
      <c r="E62" s="8">
        <v>45954</v>
      </c>
      <c r="F62">
        <v>3</v>
      </c>
      <c r="G62">
        <v>4500</v>
      </c>
      <c r="H62">
        <v>106935</v>
      </c>
      <c r="I62">
        <v>11100</v>
      </c>
      <c r="J62">
        <v>95835</v>
      </c>
      <c r="K62" t="s">
        <v>1635</v>
      </c>
      <c r="L62">
        <v>4500</v>
      </c>
      <c r="M62" s="7" t="s">
        <v>1636</v>
      </c>
      <c r="N62">
        <v>0</v>
      </c>
    </row>
    <row r="63" spans="1:14">
      <c r="A63">
        <v>1</v>
      </c>
      <c r="B63" t="s">
        <v>15</v>
      </c>
      <c r="C63" t="s">
        <v>784</v>
      </c>
      <c r="D63" t="s">
        <v>785</v>
      </c>
      <c r="E63" s="8">
        <v>45947</v>
      </c>
      <c r="F63">
        <v>3</v>
      </c>
      <c r="G63">
        <v>3953</v>
      </c>
      <c r="H63">
        <v>123000</v>
      </c>
      <c r="I63">
        <v>10586</v>
      </c>
      <c r="J63">
        <v>112414</v>
      </c>
      <c r="K63" t="s">
        <v>1635</v>
      </c>
      <c r="L63">
        <v>3953</v>
      </c>
      <c r="M63" s="7" t="s">
        <v>1636</v>
      </c>
      <c r="N63">
        <v>0</v>
      </c>
    </row>
    <row r="64" spans="1:14">
      <c r="A64">
        <v>1</v>
      </c>
      <c r="B64" t="s">
        <v>15</v>
      </c>
      <c r="C64" t="s">
        <v>794</v>
      </c>
      <c r="D64" t="s">
        <v>795</v>
      </c>
      <c r="E64" s="8">
        <v>45954</v>
      </c>
      <c r="F64">
        <v>3</v>
      </c>
      <c r="G64">
        <v>3024</v>
      </c>
      <c r="H64">
        <v>86288</v>
      </c>
      <c r="I64">
        <v>7828</v>
      </c>
      <c r="J64">
        <v>78460</v>
      </c>
      <c r="K64" t="s">
        <v>1635</v>
      </c>
      <c r="L64">
        <v>3024</v>
      </c>
      <c r="M64" s="7" t="s">
        <v>1636</v>
      </c>
      <c r="N64">
        <v>0</v>
      </c>
    </row>
    <row r="65" spans="1:14">
      <c r="A65">
        <v>1</v>
      </c>
      <c r="B65" t="s">
        <v>15</v>
      </c>
      <c r="C65" t="s">
        <v>796</v>
      </c>
      <c r="D65" t="s">
        <v>797</v>
      </c>
      <c r="E65" s="8">
        <v>45947</v>
      </c>
      <c r="F65">
        <v>3</v>
      </c>
      <c r="G65">
        <v>2808</v>
      </c>
      <c r="H65">
        <v>80000</v>
      </c>
      <c r="I65">
        <v>7796</v>
      </c>
      <c r="J65">
        <v>72204</v>
      </c>
      <c r="K65" t="s">
        <v>1635</v>
      </c>
      <c r="L65">
        <v>2808</v>
      </c>
      <c r="M65" s="7" t="s">
        <v>1636</v>
      </c>
      <c r="N65">
        <v>0</v>
      </c>
    </row>
    <row r="66" spans="1:14">
      <c r="A66">
        <v>1</v>
      </c>
      <c r="B66" t="s">
        <v>15</v>
      </c>
      <c r="C66" t="s">
        <v>798</v>
      </c>
      <c r="D66" t="s">
        <v>799</v>
      </c>
      <c r="E66" s="8">
        <v>45947</v>
      </c>
      <c r="F66">
        <v>3</v>
      </c>
      <c r="G66">
        <v>2205</v>
      </c>
      <c r="H66">
        <v>36744</v>
      </c>
      <c r="I66">
        <v>6615</v>
      </c>
      <c r="J66">
        <v>30129</v>
      </c>
      <c r="K66" t="s">
        <v>1635</v>
      </c>
      <c r="L66">
        <v>2205</v>
      </c>
      <c r="M66" s="7" t="s">
        <v>1636</v>
      </c>
      <c r="N66">
        <v>0</v>
      </c>
    </row>
    <row r="67" spans="1:14">
      <c r="A67">
        <v>1</v>
      </c>
      <c r="B67" t="s">
        <v>15</v>
      </c>
      <c r="C67" t="s">
        <v>800</v>
      </c>
      <c r="D67" t="s">
        <v>801</v>
      </c>
      <c r="E67" s="8">
        <v>45954</v>
      </c>
      <c r="F67">
        <v>3</v>
      </c>
      <c r="G67">
        <v>3960</v>
      </c>
      <c r="H67">
        <v>115000</v>
      </c>
      <c r="I67">
        <v>10420</v>
      </c>
      <c r="J67">
        <v>104580</v>
      </c>
      <c r="K67" t="s">
        <v>1635</v>
      </c>
      <c r="L67">
        <v>3960</v>
      </c>
      <c r="M67" s="7" t="s">
        <v>1636</v>
      </c>
      <c r="N67">
        <v>0</v>
      </c>
    </row>
    <row r="68" spans="1:14">
      <c r="A68">
        <v>1</v>
      </c>
      <c r="B68" t="s">
        <v>15</v>
      </c>
      <c r="C68" t="s">
        <v>802</v>
      </c>
      <c r="D68" t="s">
        <v>803</v>
      </c>
      <c r="E68" s="8">
        <v>45954</v>
      </c>
      <c r="F68">
        <v>3</v>
      </c>
      <c r="G68">
        <v>3402</v>
      </c>
      <c r="H68">
        <v>100146</v>
      </c>
      <c r="I68">
        <v>9374</v>
      </c>
      <c r="J68">
        <v>90772</v>
      </c>
      <c r="K68" t="s">
        <v>1635</v>
      </c>
      <c r="L68">
        <v>3402</v>
      </c>
      <c r="M68" s="7" t="s">
        <v>1636</v>
      </c>
      <c r="N68">
        <v>0</v>
      </c>
    </row>
    <row r="69" spans="1:14">
      <c r="A69">
        <v>1</v>
      </c>
      <c r="B69" t="s">
        <v>15</v>
      </c>
      <c r="C69" t="s">
        <v>804</v>
      </c>
      <c r="D69" t="s">
        <v>805</v>
      </c>
      <c r="E69" s="8">
        <v>45954</v>
      </c>
      <c r="F69">
        <v>3</v>
      </c>
      <c r="G69">
        <v>2806</v>
      </c>
      <c r="H69">
        <v>88000</v>
      </c>
      <c r="I69">
        <v>7452</v>
      </c>
      <c r="J69">
        <v>80548</v>
      </c>
      <c r="K69" t="s">
        <v>1635</v>
      </c>
      <c r="L69">
        <v>2806</v>
      </c>
      <c r="M69" s="7" t="s">
        <v>1636</v>
      </c>
      <c r="N69">
        <v>0</v>
      </c>
    </row>
    <row r="70" spans="1:14">
      <c r="A70">
        <v>1</v>
      </c>
      <c r="B70" t="s">
        <v>15</v>
      </c>
      <c r="C70" t="s">
        <v>806</v>
      </c>
      <c r="D70" t="s">
        <v>807</v>
      </c>
      <c r="E70" s="8">
        <v>45954</v>
      </c>
      <c r="F70">
        <v>3</v>
      </c>
      <c r="G70">
        <v>2250</v>
      </c>
      <c r="H70">
        <v>70000</v>
      </c>
      <c r="I70">
        <v>6500</v>
      </c>
      <c r="J70">
        <v>63500</v>
      </c>
      <c r="K70" t="s">
        <v>1635</v>
      </c>
      <c r="L70">
        <v>2250</v>
      </c>
      <c r="M70" s="7" t="s">
        <v>1636</v>
      </c>
      <c r="N70">
        <v>0</v>
      </c>
    </row>
    <row r="71" spans="1:14">
      <c r="A71">
        <v>1</v>
      </c>
      <c r="B71" t="s">
        <v>15</v>
      </c>
      <c r="C71" t="s">
        <v>814</v>
      </c>
      <c r="D71" t="s">
        <v>815</v>
      </c>
      <c r="E71" s="8">
        <v>45947</v>
      </c>
      <c r="F71">
        <v>3</v>
      </c>
      <c r="G71">
        <v>1520</v>
      </c>
      <c r="H71">
        <v>27939</v>
      </c>
      <c r="I71">
        <v>4560</v>
      </c>
      <c r="J71">
        <v>23379</v>
      </c>
      <c r="K71" t="s">
        <v>1635</v>
      </c>
      <c r="L71">
        <v>1520</v>
      </c>
      <c r="M71" s="7" t="s">
        <v>1636</v>
      </c>
      <c r="N71">
        <v>0</v>
      </c>
    </row>
    <row r="72" spans="1:14">
      <c r="A72">
        <v>1</v>
      </c>
      <c r="B72" t="s">
        <v>15</v>
      </c>
      <c r="C72" t="s">
        <v>822</v>
      </c>
      <c r="D72" t="s">
        <v>823</v>
      </c>
      <c r="E72" s="8">
        <v>45954</v>
      </c>
      <c r="F72">
        <v>3</v>
      </c>
      <c r="G72">
        <v>2546</v>
      </c>
      <c r="H72">
        <v>77000</v>
      </c>
      <c r="I72">
        <v>6612</v>
      </c>
      <c r="J72">
        <v>70388</v>
      </c>
      <c r="K72" t="s">
        <v>1635</v>
      </c>
      <c r="L72">
        <v>2546</v>
      </c>
      <c r="M72" s="7" t="s">
        <v>1636</v>
      </c>
      <c r="N72">
        <v>0</v>
      </c>
    </row>
    <row r="73" spans="1:14">
      <c r="A73">
        <v>1</v>
      </c>
      <c r="B73" t="s">
        <v>15</v>
      </c>
      <c r="C73" t="s">
        <v>824</v>
      </c>
      <c r="D73" t="s">
        <v>825</v>
      </c>
      <c r="E73" s="8">
        <v>45947</v>
      </c>
      <c r="F73">
        <v>3</v>
      </c>
      <c r="G73">
        <v>2596</v>
      </c>
      <c r="H73">
        <v>75265</v>
      </c>
      <c r="I73">
        <v>7002</v>
      </c>
      <c r="J73">
        <v>68263</v>
      </c>
      <c r="K73" t="s">
        <v>1635</v>
      </c>
      <c r="L73">
        <v>2596</v>
      </c>
      <c r="M73" s="7" t="s">
        <v>1636</v>
      </c>
      <c r="N73">
        <v>0</v>
      </c>
    </row>
    <row r="74" spans="1:14">
      <c r="A74">
        <v>1</v>
      </c>
      <c r="B74" t="s">
        <v>15</v>
      </c>
      <c r="C74" t="s">
        <v>63</v>
      </c>
      <c r="D74" t="s">
        <v>64</v>
      </c>
      <c r="E74" s="8">
        <v>45954</v>
      </c>
      <c r="F74">
        <v>4</v>
      </c>
      <c r="G74">
        <v>4200</v>
      </c>
      <c r="H74">
        <v>76400</v>
      </c>
      <c r="I74">
        <v>16800</v>
      </c>
      <c r="J74">
        <v>59600</v>
      </c>
      <c r="K74" t="s">
        <v>1635</v>
      </c>
      <c r="L74">
        <v>4200</v>
      </c>
      <c r="M74" s="7" t="s">
        <v>1636</v>
      </c>
      <c r="N74">
        <v>0</v>
      </c>
    </row>
    <row r="75" spans="1:14">
      <c r="A75">
        <v>1</v>
      </c>
      <c r="B75" t="s">
        <v>15</v>
      </c>
      <c r="C75" t="s">
        <v>67</v>
      </c>
      <c r="D75" t="s">
        <v>68</v>
      </c>
      <c r="E75" s="8">
        <v>45954</v>
      </c>
      <c r="F75">
        <v>4</v>
      </c>
      <c r="G75">
        <v>4089</v>
      </c>
      <c r="H75">
        <v>120631</v>
      </c>
      <c r="I75">
        <v>16356</v>
      </c>
      <c r="J75">
        <v>104275</v>
      </c>
      <c r="K75" t="s">
        <v>1635</v>
      </c>
      <c r="L75">
        <v>4089</v>
      </c>
      <c r="M75" s="7" t="s">
        <v>1636</v>
      </c>
      <c r="N75">
        <v>0</v>
      </c>
    </row>
    <row r="76" spans="1:14">
      <c r="A76">
        <v>1</v>
      </c>
      <c r="B76" t="s">
        <v>15</v>
      </c>
      <c r="C76" t="s">
        <v>69</v>
      </c>
      <c r="D76" t="s">
        <v>70</v>
      </c>
      <c r="E76" s="8">
        <v>45954</v>
      </c>
      <c r="F76">
        <v>4</v>
      </c>
      <c r="G76">
        <v>2800</v>
      </c>
      <c r="H76">
        <v>95231</v>
      </c>
      <c r="I76">
        <v>11100</v>
      </c>
      <c r="J76">
        <v>84131</v>
      </c>
      <c r="K76" t="s">
        <v>1635</v>
      </c>
      <c r="L76">
        <v>2800</v>
      </c>
      <c r="M76" s="7" t="s">
        <v>1636</v>
      </c>
      <c r="N76">
        <v>0</v>
      </c>
    </row>
    <row r="77" spans="1:14">
      <c r="A77">
        <v>1</v>
      </c>
      <c r="B77" t="s">
        <v>15</v>
      </c>
      <c r="C77" t="s">
        <v>73</v>
      </c>
      <c r="D77" t="s">
        <v>74</v>
      </c>
      <c r="E77" s="8">
        <v>45954</v>
      </c>
      <c r="F77">
        <v>4</v>
      </c>
      <c r="G77">
        <v>2400</v>
      </c>
      <c r="H77">
        <v>73000</v>
      </c>
      <c r="I77">
        <v>9600</v>
      </c>
      <c r="J77">
        <v>63400</v>
      </c>
      <c r="K77" t="s">
        <v>1635</v>
      </c>
      <c r="L77">
        <v>2400</v>
      </c>
      <c r="M77" s="7" t="s">
        <v>1636</v>
      </c>
      <c r="N77">
        <v>0</v>
      </c>
    </row>
    <row r="78" spans="1:14">
      <c r="A78">
        <v>1</v>
      </c>
      <c r="B78" t="s">
        <v>15</v>
      </c>
      <c r="C78" t="s">
        <v>81</v>
      </c>
      <c r="D78" t="s">
        <v>82</v>
      </c>
      <c r="E78" s="8">
        <v>45954</v>
      </c>
      <c r="F78">
        <v>4</v>
      </c>
      <c r="G78">
        <v>4732</v>
      </c>
      <c r="H78">
        <v>88947</v>
      </c>
      <c r="I78">
        <v>17501</v>
      </c>
      <c r="J78">
        <v>71446</v>
      </c>
      <c r="K78" t="s">
        <v>1635</v>
      </c>
      <c r="L78">
        <v>4732</v>
      </c>
      <c r="M78" s="7" t="s">
        <v>1636</v>
      </c>
      <c r="N78">
        <v>0</v>
      </c>
    </row>
    <row r="79" spans="1:14">
      <c r="A79">
        <v>1</v>
      </c>
      <c r="B79" t="s">
        <v>15</v>
      </c>
      <c r="C79" t="s">
        <v>89</v>
      </c>
      <c r="D79" t="s">
        <v>90</v>
      </c>
      <c r="E79" s="8">
        <v>45947</v>
      </c>
      <c r="F79">
        <v>4</v>
      </c>
      <c r="G79">
        <v>2900</v>
      </c>
      <c r="H79">
        <v>86585</v>
      </c>
      <c r="I79">
        <v>11600</v>
      </c>
      <c r="J79">
        <v>74985</v>
      </c>
      <c r="K79" t="s">
        <v>1635</v>
      </c>
      <c r="L79">
        <v>2900</v>
      </c>
      <c r="M79" s="7" t="s">
        <v>1636</v>
      </c>
      <c r="N79">
        <v>0</v>
      </c>
    </row>
    <row r="80" spans="1:14">
      <c r="A80">
        <v>1</v>
      </c>
      <c r="B80" t="s">
        <v>15</v>
      </c>
      <c r="C80" t="s">
        <v>117</v>
      </c>
      <c r="D80" t="s">
        <v>118</v>
      </c>
      <c r="E80" s="8">
        <v>45947</v>
      </c>
      <c r="F80">
        <v>4</v>
      </c>
      <c r="G80">
        <v>2520</v>
      </c>
      <c r="H80">
        <v>73000</v>
      </c>
      <c r="I80">
        <v>10080</v>
      </c>
      <c r="J80">
        <v>62920</v>
      </c>
      <c r="K80" t="s">
        <v>1635</v>
      </c>
      <c r="L80">
        <v>2520</v>
      </c>
      <c r="M80" s="7" t="s">
        <v>1636</v>
      </c>
      <c r="N80">
        <v>0</v>
      </c>
    </row>
    <row r="81" spans="1:14">
      <c r="A81">
        <v>1</v>
      </c>
      <c r="B81" t="s">
        <v>15</v>
      </c>
      <c r="C81" t="s">
        <v>153</v>
      </c>
      <c r="D81" t="s">
        <v>154</v>
      </c>
      <c r="E81" s="8">
        <v>45954</v>
      </c>
      <c r="F81">
        <v>4</v>
      </c>
      <c r="G81">
        <v>3306</v>
      </c>
      <c r="H81">
        <v>100000</v>
      </c>
      <c r="I81">
        <v>13224</v>
      </c>
      <c r="J81">
        <v>86776</v>
      </c>
      <c r="K81" t="s">
        <v>1635</v>
      </c>
      <c r="L81">
        <v>3306</v>
      </c>
      <c r="M81" s="7" t="s">
        <v>1636</v>
      </c>
      <c r="N81">
        <v>0</v>
      </c>
    </row>
    <row r="82" spans="1:14">
      <c r="A82">
        <v>1</v>
      </c>
      <c r="B82" t="s">
        <v>15</v>
      </c>
      <c r="C82" t="s">
        <v>155</v>
      </c>
      <c r="D82" t="s">
        <v>156</v>
      </c>
      <c r="E82" s="8">
        <v>45947</v>
      </c>
      <c r="F82">
        <v>4</v>
      </c>
      <c r="G82">
        <v>5520</v>
      </c>
      <c r="H82">
        <v>170000</v>
      </c>
      <c r="I82">
        <v>21520</v>
      </c>
      <c r="J82">
        <v>148480</v>
      </c>
      <c r="K82" t="s">
        <v>1635</v>
      </c>
      <c r="L82">
        <v>5520</v>
      </c>
      <c r="M82" s="7" t="s">
        <v>1636</v>
      </c>
      <c r="N82">
        <v>0</v>
      </c>
    </row>
    <row r="83" spans="1:14">
      <c r="A83">
        <v>1</v>
      </c>
      <c r="B83" t="s">
        <v>15</v>
      </c>
      <c r="C83" t="s">
        <v>159</v>
      </c>
      <c r="D83" t="s">
        <v>160</v>
      </c>
      <c r="E83" s="8">
        <v>45954</v>
      </c>
      <c r="F83">
        <v>4</v>
      </c>
      <c r="G83">
        <v>5428</v>
      </c>
      <c r="H83">
        <v>100000</v>
      </c>
      <c r="I83">
        <v>20707.330000000002</v>
      </c>
      <c r="J83">
        <v>79292.67</v>
      </c>
      <c r="K83" t="s">
        <v>1635</v>
      </c>
      <c r="L83">
        <v>5428</v>
      </c>
      <c r="M83" s="7" t="s">
        <v>1636</v>
      </c>
      <c r="N83">
        <v>0</v>
      </c>
    </row>
    <row r="84" spans="1:14">
      <c r="A84">
        <v>1</v>
      </c>
      <c r="B84" t="s">
        <v>15</v>
      </c>
      <c r="C84" t="s">
        <v>169</v>
      </c>
      <c r="D84" t="s">
        <v>170</v>
      </c>
      <c r="E84" s="8">
        <v>45947</v>
      </c>
      <c r="F84">
        <v>4</v>
      </c>
      <c r="G84">
        <v>2805</v>
      </c>
      <c r="H84">
        <v>83860</v>
      </c>
      <c r="I84">
        <v>11220</v>
      </c>
      <c r="J84">
        <v>72640</v>
      </c>
      <c r="K84" t="s">
        <v>1635</v>
      </c>
      <c r="L84">
        <v>2805</v>
      </c>
      <c r="M84" s="7" t="s">
        <v>1636</v>
      </c>
      <c r="N84">
        <v>0</v>
      </c>
    </row>
    <row r="85" spans="1:14">
      <c r="A85">
        <v>1</v>
      </c>
      <c r="B85" t="s">
        <v>15</v>
      </c>
      <c r="C85" t="s">
        <v>175</v>
      </c>
      <c r="D85" t="s">
        <v>176</v>
      </c>
      <c r="E85" s="8">
        <v>45947</v>
      </c>
      <c r="F85">
        <v>4</v>
      </c>
      <c r="G85">
        <v>2800</v>
      </c>
      <c r="H85">
        <v>84036</v>
      </c>
      <c r="I85">
        <v>10233.33</v>
      </c>
      <c r="J85">
        <v>73802.67</v>
      </c>
      <c r="K85" t="s">
        <v>1635</v>
      </c>
      <c r="L85">
        <v>2800</v>
      </c>
      <c r="M85" s="7" t="s">
        <v>1636</v>
      </c>
      <c r="N85">
        <v>0</v>
      </c>
    </row>
    <row r="86" spans="1:14">
      <c r="A86">
        <v>1</v>
      </c>
      <c r="B86" t="s">
        <v>15</v>
      </c>
      <c r="C86" t="s">
        <v>181</v>
      </c>
      <c r="D86" t="s">
        <v>182</v>
      </c>
      <c r="E86" s="8">
        <v>45954</v>
      </c>
      <c r="F86">
        <v>4</v>
      </c>
      <c r="G86">
        <v>4600</v>
      </c>
      <c r="H86">
        <v>84886</v>
      </c>
      <c r="I86">
        <v>17800</v>
      </c>
      <c r="J86">
        <v>67086</v>
      </c>
      <c r="K86" t="s">
        <v>1635</v>
      </c>
      <c r="L86">
        <v>4600</v>
      </c>
      <c r="M86" s="7" t="s">
        <v>1636</v>
      </c>
      <c r="N86">
        <v>0</v>
      </c>
    </row>
    <row r="87" spans="1:14">
      <c r="A87">
        <v>1</v>
      </c>
      <c r="B87" t="s">
        <v>15</v>
      </c>
      <c r="C87" t="s">
        <v>191</v>
      </c>
      <c r="D87" t="s">
        <v>192</v>
      </c>
      <c r="E87" s="8">
        <v>45947</v>
      </c>
      <c r="F87">
        <v>4</v>
      </c>
      <c r="G87">
        <v>3933</v>
      </c>
      <c r="H87">
        <v>74625</v>
      </c>
      <c r="I87">
        <v>15732</v>
      </c>
      <c r="J87">
        <v>58893</v>
      </c>
      <c r="K87" t="s">
        <v>1635</v>
      </c>
      <c r="L87">
        <v>3933</v>
      </c>
      <c r="M87" s="7" t="s">
        <v>1636</v>
      </c>
      <c r="N87">
        <v>0</v>
      </c>
    </row>
    <row r="88" spans="1:14">
      <c r="A88">
        <v>1</v>
      </c>
      <c r="B88" t="s">
        <v>15</v>
      </c>
      <c r="C88" t="s">
        <v>193</v>
      </c>
      <c r="D88" t="s">
        <v>194</v>
      </c>
      <c r="E88" s="8">
        <v>45947</v>
      </c>
      <c r="F88">
        <v>4</v>
      </c>
      <c r="G88">
        <v>4725</v>
      </c>
      <c r="H88">
        <v>88848</v>
      </c>
      <c r="I88">
        <v>16485</v>
      </c>
      <c r="J88">
        <v>72363</v>
      </c>
      <c r="K88" t="s">
        <v>1635</v>
      </c>
      <c r="L88">
        <v>4725</v>
      </c>
      <c r="M88" s="7" t="s">
        <v>1636</v>
      </c>
      <c r="N88">
        <v>0</v>
      </c>
    </row>
    <row r="89" spans="1:14">
      <c r="A89">
        <v>1</v>
      </c>
      <c r="B89" t="s">
        <v>15</v>
      </c>
      <c r="C89" t="s">
        <v>197</v>
      </c>
      <c r="D89" t="s">
        <v>198</v>
      </c>
      <c r="E89" s="8">
        <v>45947</v>
      </c>
      <c r="F89">
        <v>4</v>
      </c>
      <c r="G89">
        <v>2730</v>
      </c>
      <c r="H89">
        <v>84220</v>
      </c>
      <c r="I89">
        <v>10873.33</v>
      </c>
      <c r="J89">
        <v>73346.67</v>
      </c>
      <c r="K89" t="s">
        <v>1635</v>
      </c>
      <c r="L89">
        <v>2730</v>
      </c>
      <c r="M89" s="7" t="s">
        <v>1636</v>
      </c>
      <c r="N89">
        <v>0</v>
      </c>
    </row>
    <row r="90" spans="1:14">
      <c r="A90">
        <v>1</v>
      </c>
      <c r="B90" t="s">
        <v>15</v>
      </c>
      <c r="C90" t="s">
        <v>203</v>
      </c>
      <c r="D90" t="s">
        <v>204</v>
      </c>
      <c r="E90" s="8">
        <v>45954</v>
      </c>
      <c r="F90">
        <v>4</v>
      </c>
      <c r="G90">
        <v>2460</v>
      </c>
      <c r="H90">
        <v>74625</v>
      </c>
      <c r="I90">
        <v>9580</v>
      </c>
      <c r="J90">
        <v>65045</v>
      </c>
      <c r="K90" t="s">
        <v>1635</v>
      </c>
      <c r="L90">
        <v>2460</v>
      </c>
      <c r="M90" s="7" t="s">
        <v>1636</v>
      </c>
      <c r="N90">
        <v>0</v>
      </c>
    </row>
    <row r="91" spans="1:14">
      <c r="A91">
        <v>1</v>
      </c>
      <c r="B91" t="s">
        <v>15</v>
      </c>
      <c r="C91" t="s">
        <v>207</v>
      </c>
      <c r="D91" t="s">
        <v>208</v>
      </c>
      <c r="E91" s="8">
        <v>45954</v>
      </c>
      <c r="F91">
        <v>4</v>
      </c>
      <c r="G91">
        <v>2360</v>
      </c>
      <c r="H91">
        <v>73000</v>
      </c>
      <c r="I91">
        <v>9143.33</v>
      </c>
      <c r="J91">
        <v>63856.67</v>
      </c>
      <c r="K91" t="s">
        <v>1635</v>
      </c>
      <c r="L91">
        <v>2360</v>
      </c>
      <c r="M91" s="7" t="s">
        <v>1636</v>
      </c>
      <c r="N91">
        <v>0</v>
      </c>
    </row>
    <row r="92" spans="1:14">
      <c r="A92">
        <v>1</v>
      </c>
      <c r="B92" t="s">
        <v>15</v>
      </c>
      <c r="C92" t="s">
        <v>215</v>
      </c>
      <c r="D92" t="s">
        <v>216</v>
      </c>
      <c r="E92" s="8">
        <v>45954</v>
      </c>
      <c r="F92">
        <v>4</v>
      </c>
      <c r="G92">
        <v>2640</v>
      </c>
      <c r="H92">
        <v>78314</v>
      </c>
      <c r="I92">
        <v>10560</v>
      </c>
      <c r="J92">
        <v>67754</v>
      </c>
      <c r="K92" t="s">
        <v>1635</v>
      </c>
      <c r="L92">
        <v>2640</v>
      </c>
      <c r="M92" s="7" t="s">
        <v>1636</v>
      </c>
      <c r="N92">
        <v>0</v>
      </c>
    </row>
    <row r="93" spans="1:14">
      <c r="A93">
        <v>1</v>
      </c>
      <c r="B93" t="s">
        <v>15</v>
      </c>
      <c r="C93" t="s">
        <v>219</v>
      </c>
      <c r="D93" t="s">
        <v>220</v>
      </c>
      <c r="E93" s="8">
        <v>45954</v>
      </c>
      <c r="F93">
        <v>4</v>
      </c>
      <c r="G93">
        <v>3914</v>
      </c>
      <c r="H93">
        <v>73000</v>
      </c>
      <c r="I93">
        <v>15656</v>
      </c>
      <c r="J93">
        <v>57344</v>
      </c>
      <c r="K93" t="s">
        <v>1635</v>
      </c>
      <c r="L93">
        <v>3914</v>
      </c>
      <c r="M93" s="7" t="s">
        <v>1636</v>
      </c>
      <c r="N93">
        <v>0</v>
      </c>
    </row>
    <row r="94" spans="1:14">
      <c r="A94">
        <v>1</v>
      </c>
      <c r="B94" t="s">
        <v>15</v>
      </c>
      <c r="C94" t="s">
        <v>221</v>
      </c>
      <c r="D94" t="s">
        <v>222</v>
      </c>
      <c r="E94" s="8">
        <v>45947</v>
      </c>
      <c r="F94">
        <v>4</v>
      </c>
      <c r="G94">
        <v>2420</v>
      </c>
      <c r="H94">
        <v>73000</v>
      </c>
      <c r="I94">
        <v>9276.67</v>
      </c>
      <c r="J94">
        <v>63723.33</v>
      </c>
      <c r="K94" t="s">
        <v>1635</v>
      </c>
      <c r="L94">
        <v>2420</v>
      </c>
      <c r="M94" s="7" t="s">
        <v>1636</v>
      </c>
      <c r="N94">
        <v>0</v>
      </c>
    </row>
    <row r="95" spans="1:14">
      <c r="A95">
        <v>1</v>
      </c>
      <c r="B95" t="s">
        <v>15</v>
      </c>
      <c r="C95" t="s">
        <v>238</v>
      </c>
      <c r="D95" t="s">
        <v>239</v>
      </c>
      <c r="E95" s="8">
        <v>45947</v>
      </c>
      <c r="F95">
        <v>4</v>
      </c>
      <c r="G95">
        <v>4060</v>
      </c>
      <c r="H95">
        <v>74625</v>
      </c>
      <c r="I95">
        <v>14746.67</v>
      </c>
      <c r="J95">
        <v>59878.33</v>
      </c>
      <c r="K95" t="s">
        <v>1635</v>
      </c>
      <c r="L95">
        <v>4060</v>
      </c>
      <c r="M95" s="7" t="s">
        <v>1636</v>
      </c>
      <c r="N95">
        <v>0</v>
      </c>
    </row>
    <row r="96" spans="1:14">
      <c r="A96">
        <v>1</v>
      </c>
      <c r="B96" t="s">
        <v>15</v>
      </c>
      <c r="C96" t="s">
        <v>240</v>
      </c>
      <c r="D96" t="s">
        <v>241</v>
      </c>
      <c r="E96" s="8">
        <v>45947</v>
      </c>
      <c r="F96">
        <v>4</v>
      </c>
      <c r="G96">
        <v>3080</v>
      </c>
      <c r="H96">
        <v>100000</v>
      </c>
      <c r="I96">
        <v>12320</v>
      </c>
      <c r="J96">
        <v>87680</v>
      </c>
      <c r="K96" t="s">
        <v>1635</v>
      </c>
      <c r="L96">
        <v>3080</v>
      </c>
      <c r="M96" s="7" t="s">
        <v>1636</v>
      </c>
      <c r="N96">
        <v>0</v>
      </c>
    </row>
    <row r="97" spans="1:14">
      <c r="A97">
        <v>1</v>
      </c>
      <c r="B97" t="s">
        <v>15</v>
      </c>
      <c r="C97" t="s">
        <v>242</v>
      </c>
      <c r="D97" t="s">
        <v>243</v>
      </c>
      <c r="E97" s="8">
        <v>45954</v>
      </c>
      <c r="F97">
        <v>4</v>
      </c>
      <c r="G97">
        <v>2886</v>
      </c>
      <c r="H97">
        <v>84677</v>
      </c>
      <c r="I97">
        <v>11544</v>
      </c>
      <c r="J97">
        <v>73133</v>
      </c>
      <c r="K97" t="s">
        <v>1635</v>
      </c>
      <c r="L97">
        <v>2886</v>
      </c>
      <c r="M97" s="7" t="s">
        <v>1636</v>
      </c>
      <c r="N97">
        <v>0</v>
      </c>
    </row>
    <row r="98" spans="1:14">
      <c r="A98">
        <v>1</v>
      </c>
      <c r="B98" t="s">
        <v>15</v>
      </c>
      <c r="C98" t="s">
        <v>262</v>
      </c>
      <c r="D98" t="s">
        <v>263</v>
      </c>
      <c r="E98" s="8">
        <v>45954</v>
      </c>
      <c r="F98">
        <v>4</v>
      </c>
      <c r="G98">
        <v>2592</v>
      </c>
      <c r="H98">
        <v>78645</v>
      </c>
      <c r="I98">
        <v>10368</v>
      </c>
      <c r="J98">
        <v>68277</v>
      </c>
      <c r="K98" t="s">
        <v>1635</v>
      </c>
      <c r="L98">
        <v>2592</v>
      </c>
      <c r="M98" s="7" t="s">
        <v>1636</v>
      </c>
      <c r="N98">
        <v>0</v>
      </c>
    </row>
    <row r="99" spans="1:14">
      <c r="A99">
        <v>1</v>
      </c>
      <c r="B99" t="s">
        <v>15</v>
      </c>
      <c r="C99" t="s">
        <v>306</v>
      </c>
      <c r="D99" t="s">
        <v>307</v>
      </c>
      <c r="E99" s="8">
        <v>45947</v>
      </c>
      <c r="F99">
        <v>4</v>
      </c>
      <c r="G99">
        <v>2728</v>
      </c>
      <c r="H99">
        <v>77921</v>
      </c>
      <c r="I99">
        <v>10764</v>
      </c>
      <c r="J99">
        <v>67157</v>
      </c>
      <c r="K99" t="s">
        <v>1635</v>
      </c>
      <c r="L99">
        <v>2728</v>
      </c>
      <c r="M99" s="7" t="s">
        <v>1636</v>
      </c>
      <c r="N99">
        <v>0</v>
      </c>
    </row>
    <row r="100" spans="1:14">
      <c r="A100">
        <v>1</v>
      </c>
      <c r="B100" t="s">
        <v>15</v>
      </c>
      <c r="C100" t="s">
        <v>326</v>
      </c>
      <c r="D100" t="s">
        <v>327</v>
      </c>
      <c r="E100" s="8">
        <v>45947</v>
      </c>
      <c r="F100">
        <v>4</v>
      </c>
      <c r="G100">
        <v>4092</v>
      </c>
      <c r="H100">
        <v>122717</v>
      </c>
      <c r="I100">
        <v>16368</v>
      </c>
      <c r="J100">
        <v>106349</v>
      </c>
      <c r="K100" t="s">
        <v>1635</v>
      </c>
      <c r="L100">
        <v>4092</v>
      </c>
      <c r="M100" s="7" t="s">
        <v>1636</v>
      </c>
      <c r="N100">
        <v>0</v>
      </c>
    </row>
    <row r="101" spans="1:14">
      <c r="A101">
        <v>1</v>
      </c>
      <c r="B101" t="s">
        <v>15</v>
      </c>
      <c r="C101" t="s">
        <v>330</v>
      </c>
      <c r="D101" t="s">
        <v>331</v>
      </c>
      <c r="E101" s="8">
        <v>45954</v>
      </c>
      <c r="F101">
        <v>4</v>
      </c>
      <c r="G101">
        <v>3519</v>
      </c>
      <c r="H101">
        <v>102530</v>
      </c>
      <c r="I101">
        <v>14076</v>
      </c>
      <c r="J101">
        <v>88454</v>
      </c>
      <c r="K101" t="s">
        <v>1635</v>
      </c>
      <c r="L101">
        <v>3519</v>
      </c>
      <c r="M101" s="7" t="s">
        <v>1636</v>
      </c>
      <c r="N101">
        <v>0</v>
      </c>
    </row>
    <row r="102" spans="1:14">
      <c r="A102">
        <v>1</v>
      </c>
      <c r="B102" t="s">
        <v>15</v>
      </c>
      <c r="C102" t="s">
        <v>334</v>
      </c>
      <c r="D102" t="s">
        <v>335</v>
      </c>
      <c r="E102" s="8">
        <v>45947</v>
      </c>
      <c r="F102">
        <v>4</v>
      </c>
      <c r="G102">
        <v>4060</v>
      </c>
      <c r="H102">
        <v>119788</v>
      </c>
      <c r="I102">
        <v>14846.67</v>
      </c>
      <c r="J102">
        <v>104941.33</v>
      </c>
      <c r="K102" t="s">
        <v>1635</v>
      </c>
      <c r="L102">
        <v>4060</v>
      </c>
      <c r="M102" s="7" t="s">
        <v>1636</v>
      </c>
      <c r="N102">
        <v>0</v>
      </c>
    </row>
    <row r="103" spans="1:14">
      <c r="A103">
        <v>1</v>
      </c>
      <c r="B103" t="s">
        <v>15</v>
      </c>
      <c r="C103" t="s">
        <v>346</v>
      </c>
      <c r="D103" t="s">
        <v>347</v>
      </c>
      <c r="E103" s="8">
        <v>45947</v>
      </c>
      <c r="F103">
        <v>4</v>
      </c>
      <c r="G103">
        <v>3420</v>
      </c>
      <c r="H103">
        <v>109415</v>
      </c>
      <c r="I103">
        <v>12560</v>
      </c>
      <c r="J103">
        <v>96855</v>
      </c>
      <c r="K103" t="s">
        <v>1635</v>
      </c>
      <c r="L103">
        <v>3420</v>
      </c>
      <c r="M103" s="7" t="s">
        <v>1636</v>
      </c>
      <c r="N103">
        <v>0</v>
      </c>
    </row>
    <row r="104" spans="1:14">
      <c r="A104">
        <v>1</v>
      </c>
      <c r="B104" t="s">
        <v>15</v>
      </c>
      <c r="C104" t="s">
        <v>370</v>
      </c>
      <c r="D104" t="s">
        <v>371</v>
      </c>
      <c r="E104" s="8">
        <v>45947</v>
      </c>
      <c r="F104">
        <v>4</v>
      </c>
      <c r="G104">
        <v>2597</v>
      </c>
      <c r="H104">
        <v>77700</v>
      </c>
      <c r="I104">
        <v>10388</v>
      </c>
      <c r="J104">
        <v>67312</v>
      </c>
      <c r="K104" t="s">
        <v>1635</v>
      </c>
      <c r="L104">
        <v>2597</v>
      </c>
      <c r="M104" s="7" t="s">
        <v>1636</v>
      </c>
      <c r="N104">
        <v>0</v>
      </c>
    </row>
    <row r="105" spans="1:14">
      <c r="A105">
        <v>1</v>
      </c>
      <c r="B105" t="s">
        <v>15</v>
      </c>
      <c r="C105" t="s">
        <v>373</v>
      </c>
      <c r="D105" t="s">
        <v>374</v>
      </c>
      <c r="E105" s="8">
        <v>45954</v>
      </c>
      <c r="F105">
        <v>4</v>
      </c>
      <c r="G105">
        <v>7370</v>
      </c>
      <c r="H105">
        <v>220995</v>
      </c>
      <c r="I105">
        <v>29480</v>
      </c>
      <c r="J105">
        <v>191515</v>
      </c>
      <c r="K105" t="s">
        <v>1635</v>
      </c>
      <c r="L105">
        <v>7370</v>
      </c>
      <c r="M105" s="7" t="s">
        <v>1636</v>
      </c>
      <c r="N105">
        <v>0</v>
      </c>
    </row>
    <row r="106" spans="1:14">
      <c r="A106">
        <v>1</v>
      </c>
      <c r="B106" t="s">
        <v>15</v>
      </c>
      <c r="C106" t="s">
        <v>401</v>
      </c>
      <c r="D106" t="s">
        <v>402</v>
      </c>
      <c r="E106" s="8">
        <v>45947</v>
      </c>
      <c r="F106">
        <v>4</v>
      </c>
      <c r="G106">
        <v>3536</v>
      </c>
      <c r="H106">
        <v>121325</v>
      </c>
      <c r="I106">
        <v>14144</v>
      </c>
      <c r="J106">
        <v>107181</v>
      </c>
      <c r="K106" t="s">
        <v>1635</v>
      </c>
      <c r="L106">
        <v>3536</v>
      </c>
      <c r="M106" s="7" t="s">
        <v>1636</v>
      </c>
      <c r="N106">
        <v>0</v>
      </c>
    </row>
    <row r="107" spans="1:14">
      <c r="A107">
        <v>1</v>
      </c>
      <c r="B107" t="s">
        <v>15</v>
      </c>
      <c r="C107" t="s">
        <v>415</v>
      </c>
      <c r="D107" t="s">
        <v>416</v>
      </c>
      <c r="E107" s="8">
        <v>45947</v>
      </c>
      <c r="F107">
        <v>4</v>
      </c>
      <c r="G107">
        <v>1632</v>
      </c>
      <c r="H107">
        <v>46731</v>
      </c>
      <c r="I107">
        <v>6528</v>
      </c>
      <c r="J107">
        <v>40203</v>
      </c>
      <c r="K107" t="s">
        <v>1635</v>
      </c>
      <c r="L107">
        <v>1632</v>
      </c>
      <c r="M107" s="7" t="s">
        <v>1636</v>
      </c>
      <c r="N107">
        <v>0</v>
      </c>
    </row>
    <row r="108" spans="1:14">
      <c r="A108">
        <v>1</v>
      </c>
      <c r="B108" t="s">
        <v>15</v>
      </c>
      <c r="C108" t="s">
        <v>427</v>
      </c>
      <c r="D108" t="s">
        <v>428</v>
      </c>
      <c r="E108" s="8">
        <v>45947</v>
      </c>
      <c r="F108">
        <v>4</v>
      </c>
      <c r="G108">
        <v>4200</v>
      </c>
      <c r="H108">
        <v>151204</v>
      </c>
      <c r="I108">
        <v>15400</v>
      </c>
      <c r="J108">
        <v>135804</v>
      </c>
      <c r="K108" t="s">
        <v>1635</v>
      </c>
      <c r="L108">
        <v>4200</v>
      </c>
      <c r="M108" s="7" t="s">
        <v>1636</v>
      </c>
      <c r="N108">
        <v>0</v>
      </c>
    </row>
    <row r="109" spans="1:14">
      <c r="A109">
        <v>1</v>
      </c>
      <c r="B109" t="s">
        <v>15</v>
      </c>
      <c r="C109" t="s">
        <v>429</v>
      </c>
      <c r="D109" t="s">
        <v>430</v>
      </c>
      <c r="E109" s="8">
        <v>45947</v>
      </c>
      <c r="F109">
        <v>4</v>
      </c>
      <c r="G109">
        <v>3213</v>
      </c>
      <c r="H109">
        <v>120000</v>
      </c>
      <c r="I109">
        <v>12059</v>
      </c>
      <c r="J109">
        <v>107941</v>
      </c>
      <c r="K109" t="s">
        <v>1635</v>
      </c>
      <c r="L109">
        <v>3213</v>
      </c>
      <c r="M109" s="7" t="s">
        <v>1636</v>
      </c>
      <c r="N109">
        <v>0</v>
      </c>
    </row>
    <row r="110" spans="1:14">
      <c r="A110">
        <v>1</v>
      </c>
      <c r="B110" t="s">
        <v>15</v>
      </c>
      <c r="C110" t="s">
        <v>431</v>
      </c>
      <c r="D110" t="s">
        <v>432</v>
      </c>
      <c r="E110" s="8">
        <v>45947</v>
      </c>
      <c r="F110">
        <v>4</v>
      </c>
      <c r="G110">
        <v>4400</v>
      </c>
      <c r="H110">
        <v>159619</v>
      </c>
      <c r="I110">
        <v>15200</v>
      </c>
      <c r="J110">
        <v>144419</v>
      </c>
      <c r="K110" t="s">
        <v>1635</v>
      </c>
      <c r="L110">
        <v>4400</v>
      </c>
      <c r="M110" s="7" t="s">
        <v>1636</v>
      </c>
      <c r="N110">
        <v>0</v>
      </c>
    </row>
    <row r="111" spans="1:14">
      <c r="A111">
        <v>1</v>
      </c>
      <c r="B111" t="s">
        <v>15</v>
      </c>
      <c r="C111" t="s">
        <v>443</v>
      </c>
      <c r="D111" t="s">
        <v>444</v>
      </c>
      <c r="E111" s="8">
        <v>45947</v>
      </c>
      <c r="F111">
        <v>4</v>
      </c>
      <c r="G111">
        <v>2914</v>
      </c>
      <c r="H111">
        <v>84000</v>
      </c>
      <c r="I111">
        <v>10722</v>
      </c>
      <c r="J111">
        <v>73278</v>
      </c>
      <c r="K111" t="s">
        <v>1635</v>
      </c>
      <c r="L111">
        <v>2914</v>
      </c>
      <c r="M111" s="7" t="s">
        <v>1636</v>
      </c>
      <c r="N111">
        <v>0</v>
      </c>
    </row>
    <row r="112" spans="1:14">
      <c r="A112">
        <v>1</v>
      </c>
      <c r="B112" t="s">
        <v>15</v>
      </c>
      <c r="C112" t="s">
        <v>459</v>
      </c>
      <c r="D112" t="s">
        <v>460</v>
      </c>
      <c r="E112" s="8">
        <v>45947</v>
      </c>
      <c r="F112">
        <v>4</v>
      </c>
      <c r="G112">
        <v>4018</v>
      </c>
      <c r="H112">
        <v>118888</v>
      </c>
      <c r="I112">
        <v>15434</v>
      </c>
      <c r="J112">
        <v>103454</v>
      </c>
      <c r="K112" t="s">
        <v>1635</v>
      </c>
      <c r="L112">
        <v>4018</v>
      </c>
      <c r="M112" s="7" t="s">
        <v>1636</v>
      </c>
      <c r="N112">
        <v>0</v>
      </c>
    </row>
    <row r="113" spans="1:14">
      <c r="A113">
        <v>1</v>
      </c>
      <c r="B113" t="s">
        <v>15</v>
      </c>
      <c r="C113" t="s">
        <v>475</v>
      </c>
      <c r="D113" t="s">
        <v>476</v>
      </c>
      <c r="E113" s="8">
        <v>45947</v>
      </c>
      <c r="F113">
        <v>4</v>
      </c>
      <c r="G113">
        <v>1566</v>
      </c>
      <c r="H113">
        <v>29297</v>
      </c>
      <c r="I113">
        <v>6264</v>
      </c>
      <c r="J113">
        <v>23033</v>
      </c>
      <c r="K113" t="s">
        <v>1635</v>
      </c>
      <c r="L113">
        <v>1566</v>
      </c>
      <c r="M113" s="7" t="s">
        <v>1636</v>
      </c>
      <c r="N113">
        <v>0</v>
      </c>
    </row>
    <row r="114" spans="1:14">
      <c r="A114">
        <v>1</v>
      </c>
      <c r="B114" t="s">
        <v>15</v>
      </c>
      <c r="C114" t="s">
        <v>477</v>
      </c>
      <c r="D114" t="s">
        <v>478</v>
      </c>
      <c r="E114" s="8">
        <v>45947</v>
      </c>
      <c r="F114">
        <v>4</v>
      </c>
      <c r="G114">
        <v>2880</v>
      </c>
      <c r="H114">
        <v>90000</v>
      </c>
      <c r="I114">
        <v>10460</v>
      </c>
      <c r="J114">
        <v>79540</v>
      </c>
      <c r="K114" t="s">
        <v>1635</v>
      </c>
      <c r="L114">
        <v>2880</v>
      </c>
      <c r="M114" s="7" t="s">
        <v>1636</v>
      </c>
      <c r="N114">
        <v>0</v>
      </c>
    </row>
    <row r="115" spans="1:14">
      <c r="A115">
        <v>1</v>
      </c>
      <c r="B115" t="s">
        <v>15</v>
      </c>
      <c r="C115" t="s">
        <v>483</v>
      </c>
      <c r="D115" t="s">
        <v>484</v>
      </c>
      <c r="E115" s="8">
        <v>45954</v>
      </c>
      <c r="F115">
        <v>4</v>
      </c>
      <c r="G115">
        <v>4280</v>
      </c>
      <c r="H115">
        <v>137380</v>
      </c>
      <c r="I115">
        <v>16720</v>
      </c>
      <c r="J115">
        <v>120660</v>
      </c>
      <c r="K115" t="s">
        <v>1635</v>
      </c>
      <c r="L115">
        <v>4280</v>
      </c>
      <c r="M115" s="7" t="s">
        <v>1636</v>
      </c>
      <c r="N115">
        <v>0</v>
      </c>
    </row>
    <row r="116" spans="1:14">
      <c r="A116">
        <v>1</v>
      </c>
      <c r="B116" t="s">
        <v>15</v>
      </c>
      <c r="C116" t="s">
        <v>485</v>
      </c>
      <c r="D116" t="s">
        <v>486</v>
      </c>
      <c r="E116" s="8">
        <v>45954</v>
      </c>
      <c r="F116">
        <v>4</v>
      </c>
      <c r="G116">
        <v>2200</v>
      </c>
      <c r="H116">
        <v>93980</v>
      </c>
      <c r="I116">
        <v>10670</v>
      </c>
      <c r="J116">
        <v>83310</v>
      </c>
      <c r="K116" t="s">
        <v>1635</v>
      </c>
      <c r="L116">
        <v>2200</v>
      </c>
      <c r="M116" s="7" t="s">
        <v>1636</v>
      </c>
      <c r="N116">
        <v>0</v>
      </c>
    </row>
    <row r="117" spans="1:14">
      <c r="A117">
        <v>1</v>
      </c>
      <c r="B117" t="s">
        <v>15</v>
      </c>
      <c r="C117" t="s">
        <v>489</v>
      </c>
      <c r="D117" t="s">
        <v>490</v>
      </c>
      <c r="E117" s="8">
        <v>45947</v>
      </c>
      <c r="F117">
        <v>4</v>
      </c>
      <c r="G117">
        <v>1650</v>
      </c>
      <c r="H117">
        <v>28225</v>
      </c>
      <c r="I117">
        <v>6600</v>
      </c>
      <c r="J117">
        <v>21625</v>
      </c>
      <c r="K117" t="s">
        <v>1635</v>
      </c>
      <c r="L117">
        <v>1650</v>
      </c>
      <c r="M117" s="7" t="s">
        <v>1636</v>
      </c>
      <c r="N117">
        <v>0</v>
      </c>
    </row>
    <row r="118" spans="1:14">
      <c r="A118">
        <v>1</v>
      </c>
      <c r="B118" t="s">
        <v>15</v>
      </c>
      <c r="C118" t="s">
        <v>493</v>
      </c>
      <c r="D118" t="s">
        <v>494</v>
      </c>
      <c r="E118" s="8">
        <v>45947</v>
      </c>
      <c r="F118">
        <v>4</v>
      </c>
      <c r="G118">
        <v>3538</v>
      </c>
      <c r="H118">
        <v>109196</v>
      </c>
      <c r="I118">
        <v>12934</v>
      </c>
      <c r="J118">
        <v>96262</v>
      </c>
      <c r="K118" t="s">
        <v>1635</v>
      </c>
      <c r="L118">
        <v>3538</v>
      </c>
      <c r="M118" s="7" t="s">
        <v>1636</v>
      </c>
      <c r="N118">
        <v>0</v>
      </c>
    </row>
    <row r="119" spans="1:14">
      <c r="A119">
        <v>1</v>
      </c>
      <c r="B119" t="s">
        <v>15</v>
      </c>
      <c r="C119" t="s">
        <v>497</v>
      </c>
      <c r="D119" t="s">
        <v>498</v>
      </c>
      <c r="E119" s="8">
        <v>45954</v>
      </c>
      <c r="F119">
        <v>4</v>
      </c>
      <c r="G119">
        <v>1679</v>
      </c>
      <c r="H119">
        <v>30363</v>
      </c>
      <c r="I119">
        <v>6716</v>
      </c>
      <c r="J119">
        <v>23647</v>
      </c>
      <c r="K119" t="s">
        <v>1635</v>
      </c>
      <c r="L119">
        <v>1679</v>
      </c>
      <c r="M119" s="7" t="s">
        <v>1636</v>
      </c>
      <c r="N119">
        <v>0</v>
      </c>
    </row>
    <row r="120" spans="1:14">
      <c r="A120">
        <v>1</v>
      </c>
      <c r="B120" t="s">
        <v>15</v>
      </c>
      <c r="C120" t="s">
        <v>505</v>
      </c>
      <c r="D120" t="s">
        <v>506</v>
      </c>
      <c r="E120" s="8">
        <v>45954</v>
      </c>
      <c r="F120">
        <v>4</v>
      </c>
      <c r="G120">
        <v>494</v>
      </c>
      <c r="H120">
        <v>8910</v>
      </c>
      <c r="I120">
        <v>1976</v>
      </c>
      <c r="J120">
        <v>6934</v>
      </c>
      <c r="K120" t="s">
        <v>1635</v>
      </c>
      <c r="L120">
        <v>494</v>
      </c>
      <c r="M120" s="7" t="s">
        <v>1636</v>
      </c>
      <c r="N120">
        <v>0</v>
      </c>
    </row>
    <row r="121" spans="1:14">
      <c r="A121">
        <v>1</v>
      </c>
      <c r="B121" t="s">
        <v>15</v>
      </c>
      <c r="C121" t="s">
        <v>507</v>
      </c>
      <c r="D121" t="s">
        <v>508</v>
      </c>
      <c r="E121" s="8">
        <v>45947</v>
      </c>
      <c r="F121">
        <v>4</v>
      </c>
      <c r="G121">
        <v>3480</v>
      </c>
      <c r="H121">
        <v>105075</v>
      </c>
      <c r="I121">
        <v>12040</v>
      </c>
      <c r="J121">
        <v>93035</v>
      </c>
      <c r="K121" t="s">
        <v>1635</v>
      </c>
      <c r="L121">
        <v>3480</v>
      </c>
      <c r="M121" s="7" t="s">
        <v>1636</v>
      </c>
      <c r="N121">
        <v>0</v>
      </c>
    </row>
    <row r="122" spans="1:14">
      <c r="A122">
        <v>1</v>
      </c>
      <c r="B122" t="s">
        <v>15</v>
      </c>
      <c r="C122" t="s">
        <v>509</v>
      </c>
      <c r="D122" t="s">
        <v>510</v>
      </c>
      <c r="E122" s="8">
        <v>45947</v>
      </c>
      <c r="F122">
        <v>4</v>
      </c>
      <c r="G122">
        <v>3922</v>
      </c>
      <c r="H122">
        <v>119603</v>
      </c>
      <c r="I122">
        <v>13886</v>
      </c>
      <c r="J122">
        <v>105717</v>
      </c>
      <c r="K122" t="s">
        <v>1635</v>
      </c>
      <c r="L122">
        <v>3922</v>
      </c>
      <c r="M122" s="7" t="s">
        <v>1636</v>
      </c>
      <c r="N122">
        <v>0</v>
      </c>
    </row>
    <row r="123" spans="1:14">
      <c r="A123">
        <v>1</v>
      </c>
      <c r="B123" t="s">
        <v>15</v>
      </c>
      <c r="C123" t="s">
        <v>513</v>
      </c>
      <c r="D123" t="s">
        <v>514</v>
      </c>
      <c r="E123" s="8">
        <v>45947</v>
      </c>
      <c r="F123">
        <v>4</v>
      </c>
      <c r="G123">
        <v>2565</v>
      </c>
      <c r="H123">
        <v>78200</v>
      </c>
      <c r="I123">
        <v>9495</v>
      </c>
      <c r="J123">
        <v>68705</v>
      </c>
      <c r="K123" t="s">
        <v>1635</v>
      </c>
      <c r="L123">
        <v>2565</v>
      </c>
      <c r="M123" s="7" t="s">
        <v>1636</v>
      </c>
      <c r="N123">
        <v>0</v>
      </c>
    </row>
    <row r="124" spans="1:14">
      <c r="A124">
        <v>1</v>
      </c>
      <c r="B124" t="s">
        <v>15</v>
      </c>
      <c r="C124" t="s">
        <v>519</v>
      </c>
      <c r="D124" t="s">
        <v>520</v>
      </c>
      <c r="E124" s="8">
        <v>45947</v>
      </c>
      <c r="F124">
        <v>4</v>
      </c>
      <c r="G124">
        <v>3696</v>
      </c>
      <c r="H124">
        <v>110000</v>
      </c>
      <c r="I124">
        <v>13378</v>
      </c>
      <c r="J124">
        <v>96622</v>
      </c>
      <c r="K124" t="s">
        <v>1635</v>
      </c>
      <c r="L124">
        <v>3696</v>
      </c>
      <c r="M124" s="7" t="s">
        <v>1636</v>
      </c>
      <c r="N124">
        <v>0</v>
      </c>
    </row>
    <row r="125" spans="1:14">
      <c r="A125">
        <v>1</v>
      </c>
      <c r="B125" t="s">
        <v>15</v>
      </c>
      <c r="C125" t="s">
        <v>527</v>
      </c>
      <c r="D125" t="s">
        <v>528</v>
      </c>
      <c r="E125" s="8">
        <v>45947</v>
      </c>
      <c r="F125">
        <v>4</v>
      </c>
      <c r="G125">
        <v>4575</v>
      </c>
      <c r="H125">
        <v>135731</v>
      </c>
      <c r="I125">
        <v>16775</v>
      </c>
      <c r="J125">
        <v>118956</v>
      </c>
      <c r="K125" t="s">
        <v>1635</v>
      </c>
      <c r="L125">
        <v>4575</v>
      </c>
      <c r="M125" s="7" t="s">
        <v>1636</v>
      </c>
      <c r="N125">
        <v>0</v>
      </c>
    </row>
    <row r="126" spans="1:14">
      <c r="A126">
        <v>1</v>
      </c>
      <c r="B126" t="s">
        <v>15</v>
      </c>
      <c r="C126" t="s">
        <v>531</v>
      </c>
      <c r="D126" t="s">
        <v>532</v>
      </c>
      <c r="E126" s="8">
        <v>45947</v>
      </c>
      <c r="F126">
        <v>4</v>
      </c>
      <c r="G126">
        <v>3912</v>
      </c>
      <c r="H126">
        <v>114896</v>
      </c>
      <c r="I126">
        <v>15071</v>
      </c>
      <c r="J126">
        <v>99825</v>
      </c>
      <c r="K126" t="s">
        <v>1635</v>
      </c>
      <c r="L126">
        <v>3912</v>
      </c>
      <c r="M126" s="7" t="s">
        <v>1636</v>
      </c>
      <c r="N126">
        <v>0</v>
      </c>
    </row>
    <row r="127" spans="1:14">
      <c r="A127">
        <v>1</v>
      </c>
      <c r="B127" t="s">
        <v>15</v>
      </c>
      <c r="C127" t="s">
        <v>539</v>
      </c>
      <c r="D127" t="s">
        <v>540</v>
      </c>
      <c r="E127" s="8">
        <v>45947</v>
      </c>
      <c r="F127">
        <v>4</v>
      </c>
      <c r="G127">
        <v>2745</v>
      </c>
      <c r="H127">
        <v>82476</v>
      </c>
      <c r="I127">
        <v>10035</v>
      </c>
      <c r="J127">
        <v>72441</v>
      </c>
      <c r="K127" t="s">
        <v>1635</v>
      </c>
      <c r="L127">
        <v>2745</v>
      </c>
      <c r="M127" s="7" t="s">
        <v>1636</v>
      </c>
      <c r="N127">
        <v>0</v>
      </c>
    </row>
    <row r="128" spans="1:14">
      <c r="A128">
        <v>1</v>
      </c>
      <c r="B128" t="s">
        <v>15</v>
      </c>
      <c r="C128" t="s">
        <v>541</v>
      </c>
      <c r="D128" t="s">
        <v>542</v>
      </c>
      <c r="E128" s="8">
        <v>45947</v>
      </c>
      <c r="F128">
        <v>4</v>
      </c>
      <c r="G128">
        <v>4290</v>
      </c>
      <c r="H128">
        <v>130000</v>
      </c>
      <c r="I128">
        <v>15070</v>
      </c>
      <c r="J128">
        <v>114930</v>
      </c>
      <c r="K128" t="s">
        <v>1635</v>
      </c>
      <c r="L128">
        <v>4290</v>
      </c>
      <c r="M128" s="7" t="s">
        <v>1636</v>
      </c>
      <c r="N128">
        <v>0</v>
      </c>
    </row>
    <row r="129" spans="1:14">
      <c r="A129">
        <v>1</v>
      </c>
      <c r="B129" t="s">
        <v>15</v>
      </c>
      <c r="C129" t="s">
        <v>548</v>
      </c>
      <c r="D129" t="s">
        <v>549</v>
      </c>
      <c r="E129" s="8">
        <v>45954</v>
      </c>
      <c r="F129">
        <v>4</v>
      </c>
      <c r="G129">
        <v>2632</v>
      </c>
      <c r="H129">
        <v>78025</v>
      </c>
      <c r="I129">
        <v>9826</v>
      </c>
      <c r="J129">
        <v>68199</v>
      </c>
      <c r="K129" t="s">
        <v>1635</v>
      </c>
      <c r="L129">
        <v>2632</v>
      </c>
      <c r="M129" s="7" t="s">
        <v>1636</v>
      </c>
      <c r="N129">
        <v>0</v>
      </c>
    </row>
    <row r="130" spans="1:14">
      <c r="A130">
        <v>1</v>
      </c>
      <c r="B130" t="s">
        <v>15</v>
      </c>
      <c r="C130" t="s">
        <v>552</v>
      </c>
      <c r="D130" t="s">
        <v>553</v>
      </c>
      <c r="E130" s="8">
        <v>45947</v>
      </c>
      <c r="F130">
        <v>4</v>
      </c>
      <c r="G130">
        <v>1470</v>
      </c>
      <c r="H130">
        <v>25490</v>
      </c>
      <c r="I130">
        <v>5880</v>
      </c>
      <c r="J130">
        <v>19610</v>
      </c>
      <c r="K130" t="s">
        <v>1635</v>
      </c>
      <c r="L130">
        <v>1470</v>
      </c>
      <c r="M130" s="7" t="s">
        <v>1636</v>
      </c>
      <c r="N130">
        <v>0</v>
      </c>
    </row>
    <row r="131" spans="1:14">
      <c r="A131">
        <v>1</v>
      </c>
      <c r="B131" t="s">
        <v>15</v>
      </c>
      <c r="C131" t="s">
        <v>560</v>
      </c>
      <c r="D131" t="s">
        <v>561</v>
      </c>
      <c r="E131" s="8">
        <v>45947</v>
      </c>
      <c r="F131">
        <v>4</v>
      </c>
      <c r="G131">
        <v>2900</v>
      </c>
      <c r="H131">
        <v>87000</v>
      </c>
      <c r="I131">
        <v>9800</v>
      </c>
      <c r="J131">
        <v>77200</v>
      </c>
      <c r="K131" t="s">
        <v>1635</v>
      </c>
      <c r="L131">
        <v>2900</v>
      </c>
      <c r="M131" s="7" t="s">
        <v>1636</v>
      </c>
      <c r="N131">
        <v>0</v>
      </c>
    </row>
    <row r="132" spans="1:14">
      <c r="A132">
        <v>1</v>
      </c>
      <c r="B132" t="s">
        <v>15</v>
      </c>
      <c r="C132" t="s">
        <v>562</v>
      </c>
      <c r="D132" t="s">
        <v>563</v>
      </c>
      <c r="E132" s="8">
        <v>45947</v>
      </c>
      <c r="F132">
        <v>4</v>
      </c>
      <c r="G132">
        <v>3969</v>
      </c>
      <c r="H132">
        <v>119770</v>
      </c>
      <c r="I132">
        <v>14427</v>
      </c>
      <c r="J132">
        <v>105343</v>
      </c>
      <c r="K132" t="s">
        <v>1635</v>
      </c>
      <c r="L132">
        <v>3969</v>
      </c>
      <c r="M132" s="7" t="s">
        <v>1636</v>
      </c>
      <c r="N132">
        <v>0</v>
      </c>
    </row>
    <row r="133" spans="1:14">
      <c r="A133">
        <v>1</v>
      </c>
      <c r="B133" t="s">
        <v>15</v>
      </c>
      <c r="C133" t="s">
        <v>571</v>
      </c>
      <c r="D133" t="s">
        <v>572</v>
      </c>
      <c r="E133" s="8">
        <v>45947</v>
      </c>
      <c r="F133">
        <v>4</v>
      </c>
      <c r="G133">
        <v>2271.5</v>
      </c>
      <c r="H133">
        <v>68100</v>
      </c>
      <c r="I133">
        <v>8374.5</v>
      </c>
      <c r="J133">
        <v>59725.5</v>
      </c>
      <c r="K133" t="s">
        <v>1635</v>
      </c>
      <c r="L133">
        <v>2271.5</v>
      </c>
      <c r="M133" s="7" t="s">
        <v>1636</v>
      </c>
      <c r="N133">
        <v>0</v>
      </c>
    </row>
    <row r="134" spans="1:14">
      <c r="A134">
        <v>1</v>
      </c>
      <c r="B134" t="s">
        <v>15</v>
      </c>
      <c r="C134" t="s">
        <v>577</v>
      </c>
      <c r="D134" t="s">
        <v>578</v>
      </c>
      <c r="E134" s="8">
        <v>45947</v>
      </c>
      <c r="F134">
        <v>4</v>
      </c>
      <c r="G134">
        <v>6132</v>
      </c>
      <c r="H134">
        <v>179000</v>
      </c>
      <c r="I134">
        <v>21466</v>
      </c>
      <c r="J134">
        <v>157534</v>
      </c>
      <c r="K134" t="s">
        <v>1635</v>
      </c>
      <c r="L134">
        <v>6132</v>
      </c>
      <c r="M134" s="7" t="s">
        <v>1636</v>
      </c>
      <c r="N134">
        <v>0</v>
      </c>
    </row>
    <row r="135" spans="1:14">
      <c r="A135">
        <v>1</v>
      </c>
      <c r="B135" t="s">
        <v>15</v>
      </c>
      <c r="C135" t="s">
        <v>580</v>
      </c>
      <c r="D135" t="s">
        <v>581</v>
      </c>
      <c r="E135" s="8">
        <v>45947</v>
      </c>
      <c r="F135">
        <v>4</v>
      </c>
      <c r="G135">
        <v>1254</v>
      </c>
      <c r="H135">
        <v>37493</v>
      </c>
      <c r="I135">
        <v>5016</v>
      </c>
      <c r="J135">
        <v>32477</v>
      </c>
      <c r="K135" t="s">
        <v>1635</v>
      </c>
      <c r="L135">
        <v>1254</v>
      </c>
      <c r="M135" s="7" t="s">
        <v>1636</v>
      </c>
      <c r="N135">
        <v>0</v>
      </c>
    </row>
    <row r="136" spans="1:14">
      <c r="A136">
        <v>1</v>
      </c>
      <c r="B136" t="s">
        <v>15</v>
      </c>
      <c r="C136" t="s">
        <v>582</v>
      </c>
      <c r="D136" t="s">
        <v>583</v>
      </c>
      <c r="E136" s="8">
        <v>45954</v>
      </c>
      <c r="F136">
        <v>4</v>
      </c>
      <c r="G136">
        <v>2236</v>
      </c>
      <c r="H136">
        <v>67000</v>
      </c>
      <c r="I136">
        <v>8428</v>
      </c>
      <c r="J136">
        <v>58572</v>
      </c>
      <c r="K136" t="s">
        <v>1635</v>
      </c>
      <c r="L136">
        <v>2236</v>
      </c>
      <c r="M136" s="7" t="s">
        <v>1636</v>
      </c>
      <c r="N136">
        <v>0</v>
      </c>
    </row>
    <row r="137" spans="1:14">
      <c r="A137">
        <v>1</v>
      </c>
      <c r="B137" t="s">
        <v>15</v>
      </c>
      <c r="C137" t="s">
        <v>584</v>
      </c>
      <c r="D137" t="s">
        <v>585</v>
      </c>
      <c r="E137" s="8">
        <v>45954</v>
      </c>
      <c r="F137">
        <v>4</v>
      </c>
      <c r="G137">
        <v>3024</v>
      </c>
      <c r="H137">
        <v>86995</v>
      </c>
      <c r="I137">
        <v>10852</v>
      </c>
      <c r="J137">
        <v>76143</v>
      </c>
      <c r="K137" t="s">
        <v>1635</v>
      </c>
      <c r="L137">
        <v>3024</v>
      </c>
      <c r="M137" s="7" t="s">
        <v>1636</v>
      </c>
      <c r="N137">
        <v>0</v>
      </c>
    </row>
    <row r="138" spans="1:14">
      <c r="A138">
        <v>1</v>
      </c>
      <c r="B138" t="s">
        <v>15</v>
      </c>
      <c r="C138" t="s">
        <v>586</v>
      </c>
      <c r="D138" t="s">
        <v>587</v>
      </c>
      <c r="E138" s="8">
        <v>45947</v>
      </c>
      <c r="F138">
        <v>4</v>
      </c>
      <c r="G138">
        <v>5280</v>
      </c>
      <c r="H138">
        <v>160380</v>
      </c>
      <c r="I138">
        <v>19680</v>
      </c>
      <c r="J138">
        <v>140700</v>
      </c>
      <c r="K138" t="s">
        <v>1635</v>
      </c>
      <c r="L138">
        <v>5280</v>
      </c>
      <c r="M138" s="7" t="s">
        <v>1636</v>
      </c>
      <c r="N138">
        <v>0</v>
      </c>
    </row>
    <row r="139" spans="1:14">
      <c r="A139">
        <v>1</v>
      </c>
      <c r="B139" t="s">
        <v>15</v>
      </c>
      <c r="C139" t="s">
        <v>594</v>
      </c>
      <c r="D139" t="s">
        <v>595</v>
      </c>
      <c r="E139" s="8">
        <v>45947</v>
      </c>
      <c r="F139">
        <v>4</v>
      </c>
      <c r="G139">
        <v>2772</v>
      </c>
      <c r="H139">
        <v>84510</v>
      </c>
      <c r="I139">
        <v>9996</v>
      </c>
      <c r="J139">
        <v>74514</v>
      </c>
      <c r="K139" t="s">
        <v>1635</v>
      </c>
      <c r="L139">
        <v>2772</v>
      </c>
      <c r="M139" s="7" t="s">
        <v>1636</v>
      </c>
      <c r="N139">
        <v>0</v>
      </c>
    </row>
    <row r="140" spans="1:14">
      <c r="A140">
        <v>1</v>
      </c>
      <c r="B140" t="s">
        <v>15</v>
      </c>
      <c r="C140" t="s">
        <v>598</v>
      </c>
      <c r="D140" t="s">
        <v>599</v>
      </c>
      <c r="E140" s="8">
        <v>45947</v>
      </c>
      <c r="F140">
        <v>4</v>
      </c>
      <c r="G140">
        <v>4650</v>
      </c>
      <c r="H140">
        <v>138500</v>
      </c>
      <c r="I140">
        <v>16530</v>
      </c>
      <c r="J140">
        <v>121970</v>
      </c>
      <c r="K140" t="s">
        <v>1635</v>
      </c>
      <c r="L140">
        <v>4650</v>
      </c>
      <c r="M140" s="7" t="s">
        <v>1636</v>
      </c>
      <c r="N140">
        <v>0</v>
      </c>
    </row>
    <row r="141" spans="1:14">
      <c r="A141">
        <v>1</v>
      </c>
      <c r="B141" t="s">
        <v>15</v>
      </c>
      <c r="C141" t="s">
        <v>607</v>
      </c>
      <c r="D141" t="s">
        <v>608</v>
      </c>
      <c r="E141" s="8">
        <v>45947</v>
      </c>
      <c r="F141">
        <v>4</v>
      </c>
      <c r="G141">
        <v>3120</v>
      </c>
      <c r="H141">
        <v>97745</v>
      </c>
      <c r="I141">
        <v>11810</v>
      </c>
      <c r="J141">
        <v>85935</v>
      </c>
      <c r="K141" t="s">
        <v>1635</v>
      </c>
      <c r="L141">
        <v>3120</v>
      </c>
      <c r="M141" s="7" t="s">
        <v>1636</v>
      </c>
      <c r="N141">
        <v>0</v>
      </c>
    </row>
    <row r="142" spans="1:14">
      <c r="A142">
        <v>1</v>
      </c>
      <c r="B142" t="s">
        <v>15</v>
      </c>
      <c r="C142" t="s">
        <v>609</v>
      </c>
      <c r="D142" t="s">
        <v>610</v>
      </c>
      <c r="E142" s="8">
        <v>45947</v>
      </c>
      <c r="F142">
        <v>4</v>
      </c>
      <c r="G142">
        <v>2541</v>
      </c>
      <c r="H142">
        <v>77000</v>
      </c>
      <c r="I142">
        <v>8943</v>
      </c>
      <c r="J142">
        <v>68057</v>
      </c>
      <c r="K142" t="s">
        <v>1635</v>
      </c>
      <c r="L142">
        <v>2541</v>
      </c>
      <c r="M142" s="7" t="s">
        <v>1636</v>
      </c>
      <c r="N142">
        <v>0</v>
      </c>
    </row>
    <row r="143" spans="1:14">
      <c r="A143">
        <v>1</v>
      </c>
      <c r="B143" t="s">
        <v>15</v>
      </c>
      <c r="C143" t="s">
        <v>615</v>
      </c>
      <c r="D143" t="s">
        <v>616</v>
      </c>
      <c r="E143" s="8">
        <v>45947</v>
      </c>
      <c r="F143">
        <v>4</v>
      </c>
      <c r="G143">
        <v>2250</v>
      </c>
      <c r="H143">
        <v>68787</v>
      </c>
      <c r="I143">
        <v>8550</v>
      </c>
      <c r="J143">
        <v>60237</v>
      </c>
      <c r="K143" t="s">
        <v>1635</v>
      </c>
      <c r="L143">
        <v>2250</v>
      </c>
      <c r="M143" s="7" t="s">
        <v>1636</v>
      </c>
      <c r="N143">
        <v>0</v>
      </c>
    </row>
    <row r="144" spans="1:14">
      <c r="A144">
        <v>1</v>
      </c>
      <c r="B144" t="s">
        <v>15</v>
      </c>
      <c r="C144" t="s">
        <v>630</v>
      </c>
      <c r="D144" t="s">
        <v>631</v>
      </c>
      <c r="E144" s="8">
        <v>45954</v>
      </c>
      <c r="F144">
        <v>4</v>
      </c>
      <c r="G144">
        <v>3772</v>
      </c>
      <c r="H144">
        <v>107350</v>
      </c>
      <c r="I144">
        <v>13306</v>
      </c>
      <c r="J144">
        <v>94044</v>
      </c>
      <c r="K144" t="s">
        <v>1635</v>
      </c>
      <c r="L144">
        <v>3772</v>
      </c>
      <c r="M144" s="7" t="s">
        <v>1636</v>
      </c>
      <c r="N144">
        <v>0</v>
      </c>
    </row>
    <row r="145" spans="1:14">
      <c r="A145">
        <v>1</v>
      </c>
      <c r="B145" t="s">
        <v>15</v>
      </c>
      <c r="C145" t="s">
        <v>640</v>
      </c>
      <c r="D145" t="s">
        <v>641</v>
      </c>
      <c r="E145" s="8">
        <v>45947</v>
      </c>
      <c r="F145">
        <v>4</v>
      </c>
      <c r="G145">
        <v>2520</v>
      </c>
      <c r="H145">
        <v>76300</v>
      </c>
      <c r="I145">
        <v>9360</v>
      </c>
      <c r="J145">
        <v>66940</v>
      </c>
      <c r="K145" t="s">
        <v>1635</v>
      </c>
      <c r="L145">
        <v>2520</v>
      </c>
      <c r="M145" s="7" t="s">
        <v>1636</v>
      </c>
      <c r="N145">
        <v>0</v>
      </c>
    </row>
    <row r="146" spans="1:14">
      <c r="A146">
        <v>1</v>
      </c>
      <c r="B146" t="s">
        <v>15</v>
      </c>
      <c r="C146" t="s">
        <v>651</v>
      </c>
      <c r="D146" t="s">
        <v>652</v>
      </c>
      <c r="E146" s="8">
        <v>45947</v>
      </c>
      <c r="F146">
        <v>4</v>
      </c>
      <c r="G146">
        <v>4875</v>
      </c>
      <c r="H146">
        <v>148000</v>
      </c>
      <c r="I146">
        <v>17225</v>
      </c>
      <c r="J146">
        <v>130775</v>
      </c>
      <c r="K146" t="s">
        <v>1635</v>
      </c>
      <c r="L146">
        <v>4875</v>
      </c>
      <c r="M146" s="7" t="s">
        <v>1636</v>
      </c>
      <c r="N146">
        <v>0</v>
      </c>
    </row>
    <row r="147" spans="1:14">
      <c r="A147">
        <v>1</v>
      </c>
      <c r="B147" t="s">
        <v>15</v>
      </c>
      <c r="C147" t="s">
        <v>661</v>
      </c>
      <c r="D147" t="s">
        <v>662</v>
      </c>
      <c r="E147" s="8">
        <v>45947</v>
      </c>
      <c r="F147">
        <v>4</v>
      </c>
      <c r="G147">
        <v>4005</v>
      </c>
      <c r="H147">
        <v>121500</v>
      </c>
      <c r="I147">
        <v>13815</v>
      </c>
      <c r="J147">
        <v>107685</v>
      </c>
      <c r="K147" t="s">
        <v>1635</v>
      </c>
      <c r="L147">
        <v>4005</v>
      </c>
      <c r="M147" s="7" t="s">
        <v>1636</v>
      </c>
      <c r="N147">
        <v>0</v>
      </c>
    </row>
    <row r="148" spans="1:14">
      <c r="A148">
        <v>1</v>
      </c>
      <c r="B148" t="s">
        <v>15</v>
      </c>
      <c r="C148" t="s">
        <v>663</v>
      </c>
      <c r="D148" t="s">
        <v>664</v>
      </c>
      <c r="E148" s="8">
        <v>45947</v>
      </c>
      <c r="F148">
        <v>4</v>
      </c>
      <c r="G148">
        <v>1260</v>
      </c>
      <c r="H148">
        <v>23283</v>
      </c>
      <c r="I148">
        <v>5040</v>
      </c>
      <c r="J148">
        <v>18243</v>
      </c>
      <c r="K148" t="s">
        <v>1635</v>
      </c>
      <c r="L148">
        <v>1260</v>
      </c>
      <c r="M148" s="7" t="s">
        <v>1636</v>
      </c>
      <c r="N148">
        <v>0</v>
      </c>
    </row>
    <row r="149" spans="1:14">
      <c r="A149">
        <v>1</v>
      </c>
      <c r="B149" t="s">
        <v>15</v>
      </c>
      <c r="C149" t="s">
        <v>665</v>
      </c>
      <c r="D149" t="s">
        <v>666</v>
      </c>
      <c r="E149" s="8">
        <v>45947</v>
      </c>
      <c r="F149">
        <v>4</v>
      </c>
      <c r="G149">
        <v>1815</v>
      </c>
      <c r="H149">
        <v>30538</v>
      </c>
      <c r="I149">
        <v>7260</v>
      </c>
      <c r="J149">
        <v>23278</v>
      </c>
      <c r="K149" t="s">
        <v>1635</v>
      </c>
      <c r="L149">
        <v>1815</v>
      </c>
      <c r="M149" s="7" t="s">
        <v>1636</v>
      </c>
      <c r="N149">
        <v>0</v>
      </c>
    </row>
    <row r="150" spans="1:14">
      <c r="A150">
        <v>1</v>
      </c>
      <c r="B150" t="s">
        <v>15</v>
      </c>
      <c r="C150" t="s">
        <v>669</v>
      </c>
      <c r="D150" t="s">
        <v>670</v>
      </c>
      <c r="E150" s="8">
        <v>45947</v>
      </c>
      <c r="F150">
        <v>4</v>
      </c>
      <c r="G150">
        <v>3834</v>
      </c>
      <c r="H150">
        <v>111671</v>
      </c>
      <c r="I150">
        <v>13762</v>
      </c>
      <c r="J150">
        <v>97909</v>
      </c>
      <c r="K150" t="s">
        <v>1635</v>
      </c>
      <c r="L150">
        <v>3834</v>
      </c>
      <c r="M150" s="7" t="s">
        <v>1636</v>
      </c>
      <c r="N150">
        <v>0</v>
      </c>
    </row>
    <row r="151" spans="1:14">
      <c r="A151">
        <v>1</v>
      </c>
      <c r="B151" t="s">
        <v>15</v>
      </c>
      <c r="C151" t="s">
        <v>675</v>
      </c>
      <c r="D151" t="s">
        <v>676</v>
      </c>
      <c r="E151" s="8">
        <v>45947</v>
      </c>
      <c r="F151">
        <v>4</v>
      </c>
      <c r="G151">
        <v>2041.2</v>
      </c>
      <c r="H151">
        <v>36749</v>
      </c>
      <c r="I151">
        <v>8164.8</v>
      </c>
      <c r="J151">
        <v>28584.2</v>
      </c>
      <c r="K151" t="s">
        <v>1635</v>
      </c>
      <c r="L151">
        <v>2041.2</v>
      </c>
      <c r="M151" s="7" t="s">
        <v>1636</v>
      </c>
      <c r="N151">
        <v>0</v>
      </c>
    </row>
    <row r="152" spans="1:14">
      <c r="A152">
        <v>1</v>
      </c>
      <c r="B152" t="s">
        <v>15</v>
      </c>
      <c r="C152" t="s">
        <v>677</v>
      </c>
      <c r="D152" t="s">
        <v>678</v>
      </c>
      <c r="E152" s="8">
        <v>45947</v>
      </c>
      <c r="F152">
        <v>4</v>
      </c>
      <c r="G152">
        <v>2576</v>
      </c>
      <c r="H152">
        <v>75768</v>
      </c>
      <c r="I152">
        <v>9618</v>
      </c>
      <c r="J152">
        <v>66150</v>
      </c>
      <c r="K152" t="s">
        <v>1635</v>
      </c>
      <c r="L152">
        <v>2576</v>
      </c>
      <c r="M152" s="7" t="s">
        <v>1636</v>
      </c>
      <c r="N152">
        <v>0</v>
      </c>
    </row>
    <row r="153" spans="1:14">
      <c r="A153">
        <v>1</v>
      </c>
      <c r="B153" t="s">
        <v>15</v>
      </c>
      <c r="C153" t="s">
        <v>679</v>
      </c>
      <c r="D153" t="s">
        <v>680</v>
      </c>
      <c r="E153" s="8">
        <v>45947</v>
      </c>
      <c r="F153">
        <v>4</v>
      </c>
      <c r="G153">
        <v>2670</v>
      </c>
      <c r="H153">
        <v>80999</v>
      </c>
      <c r="I153">
        <v>9210</v>
      </c>
      <c r="J153">
        <v>71789</v>
      </c>
      <c r="K153" t="s">
        <v>1635</v>
      </c>
      <c r="L153">
        <v>2670</v>
      </c>
      <c r="M153" s="7" t="s">
        <v>1636</v>
      </c>
      <c r="N153">
        <v>0</v>
      </c>
    </row>
    <row r="154" spans="1:14">
      <c r="A154">
        <v>1</v>
      </c>
      <c r="B154" t="s">
        <v>15</v>
      </c>
      <c r="C154" t="s">
        <v>694</v>
      </c>
      <c r="D154" t="s">
        <v>695</v>
      </c>
      <c r="E154" s="8">
        <v>45947</v>
      </c>
      <c r="F154">
        <v>4</v>
      </c>
      <c r="G154">
        <v>1320</v>
      </c>
      <c r="H154">
        <v>26600</v>
      </c>
      <c r="I154">
        <v>5280</v>
      </c>
      <c r="J154">
        <v>21320</v>
      </c>
      <c r="K154" t="s">
        <v>1635</v>
      </c>
      <c r="L154">
        <v>1320</v>
      </c>
      <c r="M154" s="7" t="s">
        <v>1636</v>
      </c>
      <c r="N154">
        <v>0</v>
      </c>
    </row>
    <row r="155" spans="1:14">
      <c r="A155">
        <v>1</v>
      </c>
      <c r="B155" t="s">
        <v>15</v>
      </c>
      <c r="C155" t="s">
        <v>707</v>
      </c>
      <c r="D155" t="s">
        <v>708</v>
      </c>
      <c r="E155" s="8">
        <v>45947</v>
      </c>
      <c r="F155">
        <v>4</v>
      </c>
      <c r="G155">
        <v>3354</v>
      </c>
      <c r="H155">
        <v>103822</v>
      </c>
      <c r="I155">
        <v>11782</v>
      </c>
      <c r="J155">
        <v>92040</v>
      </c>
      <c r="K155" t="s">
        <v>1635</v>
      </c>
      <c r="L155">
        <v>3354</v>
      </c>
      <c r="M155" s="7" t="s">
        <v>1636</v>
      </c>
      <c r="N155">
        <v>0</v>
      </c>
    </row>
    <row r="156" spans="1:14">
      <c r="A156">
        <v>1</v>
      </c>
      <c r="B156" t="s">
        <v>15</v>
      </c>
      <c r="C156" t="s">
        <v>778</v>
      </c>
      <c r="D156" t="s">
        <v>779</v>
      </c>
      <c r="E156" s="8">
        <v>45954</v>
      </c>
      <c r="F156">
        <v>4</v>
      </c>
      <c r="G156">
        <v>1014</v>
      </c>
      <c r="H156">
        <v>17949</v>
      </c>
      <c r="I156">
        <v>4056</v>
      </c>
      <c r="J156">
        <v>13893</v>
      </c>
      <c r="K156" t="s">
        <v>1635</v>
      </c>
      <c r="L156">
        <v>1014</v>
      </c>
      <c r="M156" s="7" t="s">
        <v>1636</v>
      </c>
      <c r="N156">
        <v>0</v>
      </c>
    </row>
    <row r="157" spans="1:14">
      <c r="A157">
        <v>1</v>
      </c>
      <c r="B157" t="s">
        <v>15</v>
      </c>
      <c r="C157" t="s">
        <v>818</v>
      </c>
      <c r="D157" t="s">
        <v>819</v>
      </c>
      <c r="E157" s="8">
        <v>45947</v>
      </c>
      <c r="F157">
        <v>4</v>
      </c>
      <c r="G157">
        <v>1189</v>
      </c>
      <c r="H157">
        <v>21735</v>
      </c>
      <c r="I157">
        <v>4002</v>
      </c>
      <c r="J157">
        <v>17733</v>
      </c>
      <c r="K157" t="s">
        <v>1635</v>
      </c>
      <c r="L157">
        <v>1189</v>
      </c>
      <c r="M157" s="7" t="s">
        <v>1636</v>
      </c>
      <c r="N157">
        <v>0</v>
      </c>
    </row>
    <row r="158" spans="1:14">
      <c r="A158">
        <v>1</v>
      </c>
      <c r="B158" t="s">
        <v>15</v>
      </c>
      <c r="C158" t="s">
        <v>38</v>
      </c>
      <c r="D158" t="s">
        <v>39</v>
      </c>
      <c r="E158" s="8">
        <v>45947</v>
      </c>
      <c r="F158">
        <v>5</v>
      </c>
      <c r="G158">
        <v>1840</v>
      </c>
      <c r="H158">
        <v>55000</v>
      </c>
      <c r="I158">
        <v>9200</v>
      </c>
      <c r="J158">
        <v>45800</v>
      </c>
      <c r="K158" t="s">
        <v>1635</v>
      </c>
      <c r="L158">
        <v>1840</v>
      </c>
      <c r="M158" s="7" t="s">
        <v>1636</v>
      </c>
      <c r="N158">
        <v>0</v>
      </c>
    </row>
    <row r="159" spans="1:14">
      <c r="A159">
        <v>1</v>
      </c>
      <c r="B159" t="s">
        <v>15</v>
      </c>
      <c r="C159" t="s">
        <v>40</v>
      </c>
      <c r="D159" t="s">
        <v>41</v>
      </c>
      <c r="E159" s="8">
        <v>45954</v>
      </c>
      <c r="F159">
        <v>5</v>
      </c>
      <c r="G159">
        <v>1840</v>
      </c>
      <c r="H159">
        <v>55000</v>
      </c>
      <c r="I159">
        <v>9200</v>
      </c>
      <c r="J159">
        <v>45800</v>
      </c>
      <c r="K159" t="s">
        <v>1635</v>
      </c>
      <c r="L159">
        <v>1840</v>
      </c>
      <c r="M159" s="7" t="s">
        <v>1636</v>
      </c>
      <c r="N159">
        <v>0</v>
      </c>
    </row>
    <row r="160" spans="1:14">
      <c r="A160">
        <v>1</v>
      </c>
      <c r="B160" t="s">
        <v>15</v>
      </c>
      <c r="C160" t="s">
        <v>55</v>
      </c>
      <c r="D160" t="s">
        <v>56</v>
      </c>
      <c r="E160" s="8">
        <v>45947</v>
      </c>
      <c r="F160">
        <v>5</v>
      </c>
      <c r="G160">
        <v>3045</v>
      </c>
      <c r="H160">
        <v>90955</v>
      </c>
      <c r="I160">
        <v>12180</v>
      </c>
      <c r="J160">
        <v>78775</v>
      </c>
      <c r="K160" t="s">
        <v>1635</v>
      </c>
      <c r="L160">
        <v>3045</v>
      </c>
      <c r="M160" s="7" t="s">
        <v>1636</v>
      </c>
      <c r="N160">
        <v>0</v>
      </c>
    </row>
    <row r="161" spans="1:14">
      <c r="A161">
        <v>1</v>
      </c>
      <c r="B161" t="s">
        <v>15</v>
      </c>
      <c r="C161" t="s">
        <v>57</v>
      </c>
      <c r="D161" t="s">
        <v>58</v>
      </c>
      <c r="E161" s="8">
        <v>45954</v>
      </c>
      <c r="F161">
        <v>5</v>
      </c>
      <c r="G161">
        <v>5400</v>
      </c>
      <c r="H161">
        <v>160000</v>
      </c>
      <c r="I161">
        <v>27000</v>
      </c>
      <c r="J161">
        <v>133000</v>
      </c>
      <c r="K161" t="s">
        <v>1635</v>
      </c>
      <c r="L161">
        <v>5400</v>
      </c>
      <c r="M161" s="7" t="s">
        <v>1636</v>
      </c>
      <c r="N161">
        <v>0</v>
      </c>
    </row>
    <row r="162" spans="1:14">
      <c r="A162">
        <v>1</v>
      </c>
      <c r="B162" t="s">
        <v>15</v>
      </c>
      <c r="C162" t="s">
        <v>65</v>
      </c>
      <c r="D162" t="s">
        <v>66</v>
      </c>
      <c r="E162" s="8">
        <v>45954</v>
      </c>
      <c r="F162">
        <v>5</v>
      </c>
      <c r="G162">
        <v>3800</v>
      </c>
      <c r="H162">
        <v>106200</v>
      </c>
      <c r="I162">
        <v>15200</v>
      </c>
      <c r="J162">
        <v>91000</v>
      </c>
      <c r="K162" t="s">
        <v>1635</v>
      </c>
      <c r="L162">
        <v>3800</v>
      </c>
      <c r="M162" s="7" t="s">
        <v>1636</v>
      </c>
      <c r="N162">
        <v>0</v>
      </c>
    </row>
    <row r="163" spans="1:14">
      <c r="A163">
        <v>1</v>
      </c>
      <c r="B163" t="s">
        <v>15</v>
      </c>
      <c r="C163" t="s">
        <v>75</v>
      </c>
      <c r="D163" t="s">
        <v>76</v>
      </c>
      <c r="E163" s="8">
        <v>45947</v>
      </c>
      <c r="F163">
        <v>5</v>
      </c>
      <c r="G163">
        <v>4108</v>
      </c>
      <c r="H163">
        <v>75868</v>
      </c>
      <c r="I163">
        <v>18512</v>
      </c>
      <c r="J163">
        <v>57356</v>
      </c>
      <c r="K163" t="s">
        <v>1635</v>
      </c>
      <c r="L163">
        <v>4108</v>
      </c>
      <c r="M163" s="7" t="s">
        <v>1636</v>
      </c>
      <c r="N163">
        <v>0</v>
      </c>
    </row>
    <row r="164" spans="1:14">
      <c r="A164">
        <v>1</v>
      </c>
      <c r="B164" t="s">
        <v>15</v>
      </c>
      <c r="C164" t="s">
        <v>79</v>
      </c>
      <c r="D164" t="s">
        <v>80</v>
      </c>
      <c r="E164" s="8">
        <v>45954</v>
      </c>
      <c r="F164">
        <v>5</v>
      </c>
      <c r="G164">
        <v>4134</v>
      </c>
      <c r="H164">
        <v>78000</v>
      </c>
      <c r="I164">
        <v>19426</v>
      </c>
      <c r="J164">
        <v>58574</v>
      </c>
      <c r="K164" t="s">
        <v>1635</v>
      </c>
      <c r="L164">
        <v>4134</v>
      </c>
      <c r="M164" s="7" t="s">
        <v>1636</v>
      </c>
      <c r="N164">
        <v>0</v>
      </c>
    </row>
    <row r="165" spans="1:14">
      <c r="A165">
        <v>1</v>
      </c>
      <c r="B165" t="s">
        <v>15</v>
      </c>
      <c r="C165" t="s">
        <v>85</v>
      </c>
      <c r="D165" t="s">
        <v>86</v>
      </c>
      <c r="E165" s="8">
        <v>45954</v>
      </c>
      <c r="F165">
        <v>5</v>
      </c>
      <c r="G165">
        <v>2970</v>
      </c>
      <c r="H165">
        <v>88849</v>
      </c>
      <c r="I165">
        <v>14850</v>
      </c>
      <c r="J165">
        <v>73999</v>
      </c>
      <c r="K165" t="s">
        <v>1635</v>
      </c>
      <c r="L165">
        <v>2970</v>
      </c>
      <c r="M165" s="7" t="s">
        <v>1636</v>
      </c>
      <c r="N165">
        <v>0</v>
      </c>
    </row>
    <row r="166" spans="1:14">
      <c r="A166">
        <v>1</v>
      </c>
      <c r="B166" t="s">
        <v>15</v>
      </c>
      <c r="C166" t="s">
        <v>91</v>
      </c>
      <c r="D166" t="s">
        <v>92</v>
      </c>
      <c r="E166" s="8">
        <v>45954</v>
      </c>
      <c r="F166">
        <v>5</v>
      </c>
      <c r="G166">
        <v>2475</v>
      </c>
      <c r="H166">
        <v>73000</v>
      </c>
      <c r="I166">
        <v>12375</v>
      </c>
      <c r="J166">
        <v>60625</v>
      </c>
      <c r="K166" t="s">
        <v>1635</v>
      </c>
      <c r="L166">
        <v>2475</v>
      </c>
      <c r="M166" s="7" t="s">
        <v>1636</v>
      </c>
      <c r="N166">
        <v>0</v>
      </c>
    </row>
    <row r="167" spans="1:14">
      <c r="A167">
        <v>1</v>
      </c>
      <c r="B167" t="s">
        <v>15</v>
      </c>
      <c r="C167" t="s">
        <v>93</v>
      </c>
      <c r="D167" t="s">
        <v>94</v>
      </c>
      <c r="E167" s="8">
        <v>45954</v>
      </c>
      <c r="F167">
        <v>5</v>
      </c>
      <c r="G167">
        <v>2700</v>
      </c>
      <c r="H167">
        <v>80000</v>
      </c>
      <c r="I167">
        <v>13500</v>
      </c>
      <c r="J167">
        <v>66500</v>
      </c>
      <c r="K167" t="s">
        <v>1635</v>
      </c>
      <c r="L167">
        <v>2700</v>
      </c>
      <c r="M167" s="7" t="s">
        <v>1636</v>
      </c>
      <c r="N167">
        <v>0</v>
      </c>
    </row>
    <row r="168" spans="1:14">
      <c r="A168">
        <v>1</v>
      </c>
      <c r="B168" t="s">
        <v>15</v>
      </c>
      <c r="C168" t="s">
        <v>100</v>
      </c>
      <c r="D168" t="s">
        <v>101</v>
      </c>
      <c r="E168" s="8">
        <v>45954</v>
      </c>
      <c r="F168">
        <v>5</v>
      </c>
      <c r="G168">
        <v>3116</v>
      </c>
      <c r="H168">
        <v>92555</v>
      </c>
      <c r="I168">
        <v>15300.67</v>
      </c>
      <c r="J168">
        <v>77254.33</v>
      </c>
      <c r="K168" t="s">
        <v>1635</v>
      </c>
      <c r="L168">
        <v>3116</v>
      </c>
      <c r="M168" s="7" t="s">
        <v>1636</v>
      </c>
      <c r="N168">
        <v>0</v>
      </c>
    </row>
    <row r="169" spans="1:14">
      <c r="A169">
        <v>1</v>
      </c>
      <c r="B169" t="s">
        <v>15</v>
      </c>
      <c r="C169" t="s">
        <v>113</v>
      </c>
      <c r="D169" t="s">
        <v>114</v>
      </c>
      <c r="E169" s="8">
        <v>45954</v>
      </c>
      <c r="F169">
        <v>5</v>
      </c>
      <c r="G169">
        <v>5280</v>
      </c>
      <c r="H169">
        <v>160091</v>
      </c>
      <c r="I169">
        <v>25920</v>
      </c>
      <c r="J169">
        <v>134171</v>
      </c>
      <c r="K169" t="s">
        <v>1635</v>
      </c>
      <c r="L169">
        <v>5280</v>
      </c>
      <c r="M169" s="7" t="s">
        <v>1636</v>
      </c>
      <c r="N169">
        <v>0</v>
      </c>
    </row>
    <row r="170" spans="1:14">
      <c r="A170">
        <v>1</v>
      </c>
      <c r="B170" t="s">
        <v>15</v>
      </c>
      <c r="C170" t="s">
        <v>119</v>
      </c>
      <c r="D170" t="s">
        <v>120</v>
      </c>
      <c r="E170" s="8">
        <v>45954</v>
      </c>
      <c r="F170">
        <v>5</v>
      </c>
      <c r="G170">
        <v>3280</v>
      </c>
      <c r="H170">
        <v>95000</v>
      </c>
      <c r="I170">
        <v>16400</v>
      </c>
      <c r="J170">
        <v>78600</v>
      </c>
      <c r="K170" t="s">
        <v>1635</v>
      </c>
      <c r="L170">
        <v>3280</v>
      </c>
      <c r="M170" s="7" t="s">
        <v>1636</v>
      </c>
      <c r="N170">
        <v>0</v>
      </c>
    </row>
    <row r="171" spans="1:14">
      <c r="A171">
        <v>1</v>
      </c>
      <c r="B171" t="s">
        <v>15</v>
      </c>
      <c r="C171" t="s">
        <v>121</v>
      </c>
      <c r="D171" t="s">
        <v>122</v>
      </c>
      <c r="E171" s="8">
        <v>45954</v>
      </c>
      <c r="F171">
        <v>5</v>
      </c>
      <c r="G171">
        <v>3995</v>
      </c>
      <c r="H171">
        <v>73818</v>
      </c>
      <c r="I171">
        <v>19096.669999999998</v>
      </c>
      <c r="J171">
        <v>54721.33</v>
      </c>
      <c r="K171" t="s">
        <v>1635</v>
      </c>
      <c r="L171">
        <v>3995</v>
      </c>
      <c r="M171" s="7" t="s">
        <v>1636</v>
      </c>
      <c r="N171">
        <v>0</v>
      </c>
    </row>
    <row r="172" spans="1:14">
      <c r="A172">
        <v>1</v>
      </c>
      <c r="B172" t="s">
        <v>15</v>
      </c>
      <c r="C172" t="s">
        <v>129</v>
      </c>
      <c r="D172" t="s">
        <v>130</v>
      </c>
      <c r="E172" s="8">
        <v>45947</v>
      </c>
      <c r="F172">
        <v>5</v>
      </c>
      <c r="G172">
        <v>3080</v>
      </c>
      <c r="H172">
        <v>94515</v>
      </c>
      <c r="I172">
        <v>15204</v>
      </c>
      <c r="J172">
        <v>79311</v>
      </c>
      <c r="K172" t="s">
        <v>1635</v>
      </c>
      <c r="L172">
        <v>3080</v>
      </c>
      <c r="M172" s="7" t="s">
        <v>1636</v>
      </c>
      <c r="N172">
        <v>0</v>
      </c>
    </row>
    <row r="173" spans="1:14">
      <c r="A173">
        <v>1</v>
      </c>
      <c r="B173" t="s">
        <v>15</v>
      </c>
      <c r="C173" t="s">
        <v>131</v>
      </c>
      <c r="D173" t="s">
        <v>132</v>
      </c>
      <c r="E173" s="8">
        <v>45947</v>
      </c>
      <c r="F173">
        <v>5</v>
      </c>
      <c r="G173">
        <v>3250</v>
      </c>
      <c r="H173">
        <v>98883</v>
      </c>
      <c r="I173">
        <v>15600</v>
      </c>
      <c r="J173">
        <v>83283</v>
      </c>
      <c r="K173" t="s">
        <v>1635</v>
      </c>
      <c r="L173">
        <v>3250</v>
      </c>
      <c r="M173" s="7" t="s">
        <v>1636</v>
      </c>
      <c r="N173">
        <v>0</v>
      </c>
    </row>
    <row r="174" spans="1:14">
      <c r="A174">
        <v>1</v>
      </c>
      <c r="B174" t="s">
        <v>15</v>
      </c>
      <c r="C174" t="s">
        <v>135</v>
      </c>
      <c r="D174" t="s">
        <v>136</v>
      </c>
      <c r="E174" s="8">
        <v>45954</v>
      </c>
      <c r="F174">
        <v>5</v>
      </c>
      <c r="G174">
        <v>5244</v>
      </c>
      <c r="H174">
        <v>98888</v>
      </c>
      <c r="I174">
        <v>23662.67</v>
      </c>
      <c r="J174">
        <v>75225.33</v>
      </c>
      <c r="K174" t="s">
        <v>1635</v>
      </c>
      <c r="L174">
        <v>5244</v>
      </c>
      <c r="M174" s="7" t="s">
        <v>1636</v>
      </c>
      <c r="N174">
        <v>0</v>
      </c>
    </row>
    <row r="175" spans="1:14">
      <c r="A175">
        <v>1</v>
      </c>
      <c r="B175" t="s">
        <v>15</v>
      </c>
      <c r="C175" t="s">
        <v>147</v>
      </c>
      <c r="D175" t="s">
        <v>148</v>
      </c>
      <c r="E175" s="8">
        <v>45954</v>
      </c>
      <c r="F175">
        <v>5</v>
      </c>
      <c r="G175">
        <v>2752</v>
      </c>
      <c r="H175">
        <v>81225</v>
      </c>
      <c r="I175">
        <v>13618</v>
      </c>
      <c r="J175">
        <v>67607</v>
      </c>
      <c r="K175" t="s">
        <v>1635</v>
      </c>
      <c r="L175">
        <v>2752</v>
      </c>
      <c r="M175" s="7" t="s">
        <v>1636</v>
      </c>
      <c r="N175">
        <v>0</v>
      </c>
    </row>
    <row r="176" spans="1:14">
      <c r="A176">
        <v>1</v>
      </c>
      <c r="B176" t="s">
        <v>15</v>
      </c>
      <c r="C176" t="s">
        <v>161</v>
      </c>
      <c r="D176" t="s">
        <v>162</v>
      </c>
      <c r="E176" s="8">
        <v>45954</v>
      </c>
      <c r="F176">
        <v>5</v>
      </c>
      <c r="G176">
        <v>2862</v>
      </c>
      <c r="H176">
        <v>86000</v>
      </c>
      <c r="I176">
        <v>13568</v>
      </c>
      <c r="J176">
        <v>72432</v>
      </c>
      <c r="K176" t="s">
        <v>1635</v>
      </c>
      <c r="L176">
        <v>2862</v>
      </c>
      <c r="M176" s="7" t="s">
        <v>1636</v>
      </c>
      <c r="N176">
        <v>0</v>
      </c>
    </row>
    <row r="177" spans="1:14">
      <c r="A177">
        <v>1</v>
      </c>
      <c r="B177" t="s">
        <v>15</v>
      </c>
      <c r="C177" t="s">
        <v>177</v>
      </c>
      <c r="D177" t="s">
        <v>178</v>
      </c>
      <c r="E177" s="8">
        <v>45947</v>
      </c>
      <c r="F177">
        <v>5</v>
      </c>
      <c r="G177">
        <v>3055</v>
      </c>
      <c r="H177">
        <v>73660</v>
      </c>
      <c r="I177">
        <v>14820</v>
      </c>
      <c r="J177">
        <v>58840</v>
      </c>
      <c r="K177" t="s">
        <v>1635</v>
      </c>
      <c r="L177">
        <v>3055</v>
      </c>
      <c r="M177" s="7" t="s">
        <v>1636</v>
      </c>
      <c r="N177">
        <v>0</v>
      </c>
    </row>
    <row r="178" spans="1:14">
      <c r="A178">
        <v>1</v>
      </c>
      <c r="B178" t="s">
        <v>15</v>
      </c>
      <c r="C178" t="s">
        <v>211</v>
      </c>
      <c r="D178" t="s">
        <v>212</v>
      </c>
      <c r="E178" s="8">
        <v>45954</v>
      </c>
      <c r="F178">
        <v>5</v>
      </c>
      <c r="G178">
        <v>2000</v>
      </c>
      <c r="H178">
        <v>55200</v>
      </c>
      <c r="I178">
        <v>9533.33</v>
      </c>
      <c r="J178">
        <v>45666.67</v>
      </c>
      <c r="K178" t="s">
        <v>1635</v>
      </c>
      <c r="L178">
        <v>2000</v>
      </c>
      <c r="M178" s="7" t="s">
        <v>1636</v>
      </c>
      <c r="N178">
        <v>0</v>
      </c>
    </row>
    <row r="179" spans="1:14">
      <c r="A179">
        <v>1</v>
      </c>
      <c r="B179" t="s">
        <v>15</v>
      </c>
      <c r="C179" t="s">
        <v>328</v>
      </c>
      <c r="D179" t="s">
        <v>329</v>
      </c>
      <c r="E179" s="8">
        <v>45947</v>
      </c>
      <c r="F179">
        <v>5</v>
      </c>
      <c r="G179">
        <v>3780</v>
      </c>
      <c r="H179">
        <v>114888</v>
      </c>
      <c r="I179">
        <v>17330</v>
      </c>
      <c r="J179">
        <v>97558</v>
      </c>
      <c r="K179" t="s">
        <v>1635</v>
      </c>
      <c r="L179">
        <v>3780</v>
      </c>
      <c r="M179" s="7" t="s">
        <v>1636</v>
      </c>
      <c r="N179">
        <v>0</v>
      </c>
    </row>
    <row r="180" spans="1:14">
      <c r="A180">
        <v>1</v>
      </c>
      <c r="B180" t="s">
        <v>15</v>
      </c>
      <c r="C180" t="s">
        <v>352</v>
      </c>
      <c r="D180" t="s">
        <v>353</v>
      </c>
      <c r="E180" s="8">
        <v>45954</v>
      </c>
      <c r="F180">
        <v>5</v>
      </c>
      <c r="G180">
        <v>3250</v>
      </c>
      <c r="H180">
        <v>97686</v>
      </c>
      <c r="I180">
        <v>15000</v>
      </c>
      <c r="J180">
        <v>82686</v>
      </c>
      <c r="K180" t="s">
        <v>1635</v>
      </c>
      <c r="L180">
        <v>3250</v>
      </c>
      <c r="M180" s="7" t="s">
        <v>1636</v>
      </c>
      <c r="N180">
        <v>0</v>
      </c>
    </row>
    <row r="181" spans="1:14">
      <c r="A181">
        <v>1</v>
      </c>
      <c r="B181" t="s">
        <v>15</v>
      </c>
      <c r="C181" t="s">
        <v>356</v>
      </c>
      <c r="D181" t="s">
        <v>357</v>
      </c>
      <c r="E181" s="8">
        <v>45947</v>
      </c>
      <c r="F181">
        <v>5</v>
      </c>
      <c r="G181">
        <v>4176</v>
      </c>
      <c r="H181">
        <v>126800</v>
      </c>
      <c r="I181">
        <v>18524</v>
      </c>
      <c r="J181">
        <v>108276</v>
      </c>
      <c r="K181" t="s">
        <v>1635</v>
      </c>
      <c r="L181">
        <v>4176</v>
      </c>
      <c r="M181" s="7" t="s">
        <v>1636</v>
      </c>
      <c r="N181">
        <v>0</v>
      </c>
    </row>
    <row r="182" spans="1:14">
      <c r="A182">
        <v>1</v>
      </c>
      <c r="B182" t="s">
        <v>15</v>
      </c>
      <c r="C182" t="s">
        <v>358</v>
      </c>
      <c r="D182" t="s">
        <v>359</v>
      </c>
      <c r="E182" s="8">
        <v>45954</v>
      </c>
      <c r="F182">
        <v>5</v>
      </c>
      <c r="G182">
        <v>3360</v>
      </c>
      <c r="H182">
        <v>121800</v>
      </c>
      <c r="I182">
        <v>15040</v>
      </c>
      <c r="J182">
        <v>106760</v>
      </c>
      <c r="K182" t="s">
        <v>1635</v>
      </c>
      <c r="L182">
        <v>3360</v>
      </c>
      <c r="M182" s="7" t="s">
        <v>1636</v>
      </c>
      <c r="N182">
        <v>0</v>
      </c>
    </row>
    <row r="183" spans="1:14">
      <c r="A183">
        <v>1</v>
      </c>
      <c r="B183" t="s">
        <v>15</v>
      </c>
      <c r="C183" t="s">
        <v>360</v>
      </c>
      <c r="D183" t="s">
        <v>361</v>
      </c>
      <c r="E183" s="8">
        <v>45947</v>
      </c>
      <c r="F183">
        <v>5</v>
      </c>
      <c r="G183">
        <v>2696.1</v>
      </c>
      <c r="H183">
        <v>80000</v>
      </c>
      <c r="I183">
        <v>13480.5</v>
      </c>
      <c r="J183">
        <v>66519.5</v>
      </c>
      <c r="K183" t="s">
        <v>1635</v>
      </c>
      <c r="L183">
        <v>2696.1</v>
      </c>
      <c r="M183" s="7" t="s">
        <v>1636</v>
      </c>
      <c r="N183">
        <v>0</v>
      </c>
    </row>
    <row r="184" spans="1:14">
      <c r="A184">
        <v>1</v>
      </c>
      <c r="B184" t="s">
        <v>15</v>
      </c>
      <c r="C184" t="s">
        <v>366</v>
      </c>
      <c r="D184" t="s">
        <v>367</v>
      </c>
      <c r="E184" s="8">
        <v>45954</v>
      </c>
      <c r="F184">
        <v>5</v>
      </c>
      <c r="G184">
        <v>3016</v>
      </c>
      <c r="H184">
        <v>104008</v>
      </c>
      <c r="I184">
        <v>14244</v>
      </c>
      <c r="J184">
        <v>89764</v>
      </c>
      <c r="K184" t="s">
        <v>1635</v>
      </c>
      <c r="L184">
        <v>3016</v>
      </c>
      <c r="M184" s="7" t="s">
        <v>1636</v>
      </c>
      <c r="N184">
        <v>0</v>
      </c>
    </row>
    <row r="185" spans="1:14">
      <c r="A185">
        <v>1</v>
      </c>
      <c r="B185" t="s">
        <v>15</v>
      </c>
      <c r="C185" t="s">
        <v>375</v>
      </c>
      <c r="D185" t="s">
        <v>376</v>
      </c>
      <c r="E185" s="8">
        <v>45954</v>
      </c>
      <c r="F185">
        <v>5</v>
      </c>
      <c r="G185">
        <v>2652</v>
      </c>
      <c r="H185">
        <v>77033</v>
      </c>
      <c r="I185">
        <v>13260</v>
      </c>
      <c r="J185">
        <v>63773</v>
      </c>
      <c r="K185" t="s">
        <v>1635</v>
      </c>
      <c r="L185">
        <v>2652</v>
      </c>
      <c r="M185" s="7" t="s">
        <v>1636</v>
      </c>
      <c r="N185">
        <v>0</v>
      </c>
    </row>
    <row r="186" spans="1:14">
      <c r="A186">
        <v>1</v>
      </c>
      <c r="B186" t="s">
        <v>15</v>
      </c>
      <c r="C186" t="s">
        <v>377</v>
      </c>
      <c r="D186" t="s">
        <v>378</v>
      </c>
      <c r="E186" s="8">
        <v>45947</v>
      </c>
      <c r="F186">
        <v>5</v>
      </c>
      <c r="G186">
        <v>2200</v>
      </c>
      <c r="H186">
        <v>66000</v>
      </c>
      <c r="I186">
        <v>10400</v>
      </c>
      <c r="J186">
        <v>55600</v>
      </c>
      <c r="K186" t="s">
        <v>1635</v>
      </c>
      <c r="L186">
        <v>2200</v>
      </c>
      <c r="M186" s="7" t="s">
        <v>1636</v>
      </c>
      <c r="N186">
        <v>0</v>
      </c>
    </row>
    <row r="187" spans="1:14">
      <c r="A187">
        <v>1</v>
      </c>
      <c r="B187" t="s">
        <v>15</v>
      </c>
      <c r="C187" t="s">
        <v>387</v>
      </c>
      <c r="D187" t="s">
        <v>388</v>
      </c>
      <c r="E187" s="8">
        <v>45947</v>
      </c>
      <c r="F187">
        <v>5</v>
      </c>
      <c r="G187">
        <v>2584</v>
      </c>
      <c r="H187">
        <v>78213</v>
      </c>
      <c r="I187">
        <v>12920</v>
      </c>
      <c r="J187">
        <v>65293</v>
      </c>
      <c r="K187" t="s">
        <v>1635</v>
      </c>
      <c r="L187">
        <v>2584</v>
      </c>
      <c r="M187" s="7" t="s">
        <v>1636</v>
      </c>
      <c r="N187">
        <v>0</v>
      </c>
    </row>
    <row r="188" spans="1:14">
      <c r="A188">
        <v>1</v>
      </c>
      <c r="B188" t="s">
        <v>15</v>
      </c>
      <c r="C188" t="s">
        <v>391</v>
      </c>
      <c r="D188" t="s">
        <v>392</v>
      </c>
      <c r="E188" s="8">
        <v>45954</v>
      </c>
      <c r="F188">
        <v>5</v>
      </c>
      <c r="G188">
        <v>4242.12</v>
      </c>
      <c r="H188">
        <v>124469</v>
      </c>
      <c r="I188">
        <v>19981.0799999999</v>
      </c>
      <c r="J188">
        <v>104487.92</v>
      </c>
      <c r="K188" t="s">
        <v>1635</v>
      </c>
      <c r="L188">
        <v>4242.12</v>
      </c>
      <c r="M188" s="7" t="s">
        <v>1636</v>
      </c>
      <c r="N188">
        <v>0</v>
      </c>
    </row>
    <row r="189" spans="1:14">
      <c r="A189">
        <v>1</v>
      </c>
      <c r="B189" t="s">
        <v>15</v>
      </c>
      <c r="C189" t="s">
        <v>403</v>
      </c>
      <c r="D189" t="s">
        <v>404</v>
      </c>
      <c r="E189" s="8">
        <v>45947</v>
      </c>
      <c r="F189">
        <v>5</v>
      </c>
      <c r="G189">
        <v>2990</v>
      </c>
      <c r="H189">
        <v>107000</v>
      </c>
      <c r="I189">
        <v>14560</v>
      </c>
      <c r="J189">
        <v>92440</v>
      </c>
      <c r="K189" t="s">
        <v>1635</v>
      </c>
      <c r="L189">
        <v>2990</v>
      </c>
      <c r="M189" s="7" t="s">
        <v>1636</v>
      </c>
      <c r="N189">
        <v>0</v>
      </c>
    </row>
    <row r="190" spans="1:14">
      <c r="A190">
        <v>1</v>
      </c>
      <c r="B190" t="s">
        <v>15</v>
      </c>
      <c r="C190" t="s">
        <v>409</v>
      </c>
      <c r="D190" t="s">
        <v>410</v>
      </c>
      <c r="E190" s="8">
        <v>45954</v>
      </c>
      <c r="F190">
        <v>5</v>
      </c>
      <c r="G190">
        <v>2898</v>
      </c>
      <c r="H190">
        <v>88101</v>
      </c>
      <c r="I190">
        <v>11592</v>
      </c>
      <c r="J190">
        <v>76509</v>
      </c>
      <c r="K190" t="s">
        <v>1635</v>
      </c>
      <c r="L190">
        <v>2898</v>
      </c>
      <c r="M190" s="7" t="s">
        <v>1636</v>
      </c>
      <c r="N190">
        <v>0</v>
      </c>
    </row>
    <row r="191" spans="1:14">
      <c r="A191">
        <v>1</v>
      </c>
      <c r="B191" t="s">
        <v>15</v>
      </c>
      <c r="C191" t="s">
        <v>413</v>
      </c>
      <c r="D191" t="s">
        <v>414</v>
      </c>
      <c r="E191" s="8">
        <v>45947</v>
      </c>
      <c r="F191">
        <v>5</v>
      </c>
      <c r="G191">
        <v>1734</v>
      </c>
      <c r="H191">
        <v>50000</v>
      </c>
      <c r="I191">
        <v>8670</v>
      </c>
      <c r="J191">
        <v>41330</v>
      </c>
      <c r="K191" t="s">
        <v>1635</v>
      </c>
      <c r="L191">
        <v>1734</v>
      </c>
      <c r="M191" s="7" t="s">
        <v>1636</v>
      </c>
      <c r="N191">
        <v>0</v>
      </c>
    </row>
    <row r="192" spans="1:14">
      <c r="A192">
        <v>1</v>
      </c>
      <c r="B192" t="s">
        <v>15</v>
      </c>
      <c r="C192" t="s">
        <v>419</v>
      </c>
      <c r="D192" t="s">
        <v>420</v>
      </c>
      <c r="E192" s="8">
        <v>45954</v>
      </c>
      <c r="F192">
        <v>5</v>
      </c>
      <c r="G192">
        <v>476</v>
      </c>
      <c r="H192">
        <v>8410</v>
      </c>
      <c r="I192">
        <v>2380</v>
      </c>
      <c r="J192">
        <v>6030</v>
      </c>
      <c r="K192" t="s">
        <v>1635</v>
      </c>
      <c r="L192">
        <v>476</v>
      </c>
      <c r="M192" s="7" t="s">
        <v>1636</v>
      </c>
      <c r="N192">
        <v>0</v>
      </c>
    </row>
    <row r="193" spans="1:14">
      <c r="A193">
        <v>1</v>
      </c>
      <c r="B193" t="s">
        <v>15</v>
      </c>
      <c r="C193" t="s">
        <v>423</v>
      </c>
      <c r="D193" t="s">
        <v>424</v>
      </c>
      <c r="E193" s="8">
        <v>45954</v>
      </c>
      <c r="F193">
        <v>5</v>
      </c>
      <c r="G193">
        <v>2160</v>
      </c>
      <c r="H193">
        <v>75570</v>
      </c>
      <c r="I193">
        <v>10635</v>
      </c>
      <c r="J193">
        <v>64935</v>
      </c>
      <c r="K193" t="s">
        <v>1635</v>
      </c>
      <c r="L193">
        <v>2160</v>
      </c>
      <c r="M193" s="7" t="s">
        <v>1636</v>
      </c>
      <c r="N193">
        <v>0</v>
      </c>
    </row>
    <row r="194" spans="1:14">
      <c r="A194">
        <v>1</v>
      </c>
      <c r="B194" t="s">
        <v>15</v>
      </c>
      <c r="C194" t="s">
        <v>439</v>
      </c>
      <c r="D194" t="s">
        <v>440</v>
      </c>
      <c r="E194" s="8">
        <v>45954</v>
      </c>
      <c r="F194">
        <v>5</v>
      </c>
      <c r="G194">
        <v>1083</v>
      </c>
      <c r="H194">
        <v>20000</v>
      </c>
      <c r="I194">
        <v>5415</v>
      </c>
      <c r="J194">
        <v>14585</v>
      </c>
      <c r="K194" t="s">
        <v>1635</v>
      </c>
      <c r="L194">
        <v>1083</v>
      </c>
      <c r="M194" s="7" t="s">
        <v>1636</v>
      </c>
      <c r="N194">
        <v>0</v>
      </c>
    </row>
    <row r="195" spans="1:14">
      <c r="A195">
        <v>1</v>
      </c>
      <c r="B195" t="s">
        <v>15</v>
      </c>
      <c r="C195" t="s">
        <v>445</v>
      </c>
      <c r="D195" t="s">
        <v>446</v>
      </c>
      <c r="E195" s="8">
        <v>45954</v>
      </c>
      <c r="F195">
        <v>5</v>
      </c>
      <c r="G195">
        <v>2520</v>
      </c>
      <c r="H195">
        <v>76666</v>
      </c>
      <c r="I195">
        <v>11760</v>
      </c>
      <c r="J195">
        <v>64906</v>
      </c>
      <c r="K195" t="s">
        <v>1635</v>
      </c>
      <c r="L195">
        <v>2520</v>
      </c>
      <c r="M195" s="7" t="s">
        <v>1636</v>
      </c>
      <c r="N195">
        <v>0</v>
      </c>
    </row>
    <row r="196" spans="1:14">
      <c r="A196">
        <v>1</v>
      </c>
      <c r="B196" t="s">
        <v>15</v>
      </c>
      <c r="C196" t="s">
        <v>447</v>
      </c>
      <c r="D196" t="s">
        <v>448</v>
      </c>
      <c r="E196" s="8">
        <v>45954</v>
      </c>
      <c r="F196">
        <v>5</v>
      </c>
      <c r="G196">
        <v>2385</v>
      </c>
      <c r="H196">
        <v>71000</v>
      </c>
      <c r="I196">
        <v>11710</v>
      </c>
      <c r="J196">
        <v>59290</v>
      </c>
      <c r="K196" t="s">
        <v>1635</v>
      </c>
      <c r="L196">
        <v>2385</v>
      </c>
      <c r="M196" s="7" t="s">
        <v>1636</v>
      </c>
      <c r="N196">
        <v>0</v>
      </c>
    </row>
    <row r="197" spans="1:14">
      <c r="A197">
        <v>1</v>
      </c>
      <c r="B197" t="s">
        <v>15</v>
      </c>
      <c r="C197" t="s">
        <v>457</v>
      </c>
      <c r="D197" t="s">
        <v>458</v>
      </c>
      <c r="E197" s="8">
        <v>45947</v>
      </c>
      <c r="F197">
        <v>5</v>
      </c>
      <c r="G197">
        <v>1763</v>
      </c>
      <c r="H197">
        <v>66238</v>
      </c>
      <c r="I197">
        <v>8592</v>
      </c>
      <c r="J197">
        <v>57646</v>
      </c>
      <c r="K197" t="s">
        <v>1635</v>
      </c>
      <c r="L197">
        <v>1763</v>
      </c>
      <c r="M197" s="7" t="s">
        <v>1636</v>
      </c>
      <c r="N197">
        <v>0</v>
      </c>
    </row>
    <row r="198" spans="1:14">
      <c r="A198">
        <v>1</v>
      </c>
      <c r="B198" t="s">
        <v>15</v>
      </c>
      <c r="C198" t="s">
        <v>463</v>
      </c>
      <c r="D198" t="s">
        <v>464</v>
      </c>
      <c r="E198" s="8">
        <v>45954</v>
      </c>
      <c r="F198">
        <v>5</v>
      </c>
      <c r="G198">
        <v>3692</v>
      </c>
      <c r="H198">
        <v>112197</v>
      </c>
      <c r="I198">
        <v>16848</v>
      </c>
      <c r="J198">
        <v>95349</v>
      </c>
      <c r="K198" t="s">
        <v>1635</v>
      </c>
      <c r="L198">
        <v>3692</v>
      </c>
      <c r="M198" s="7" t="s">
        <v>1636</v>
      </c>
      <c r="N198">
        <v>0</v>
      </c>
    </row>
    <row r="199" spans="1:14">
      <c r="A199">
        <v>1</v>
      </c>
      <c r="B199" t="s">
        <v>15</v>
      </c>
      <c r="C199" t="s">
        <v>471</v>
      </c>
      <c r="D199" t="s">
        <v>472</v>
      </c>
      <c r="E199" s="8">
        <v>45954</v>
      </c>
      <c r="F199">
        <v>5</v>
      </c>
      <c r="G199">
        <v>3870</v>
      </c>
      <c r="H199">
        <v>118000</v>
      </c>
      <c r="I199">
        <v>17280</v>
      </c>
      <c r="J199">
        <v>100720</v>
      </c>
      <c r="K199" t="s">
        <v>1635</v>
      </c>
      <c r="L199">
        <v>3870</v>
      </c>
      <c r="M199" s="7" t="s">
        <v>1636</v>
      </c>
      <c r="N199">
        <v>0</v>
      </c>
    </row>
    <row r="200" spans="1:14">
      <c r="A200">
        <v>1</v>
      </c>
      <c r="B200" t="s">
        <v>15</v>
      </c>
      <c r="C200" t="s">
        <v>473</v>
      </c>
      <c r="D200" t="s">
        <v>474</v>
      </c>
      <c r="E200" s="8">
        <v>45947</v>
      </c>
      <c r="F200">
        <v>5</v>
      </c>
      <c r="G200">
        <v>1311</v>
      </c>
      <c r="H200">
        <v>23863</v>
      </c>
      <c r="I200">
        <v>6555</v>
      </c>
      <c r="J200">
        <v>17308</v>
      </c>
      <c r="K200" t="s">
        <v>1635</v>
      </c>
      <c r="L200">
        <v>1311</v>
      </c>
      <c r="M200" s="7" t="s">
        <v>1636</v>
      </c>
      <c r="N200">
        <v>0</v>
      </c>
    </row>
    <row r="201" spans="1:14">
      <c r="A201">
        <v>1</v>
      </c>
      <c r="B201" t="s">
        <v>15</v>
      </c>
      <c r="C201" t="s">
        <v>475</v>
      </c>
      <c r="D201" t="s">
        <v>476</v>
      </c>
      <c r="E201" s="8">
        <v>45947</v>
      </c>
      <c r="F201">
        <v>5</v>
      </c>
      <c r="G201">
        <v>348</v>
      </c>
      <c r="H201">
        <v>29297</v>
      </c>
      <c r="I201">
        <v>6612</v>
      </c>
      <c r="J201">
        <v>22685</v>
      </c>
      <c r="K201" t="s">
        <v>1635</v>
      </c>
      <c r="L201">
        <v>348</v>
      </c>
      <c r="M201" s="7" t="s">
        <v>1636</v>
      </c>
      <c r="N201">
        <v>0</v>
      </c>
    </row>
    <row r="202" spans="1:14">
      <c r="A202">
        <v>1</v>
      </c>
      <c r="B202" t="s">
        <v>15</v>
      </c>
      <c r="C202" t="s">
        <v>525</v>
      </c>
      <c r="D202" t="s">
        <v>526</v>
      </c>
      <c r="E202" s="8">
        <v>45954</v>
      </c>
      <c r="F202">
        <v>5</v>
      </c>
      <c r="G202">
        <v>1540</v>
      </c>
      <c r="H202">
        <v>27578</v>
      </c>
      <c r="I202">
        <v>7700</v>
      </c>
      <c r="J202">
        <v>19878</v>
      </c>
      <c r="K202" t="s">
        <v>1635</v>
      </c>
      <c r="L202">
        <v>1540</v>
      </c>
      <c r="M202" s="7" t="s">
        <v>1636</v>
      </c>
      <c r="N202">
        <v>0</v>
      </c>
    </row>
    <row r="203" spans="1:14">
      <c r="A203">
        <v>1</v>
      </c>
      <c r="B203" t="s">
        <v>15</v>
      </c>
      <c r="C203" t="s">
        <v>533</v>
      </c>
      <c r="D203" t="s">
        <v>534</v>
      </c>
      <c r="E203" s="8">
        <v>45947</v>
      </c>
      <c r="F203">
        <v>5</v>
      </c>
      <c r="G203">
        <v>1250</v>
      </c>
      <c r="H203">
        <v>22478</v>
      </c>
      <c r="I203">
        <v>6250</v>
      </c>
      <c r="J203">
        <v>16228</v>
      </c>
      <c r="K203" t="s">
        <v>1635</v>
      </c>
      <c r="L203">
        <v>1250</v>
      </c>
      <c r="M203" s="7" t="s">
        <v>1636</v>
      </c>
      <c r="N203">
        <v>0</v>
      </c>
    </row>
    <row r="204" spans="1:14">
      <c r="A204">
        <v>1</v>
      </c>
      <c r="B204" t="s">
        <v>15</v>
      </c>
      <c r="C204" t="s">
        <v>626</v>
      </c>
      <c r="D204" t="s">
        <v>627</v>
      </c>
      <c r="E204" s="8">
        <v>45954</v>
      </c>
      <c r="F204">
        <v>5</v>
      </c>
      <c r="G204">
        <v>3262.5</v>
      </c>
      <c r="H204">
        <v>105000</v>
      </c>
      <c r="I204">
        <v>11663.5</v>
      </c>
      <c r="J204">
        <v>93336.5</v>
      </c>
      <c r="K204" t="s">
        <v>1635</v>
      </c>
      <c r="L204">
        <v>3262.5</v>
      </c>
      <c r="M204" s="7" t="s">
        <v>1636</v>
      </c>
      <c r="N204">
        <v>0</v>
      </c>
    </row>
    <row r="205" spans="1:14">
      <c r="A205">
        <v>1</v>
      </c>
      <c r="B205" t="s">
        <v>15</v>
      </c>
      <c r="C205" t="s">
        <v>647</v>
      </c>
      <c r="D205" t="s">
        <v>648</v>
      </c>
      <c r="E205" s="8">
        <v>45954</v>
      </c>
      <c r="F205">
        <v>5</v>
      </c>
      <c r="G205">
        <v>966</v>
      </c>
      <c r="H205">
        <v>17689</v>
      </c>
      <c r="I205">
        <v>4784</v>
      </c>
      <c r="J205">
        <v>12905</v>
      </c>
      <c r="K205" t="s">
        <v>1635</v>
      </c>
      <c r="L205">
        <v>966</v>
      </c>
      <c r="M205" s="7" t="s">
        <v>1636</v>
      </c>
      <c r="N205">
        <v>0</v>
      </c>
    </row>
    <row r="206" spans="1:14">
      <c r="A206">
        <v>1</v>
      </c>
      <c r="B206" t="s">
        <v>15</v>
      </c>
      <c r="C206" t="s">
        <v>682</v>
      </c>
      <c r="D206" t="s">
        <v>683</v>
      </c>
      <c r="E206" s="8">
        <v>45947</v>
      </c>
      <c r="F206">
        <v>5</v>
      </c>
      <c r="G206">
        <v>1339</v>
      </c>
      <c r="H206">
        <v>22342</v>
      </c>
      <c r="I206">
        <v>6695</v>
      </c>
      <c r="J206">
        <v>15647</v>
      </c>
      <c r="K206" t="s">
        <v>1635</v>
      </c>
      <c r="L206">
        <v>1339</v>
      </c>
      <c r="M206" s="7" t="s">
        <v>1636</v>
      </c>
      <c r="N206">
        <v>0</v>
      </c>
    </row>
    <row r="207" spans="1:14">
      <c r="A207">
        <v>1</v>
      </c>
      <c r="B207" t="s">
        <v>15</v>
      </c>
      <c r="C207" t="s">
        <v>16</v>
      </c>
      <c r="D207" t="s">
        <v>17</v>
      </c>
      <c r="E207" s="8">
        <v>45954</v>
      </c>
      <c r="F207">
        <v>6</v>
      </c>
      <c r="G207">
        <v>5830</v>
      </c>
      <c r="H207">
        <v>97419</v>
      </c>
      <c r="I207">
        <v>23320</v>
      </c>
      <c r="J207">
        <v>74099</v>
      </c>
      <c r="K207" t="s">
        <v>1635</v>
      </c>
      <c r="L207">
        <v>5830</v>
      </c>
      <c r="M207" s="7" t="s">
        <v>1636</v>
      </c>
      <c r="N207">
        <v>0</v>
      </c>
    </row>
    <row r="208" spans="1:14">
      <c r="A208">
        <v>1</v>
      </c>
      <c r="B208" t="s">
        <v>15</v>
      </c>
      <c r="C208" t="s">
        <v>96</v>
      </c>
      <c r="D208" t="s">
        <v>97</v>
      </c>
      <c r="E208" s="8">
        <v>45947</v>
      </c>
      <c r="F208">
        <v>6</v>
      </c>
      <c r="G208">
        <v>5740</v>
      </c>
      <c r="H208">
        <v>105000</v>
      </c>
      <c r="I208">
        <v>31500</v>
      </c>
      <c r="J208">
        <v>73500</v>
      </c>
      <c r="K208" t="s">
        <v>1635</v>
      </c>
      <c r="L208">
        <v>5740</v>
      </c>
      <c r="M208" s="7" t="s">
        <v>1636</v>
      </c>
      <c r="N208">
        <v>0</v>
      </c>
    </row>
    <row r="209" spans="1:14">
      <c r="A209">
        <v>1</v>
      </c>
      <c r="B209" t="s">
        <v>15</v>
      </c>
      <c r="C209" t="s">
        <v>98</v>
      </c>
      <c r="D209" t="s">
        <v>99</v>
      </c>
      <c r="E209" s="8">
        <v>45947</v>
      </c>
      <c r="F209">
        <v>6</v>
      </c>
      <c r="G209">
        <v>5214</v>
      </c>
      <c r="H209">
        <v>95275</v>
      </c>
      <c r="I209">
        <v>28710</v>
      </c>
      <c r="J209">
        <v>66565</v>
      </c>
      <c r="K209" t="s">
        <v>1635</v>
      </c>
      <c r="L209">
        <v>5214</v>
      </c>
      <c r="M209" s="7" t="s">
        <v>1636</v>
      </c>
      <c r="N209">
        <v>0</v>
      </c>
    </row>
    <row r="210" spans="1:14">
      <c r="A210">
        <v>1</v>
      </c>
      <c r="B210" t="s">
        <v>15</v>
      </c>
      <c r="C210" t="s">
        <v>133</v>
      </c>
      <c r="D210" t="s">
        <v>134</v>
      </c>
      <c r="E210" s="8">
        <v>45954</v>
      </c>
      <c r="F210">
        <v>6</v>
      </c>
      <c r="G210">
        <v>3150</v>
      </c>
      <c r="H210">
        <v>93833</v>
      </c>
      <c r="I210">
        <v>18316.669999999998</v>
      </c>
      <c r="J210">
        <v>75516.33</v>
      </c>
      <c r="K210" t="s">
        <v>1635</v>
      </c>
      <c r="L210">
        <v>3150</v>
      </c>
      <c r="M210" s="7" t="s">
        <v>1636</v>
      </c>
      <c r="N210">
        <v>0</v>
      </c>
    </row>
    <row r="211" spans="1:14">
      <c r="A211">
        <v>1</v>
      </c>
      <c r="B211" t="s">
        <v>15</v>
      </c>
      <c r="C211" t="s">
        <v>250</v>
      </c>
      <c r="D211" t="s">
        <v>251</v>
      </c>
      <c r="E211" s="8">
        <v>45954</v>
      </c>
      <c r="F211">
        <v>6</v>
      </c>
      <c r="G211">
        <v>3432</v>
      </c>
      <c r="H211">
        <v>120000</v>
      </c>
      <c r="I211">
        <v>20430</v>
      </c>
      <c r="J211">
        <v>99570</v>
      </c>
      <c r="K211" t="s">
        <v>1635</v>
      </c>
      <c r="L211">
        <v>3432</v>
      </c>
      <c r="M211" s="7" t="s">
        <v>1636</v>
      </c>
      <c r="N211">
        <v>0</v>
      </c>
    </row>
    <row r="212" spans="1:14">
      <c r="A212">
        <v>1</v>
      </c>
      <c r="B212" t="s">
        <v>15</v>
      </c>
      <c r="C212" t="s">
        <v>314</v>
      </c>
      <c r="D212" t="s">
        <v>315</v>
      </c>
      <c r="E212" s="8">
        <v>45954</v>
      </c>
      <c r="F212">
        <v>6</v>
      </c>
      <c r="G212">
        <v>3710</v>
      </c>
      <c r="H212">
        <v>106791.67</v>
      </c>
      <c r="I212">
        <v>18550</v>
      </c>
      <c r="J212">
        <v>88241.67</v>
      </c>
      <c r="K212" t="s">
        <v>1635</v>
      </c>
      <c r="L212">
        <v>3710</v>
      </c>
      <c r="M212" s="7" t="s">
        <v>1636</v>
      </c>
      <c r="N212">
        <v>0</v>
      </c>
    </row>
    <row r="213" spans="1:14">
      <c r="A213">
        <v>1</v>
      </c>
      <c r="B213" t="s">
        <v>15</v>
      </c>
      <c r="C213" t="s">
        <v>344</v>
      </c>
      <c r="D213" t="s">
        <v>345</v>
      </c>
      <c r="E213" s="8">
        <v>45954</v>
      </c>
      <c r="F213">
        <v>6</v>
      </c>
      <c r="G213">
        <v>4230</v>
      </c>
      <c r="H213">
        <v>119000</v>
      </c>
      <c r="I213">
        <v>23080</v>
      </c>
      <c r="J213">
        <v>95920</v>
      </c>
      <c r="K213" t="s">
        <v>1635</v>
      </c>
      <c r="L213">
        <v>4230</v>
      </c>
      <c r="M213" s="7" t="s">
        <v>1636</v>
      </c>
      <c r="N213">
        <v>0</v>
      </c>
    </row>
    <row r="214" spans="1:14">
      <c r="A214">
        <v>1</v>
      </c>
      <c r="B214" t="s">
        <v>15</v>
      </c>
      <c r="C214" t="s">
        <v>481</v>
      </c>
      <c r="D214" t="s">
        <v>482</v>
      </c>
      <c r="E214" s="8">
        <v>45947</v>
      </c>
      <c r="F214">
        <v>6</v>
      </c>
      <c r="G214">
        <v>4636</v>
      </c>
      <c r="H214">
        <v>141000</v>
      </c>
      <c r="I214">
        <v>25520</v>
      </c>
      <c r="J214">
        <v>115480</v>
      </c>
      <c r="K214" t="s">
        <v>1635</v>
      </c>
      <c r="L214">
        <v>4636</v>
      </c>
      <c r="M214" s="7" t="s">
        <v>1636</v>
      </c>
      <c r="N214">
        <v>0</v>
      </c>
    </row>
    <row r="215" spans="1:14">
      <c r="A215">
        <v>1</v>
      </c>
      <c r="B215" t="s">
        <v>15</v>
      </c>
      <c r="C215" t="s">
        <v>24</v>
      </c>
      <c r="D215" t="s">
        <v>25</v>
      </c>
      <c r="E215" s="8">
        <v>45947</v>
      </c>
      <c r="F215">
        <v>7</v>
      </c>
      <c r="G215">
        <v>3465</v>
      </c>
      <c r="H215">
        <v>92990</v>
      </c>
      <c r="I215">
        <v>13860</v>
      </c>
      <c r="J215">
        <v>79130</v>
      </c>
      <c r="K215" t="s">
        <v>1635</v>
      </c>
      <c r="L215">
        <v>3465</v>
      </c>
      <c r="M215" s="7" t="s">
        <v>1636</v>
      </c>
      <c r="N215">
        <v>0</v>
      </c>
    </row>
    <row r="216" spans="1:14">
      <c r="A216">
        <v>1</v>
      </c>
      <c r="B216" t="s">
        <v>15</v>
      </c>
      <c r="C216" t="s">
        <v>20</v>
      </c>
      <c r="D216" t="s">
        <v>21</v>
      </c>
      <c r="E216" s="8">
        <v>45947</v>
      </c>
      <c r="F216">
        <v>9</v>
      </c>
      <c r="G216">
        <v>6885</v>
      </c>
      <c r="H216">
        <v>94060</v>
      </c>
      <c r="I216">
        <v>27540</v>
      </c>
      <c r="J216">
        <v>66520</v>
      </c>
      <c r="K216" t="s">
        <v>1635</v>
      </c>
      <c r="L216">
        <v>6885</v>
      </c>
      <c r="M216" s="7" t="s">
        <v>1636</v>
      </c>
      <c r="N216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30D3-84DB-47AD-A3A0-F07A5D0A1898}">
  <dimension ref="A1:N167"/>
  <sheetViews>
    <sheetView topLeftCell="C1" workbookViewId="0">
      <selection activeCell="M2" sqref="M2"/>
    </sheetView>
  </sheetViews>
  <sheetFormatPr baseColWidth="10" defaultColWidth="8.83203125" defaultRowHeight="14"/>
  <cols>
    <col min="2" max="2" width="31.5" bestFit="1" customWidth="1"/>
    <col min="3" max="3" width="18.33203125" bestFit="1" customWidth="1"/>
    <col min="4" max="4" width="13.83203125" bestFit="1" customWidth="1"/>
    <col min="5" max="5" width="18.33203125" bestFit="1" customWidth="1"/>
    <col min="7" max="8" width="18.33203125" bestFit="1" customWidth="1"/>
    <col min="9" max="10" width="16.1640625" bestFit="1" customWidth="1"/>
    <col min="11" max="11" width="13.83203125" bestFit="1" customWidth="1"/>
    <col min="13" max="14" width="13.8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28</v>
      </c>
      <c r="D2" t="s">
        <v>29</v>
      </c>
      <c r="E2" s="8">
        <v>45961</v>
      </c>
      <c r="F2">
        <v>3</v>
      </c>
      <c r="G2">
        <v>4160</v>
      </c>
      <c r="H2">
        <v>74642</v>
      </c>
      <c r="I2">
        <v>12480</v>
      </c>
      <c r="J2">
        <v>62162</v>
      </c>
      <c r="K2" t="s">
        <v>1635</v>
      </c>
      <c r="L2">
        <v>4160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36</v>
      </c>
      <c r="D3" t="s">
        <v>37</v>
      </c>
      <c r="E3" s="8">
        <v>45968</v>
      </c>
      <c r="F3">
        <v>3</v>
      </c>
      <c r="G3">
        <v>3200</v>
      </c>
      <c r="H3">
        <v>93677</v>
      </c>
      <c r="I3">
        <v>9600</v>
      </c>
      <c r="J3">
        <v>84077</v>
      </c>
      <c r="K3" t="s">
        <v>1635</v>
      </c>
      <c r="L3">
        <v>3200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48</v>
      </c>
      <c r="D4" t="s">
        <v>49</v>
      </c>
      <c r="E4" s="8">
        <v>45968</v>
      </c>
      <c r="F4">
        <v>3</v>
      </c>
      <c r="G4">
        <v>4625</v>
      </c>
      <c r="H4">
        <v>166113</v>
      </c>
      <c r="I4">
        <v>13875</v>
      </c>
      <c r="J4">
        <v>152238</v>
      </c>
      <c r="K4" t="s">
        <v>1635</v>
      </c>
      <c r="L4">
        <v>4625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50</v>
      </c>
      <c r="D5" t="s">
        <v>1642</v>
      </c>
      <c r="E5" s="8">
        <v>45961</v>
      </c>
      <c r="F5">
        <v>3</v>
      </c>
      <c r="G5">
        <v>4853.33</v>
      </c>
      <c r="H5">
        <v>98000</v>
      </c>
      <c r="I5">
        <v>14559.99</v>
      </c>
      <c r="J5">
        <v>83440.009999999995</v>
      </c>
      <c r="K5" t="s">
        <v>1635</v>
      </c>
      <c r="L5">
        <v>4853.33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51</v>
      </c>
      <c r="D6" t="s">
        <v>52</v>
      </c>
      <c r="E6" s="8">
        <v>45968</v>
      </c>
      <c r="F6">
        <v>3</v>
      </c>
      <c r="G6">
        <v>5035</v>
      </c>
      <c r="H6">
        <v>149000</v>
      </c>
      <c r="I6">
        <v>15105</v>
      </c>
      <c r="J6">
        <v>133895</v>
      </c>
      <c r="K6" t="s">
        <v>1635</v>
      </c>
      <c r="L6">
        <v>5035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453</v>
      </c>
      <c r="D7" t="s">
        <v>454</v>
      </c>
      <c r="E7" s="8">
        <v>45968</v>
      </c>
      <c r="F7">
        <v>3</v>
      </c>
      <c r="G7">
        <v>1155</v>
      </c>
      <c r="H7">
        <v>20000</v>
      </c>
      <c r="I7">
        <v>3465</v>
      </c>
      <c r="J7">
        <v>16535</v>
      </c>
      <c r="K7" t="s">
        <v>1635</v>
      </c>
      <c r="L7">
        <v>1155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479</v>
      </c>
      <c r="D8" t="s">
        <v>480</v>
      </c>
      <c r="E8" s="8">
        <v>45968</v>
      </c>
      <c r="F8">
        <v>3</v>
      </c>
      <c r="G8">
        <v>1118</v>
      </c>
      <c r="H8">
        <v>19456</v>
      </c>
      <c r="I8">
        <v>3354</v>
      </c>
      <c r="J8">
        <v>16102</v>
      </c>
      <c r="K8" t="s">
        <v>1635</v>
      </c>
      <c r="L8">
        <v>1118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537</v>
      </c>
      <c r="D9" t="s">
        <v>538</v>
      </c>
      <c r="E9" s="8">
        <v>45961</v>
      </c>
      <c r="F9">
        <v>3</v>
      </c>
      <c r="G9">
        <v>3472</v>
      </c>
      <c r="H9">
        <v>106500</v>
      </c>
      <c r="I9">
        <v>9374</v>
      </c>
      <c r="J9">
        <v>97126</v>
      </c>
      <c r="K9" t="s">
        <v>1635</v>
      </c>
      <c r="L9">
        <v>3472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566</v>
      </c>
      <c r="D10" t="s">
        <v>567</v>
      </c>
      <c r="E10" s="8">
        <v>45968</v>
      </c>
      <c r="F10">
        <v>3</v>
      </c>
      <c r="G10">
        <v>3822</v>
      </c>
      <c r="H10">
        <v>110923</v>
      </c>
      <c r="I10">
        <v>11466</v>
      </c>
      <c r="J10">
        <v>99457</v>
      </c>
      <c r="K10" t="s">
        <v>1635</v>
      </c>
      <c r="L10">
        <v>3822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588</v>
      </c>
      <c r="D11" t="s">
        <v>589</v>
      </c>
      <c r="E11" s="8">
        <v>45968</v>
      </c>
      <c r="F11">
        <v>3</v>
      </c>
      <c r="G11">
        <v>6624</v>
      </c>
      <c r="H11">
        <v>192989</v>
      </c>
      <c r="I11">
        <v>19872</v>
      </c>
      <c r="J11">
        <v>173117</v>
      </c>
      <c r="K11" t="s">
        <v>1635</v>
      </c>
      <c r="L11">
        <v>6624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644</v>
      </c>
      <c r="D12" t="s">
        <v>645</v>
      </c>
      <c r="E12" s="8">
        <v>45961</v>
      </c>
      <c r="F12">
        <v>3</v>
      </c>
      <c r="G12">
        <v>864</v>
      </c>
      <c r="H12">
        <v>15000</v>
      </c>
      <c r="I12">
        <v>2592</v>
      </c>
      <c r="J12">
        <v>12408</v>
      </c>
      <c r="K12" t="s">
        <v>1635</v>
      </c>
      <c r="L12">
        <v>864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673</v>
      </c>
      <c r="D13" t="s">
        <v>674</v>
      </c>
      <c r="E13" s="8">
        <v>45968</v>
      </c>
      <c r="F13">
        <v>3</v>
      </c>
      <c r="G13">
        <v>5292</v>
      </c>
      <c r="H13">
        <v>161888</v>
      </c>
      <c r="I13">
        <v>14404</v>
      </c>
      <c r="J13">
        <v>147484</v>
      </c>
      <c r="K13" t="s">
        <v>1635</v>
      </c>
      <c r="L13">
        <v>5292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706</v>
      </c>
      <c r="D14" t="s">
        <v>1654</v>
      </c>
      <c r="E14" s="8">
        <v>45961</v>
      </c>
      <c r="F14">
        <v>3</v>
      </c>
      <c r="G14">
        <v>2784</v>
      </c>
      <c r="H14">
        <v>82721</v>
      </c>
      <c r="I14">
        <v>7488</v>
      </c>
      <c r="J14">
        <v>75233</v>
      </c>
      <c r="K14" t="s">
        <v>1635</v>
      </c>
      <c r="L14">
        <v>2784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721</v>
      </c>
      <c r="D15" t="s">
        <v>722</v>
      </c>
      <c r="E15" s="8">
        <v>45968</v>
      </c>
      <c r="F15">
        <v>3</v>
      </c>
      <c r="G15">
        <v>4263</v>
      </c>
      <c r="H15">
        <v>122888</v>
      </c>
      <c r="I15">
        <v>11641</v>
      </c>
      <c r="J15">
        <v>111247</v>
      </c>
      <c r="K15" t="s">
        <v>1635</v>
      </c>
      <c r="L15">
        <v>4263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753</v>
      </c>
      <c r="D16" t="s">
        <v>754</v>
      </c>
      <c r="E16" s="8">
        <v>45968</v>
      </c>
      <c r="F16">
        <v>3</v>
      </c>
      <c r="G16">
        <v>7150</v>
      </c>
      <c r="H16">
        <v>212390</v>
      </c>
      <c r="I16">
        <v>18700</v>
      </c>
      <c r="J16">
        <v>193690</v>
      </c>
      <c r="K16" t="s">
        <v>1635</v>
      </c>
      <c r="L16">
        <v>7150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755</v>
      </c>
      <c r="D17" t="s">
        <v>756</v>
      </c>
      <c r="E17" s="8">
        <v>45968</v>
      </c>
      <c r="F17">
        <v>3</v>
      </c>
      <c r="G17">
        <v>4346</v>
      </c>
      <c r="H17">
        <v>129820</v>
      </c>
      <c r="I17">
        <v>10862</v>
      </c>
      <c r="J17">
        <v>118958</v>
      </c>
      <c r="K17" t="s">
        <v>1635</v>
      </c>
      <c r="L17">
        <v>4346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759</v>
      </c>
      <c r="D18" t="s">
        <v>760</v>
      </c>
      <c r="E18" s="8">
        <v>45968</v>
      </c>
      <c r="F18">
        <v>3</v>
      </c>
      <c r="G18">
        <v>3075</v>
      </c>
      <c r="H18">
        <v>89698</v>
      </c>
      <c r="I18">
        <v>9225</v>
      </c>
      <c r="J18">
        <v>80473</v>
      </c>
      <c r="K18" t="s">
        <v>1635</v>
      </c>
      <c r="L18">
        <v>3075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763</v>
      </c>
      <c r="D19" t="s">
        <v>764</v>
      </c>
      <c r="E19" s="8">
        <v>45961</v>
      </c>
      <c r="F19">
        <v>3</v>
      </c>
      <c r="G19">
        <v>3402</v>
      </c>
      <c r="H19">
        <v>103000</v>
      </c>
      <c r="I19">
        <v>8964</v>
      </c>
      <c r="J19">
        <v>94036</v>
      </c>
      <c r="K19" t="s">
        <v>1635</v>
      </c>
      <c r="L19">
        <v>3402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767</v>
      </c>
      <c r="D20" t="s">
        <v>768</v>
      </c>
      <c r="E20" s="8">
        <v>45968</v>
      </c>
      <c r="F20">
        <v>3</v>
      </c>
      <c r="G20">
        <v>4576</v>
      </c>
      <c r="H20">
        <v>138000</v>
      </c>
      <c r="I20">
        <v>11232</v>
      </c>
      <c r="J20">
        <v>126768</v>
      </c>
      <c r="K20" t="s">
        <v>1635</v>
      </c>
      <c r="L20">
        <v>4576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782</v>
      </c>
      <c r="D21" t="s">
        <v>783</v>
      </c>
      <c r="E21" s="8">
        <v>45968</v>
      </c>
      <c r="F21">
        <v>3</v>
      </c>
      <c r="G21">
        <v>4400</v>
      </c>
      <c r="H21">
        <v>81000</v>
      </c>
      <c r="I21">
        <v>10800</v>
      </c>
      <c r="J21">
        <v>70200</v>
      </c>
      <c r="K21" t="s">
        <v>1635</v>
      </c>
      <c r="L21">
        <v>4400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786</v>
      </c>
      <c r="D22" t="s">
        <v>787</v>
      </c>
      <c r="E22" s="8">
        <v>45968</v>
      </c>
      <c r="F22">
        <v>3</v>
      </c>
      <c r="G22">
        <v>2790</v>
      </c>
      <c r="H22">
        <v>85000</v>
      </c>
      <c r="I22">
        <v>7380</v>
      </c>
      <c r="J22">
        <v>77620</v>
      </c>
      <c r="K22" t="s">
        <v>1635</v>
      </c>
      <c r="L22">
        <v>2790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788</v>
      </c>
      <c r="D23" t="s">
        <v>789</v>
      </c>
      <c r="E23" s="8">
        <v>45961</v>
      </c>
      <c r="F23">
        <v>3</v>
      </c>
      <c r="G23">
        <v>3010</v>
      </c>
      <c r="H23">
        <v>87928</v>
      </c>
      <c r="I23">
        <v>7790</v>
      </c>
      <c r="J23">
        <v>80138</v>
      </c>
      <c r="K23" t="s">
        <v>1635</v>
      </c>
      <c r="L23">
        <v>3010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808</v>
      </c>
      <c r="D24" t="s">
        <v>809</v>
      </c>
      <c r="E24" s="8">
        <v>45961</v>
      </c>
      <c r="F24">
        <v>3</v>
      </c>
      <c r="G24">
        <v>2772</v>
      </c>
      <c r="H24">
        <v>84000</v>
      </c>
      <c r="I24">
        <v>7224</v>
      </c>
      <c r="J24">
        <v>76776</v>
      </c>
      <c r="K24" t="s">
        <v>1635</v>
      </c>
      <c r="L24">
        <v>2772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810</v>
      </c>
      <c r="D25" t="s">
        <v>811</v>
      </c>
      <c r="E25" s="8">
        <v>45961</v>
      </c>
      <c r="F25">
        <v>3</v>
      </c>
      <c r="G25">
        <v>4503</v>
      </c>
      <c r="H25">
        <v>128888</v>
      </c>
      <c r="I25">
        <v>11386</v>
      </c>
      <c r="J25">
        <v>117502</v>
      </c>
      <c r="K25" t="s">
        <v>1635</v>
      </c>
      <c r="L25">
        <v>4503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812</v>
      </c>
      <c r="D26" t="s">
        <v>813</v>
      </c>
      <c r="E26" s="8">
        <v>45961</v>
      </c>
      <c r="F26">
        <v>3</v>
      </c>
      <c r="G26">
        <v>3960</v>
      </c>
      <c r="H26">
        <v>98000</v>
      </c>
      <c r="I26">
        <v>9680</v>
      </c>
      <c r="J26">
        <v>88320</v>
      </c>
      <c r="K26" t="s">
        <v>1635</v>
      </c>
      <c r="L26">
        <v>3960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46</v>
      </c>
      <c r="D27" t="s">
        <v>47</v>
      </c>
      <c r="E27" s="8">
        <v>45968</v>
      </c>
      <c r="F27">
        <v>4</v>
      </c>
      <c r="G27">
        <v>1334</v>
      </c>
      <c r="H27">
        <v>39593</v>
      </c>
      <c r="I27">
        <v>5336</v>
      </c>
      <c r="J27">
        <v>34257</v>
      </c>
      <c r="K27" t="s">
        <v>1635</v>
      </c>
      <c r="L27">
        <v>1334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59</v>
      </c>
      <c r="D28" t="s">
        <v>60</v>
      </c>
      <c r="E28" s="8">
        <v>45961</v>
      </c>
      <c r="F28">
        <v>4</v>
      </c>
      <c r="G28">
        <v>4897</v>
      </c>
      <c r="H28">
        <v>87339</v>
      </c>
      <c r="I28">
        <v>18631.9899999999</v>
      </c>
      <c r="J28">
        <v>68707.009999999995</v>
      </c>
      <c r="K28" t="s">
        <v>1635</v>
      </c>
      <c r="L28">
        <v>4897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115</v>
      </c>
      <c r="D29" t="s">
        <v>116</v>
      </c>
      <c r="E29" s="8">
        <v>45968</v>
      </c>
      <c r="F29">
        <v>4</v>
      </c>
      <c r="G29">
        <v>4335</v>
      </c>
      <c r="H29">
        <v>80000</v>
      </c>
      <c r="I29">
        <v>16405</v>
      </c>
      <c r="J29">
        <v>63595</v>
      </c>
      <c r="K29" t="s">
        <v>1635</v>
      </c>
      <c r="L29">
        <v>4335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163</v>
      </c>
      <c r="D30" t="s">
        <v>164</v>
      </c>
      <c r="E30" s="8">
        <v>45968</v>
      </c>
      <c r="F30">
        <v>4</v>
      </c>
      <c r="G30">
        <v>2964</v>
      </c>
      <c r="H30">
        <v>97065</v>
      </c>
      <c r="I30">
        <v>11378.67</v>
      </c>
      <c r="J30">
        <v>85686.33</v>
      </c>
      <c r="K30" t="s">
        <v>1635</v>
      </c>
      <c r="L30">
        <v>2964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165</v>
      </c>
      <c r="D31" t="s">
        <v>166</v>
      </c>
      <c r="E31" s="8">
        <v>45968</v>
      </c>
      <c r="F31">
        <v>4</v>
      </c>
      <c r="G31">
        <v>4235</v>
      </c>
      <c r="H31">
        <v>128998</v>
      </c>
      <c r="I31">
        <v>14813.33</v>
      </c>
      <c r="J31">
        <v>114184.67</v>
      </c>
      <c r="K31" t="s">
        <v>1635</v>
      </c>
      <c r="L31">
        <v>4235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189</v>
      </c>
      <c r="D32" t="s">
        <v>190</v>
      </c>
      <c r="E32" s="8">
        <v>45961</v>
      </c>
      <c r="F32">
        <v>4</v>
      </c>
      <c r="G32">
        <v>3750</v>
      </c>
      <c r="H32">
        <v>88000</v>
      </c>
      <c r="I32">
        <v>15000</v>
      </c>
      <c r="J32">
        <v>73000</v>
      </c>
      <c r="K32" t="s">
        <v>1635</v>
      </c>
      <c r="L32">
        <v>3750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205</v>
      </c>
      <c r="D33" t="s">
        <v>206</v>
      </c>
      <c r="E33" s="8">
        <v>45968</v>
      </c>
      <c r="F33">
        <v>4</v>
      </c>
      <c r="G33">
        <v>5805</v>
      </c>
      <c r="H33">
        <v>172980</v>
      </c>
      <c r="I33">
        <v>21615</v>
      </c>
      <c r="J33">
        <v>151365</v>
      </c>
      <c r="K33" t="s">
        <v>1635</v>
      </c>
      <c r="L33">
        <v>5805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209</v>
      </c>
      <c r="D34" t="s">
        <v>210</v>
      </c>
      <c r="E34" s="8">
        <v>45968</v>
      </c>
      <c r="F34">
        <v>4</v>
      </c>
      <c r="G34">
        <v>5760</v>
      </c>
      <c r="H34">
        <v>187000</v>
      </c>
      <c r="I34">
        <v>22396.67</v>
      </c>
      <c r="J34">
        <v>164603.32999999999</v>
      </c>
      <c r="K34" t="s">
        <v>1635</v>
      </c>
      <c r="L34">
        <v>5760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227</v>
      </c>
      <c r="D35" t="s">
        <v>228</v>
      </c>
      <c r="E35" s="8">
        <v>45961</v>
      </c>
      <c r="F35">
        <v>4</v>
      </c>
      <c r="G35">
        <v>2652</v>
      </c>
      <c r="H35">
        <v>79976</v>
      </c>
      <c r="I35">
        <v>10608</v>
      </c>
      <c r="J35">
        <v>69368</v>
      </c>
      <c r="K35" t="s">
        <v>1635</v>
      </c>
      <c r="L35">
        <v>2652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231</v>
      </c>
      <c r="D36" t="s">
        <v>232</v>
      </c>
      <c r="E36" s="8">
        <v>45968</v>
      </c>
      <c r="F36">
        <v>4</v>
      </c>
      <c r="G36">
        <v>3920</v>
      </c>
      <c r="H36">
        <v>75800</v>
      </c>
      <c r="I36">
        <v>14243.33</v>
      </c>
      <c r="J36">
        <v>61556.67</v>
      </c>
      <c r="K36" t="s">
        <v>1635</v>
      </c>
      <c r="L36">
        <v>3920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233</v>
      </c>
      <c r="D37" t="s">
        <v>1645</v>
      </c>
      <c r="E37" s="8">
        <v>45961</v>
      </c>
      <c r="F37">
        <v>4</v>
      </c>
      <c r="G37">
        <v>4320</v>
      </c>
      <c r="H37">
        <v>80000</v>
      </c>
      <c r="I37">
        <v>14880</v>
      </c>
      <c r="J37">
        <v>65120</v>
      </c>
      <c r="K37" t="s">
        <v>1635</v>
      </c>
      <c r="L37">
        <v>4320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244</v>
      </c>
      <c r="D38" t="s">
        <v>245</v>
      </c>
      <c r="E38" s="8">
        <v>45968</v>
      </c>
      <c r="F38">
        <v>4</v>
      </c>
      <c r="G38">
        <v>6952</v>
      </c>
      <c r="H38">
        <v>120000</v>
      </c>
      <c r="I38">
        <v>24526</v>
      </c>
      <c r="J38">
        <v>95474</v>
      </c>
      <c r="K38" t="s">
        <v>1635</v>
      </c>
      <c r="L38">
        <v>6952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246</v>
      </c>
      <c r="D39" t="s">
        <v>247</v>
      </c>
      <c r="E39" s="8">
        <v>45961</v>
      </c>
      <c r="F39">
        <v>4</v>
      </c>
      <c r="G39">
        <v>2756</v>
      </c>
      <c r="H39">
        <v>83985</v>
      </c>
      <c r="I39">
        <v>10174.67</v>
      </c>
      <c r="J39">
        <v>73810.33</v>
      </c>
      <c r="K39" t="s">
        <v>1635</v>
      </c>
      <c r="L39">
        <v>2756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256</v>
      </c>
      <c r="D40" t="s">
        <v>257</v>
      </c>
      <c r="E40" s="8">
        <v>45961</v>
      </c>
      <c r="F40">
        <v>4</v>
      </c>
      <c r="G40">
        <v>3375</v>
      </c>
      <c r="H40">
        <v>105000</v>
      </c>
      <c r="I40">
        <v>13500</v>
      </c>
      <c r="J40">
        <v>91500</v>
      </c>
      <c r="K40" t="s">
        <v>1635</v>
      </c>
      <c r="L40">
        <v>3375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258</v>
      </c>
      <c r="D41" t="s">
        <v>259</v>
      </c>
      <c r="E41" s="8">
        <v>45961</v>
      </c>
      <c r="F41">
        <v>4</v>
      </c>
      <c r="G41">
        <v>4307</v>
      </c>
      <c r="H41">
        <v>79553</v>
      </c>
      <c r="I41">
        <v>15597.67</v>
      </c>
      <c r="J41">
        <v>63955.33</v>
      </c>
      <c r="K41" t="s">
        <v>1635</v>
      </c>
      <c r="L41">
        <v>4307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268</v>
      </c>
      <c r="D42" t="s">
        <v>269</v>
      </c>
      <c r="E42" s="8">
        <v>45968</v>
      </c>
      <c r="F42">
        <v>4</v>
      </c>
      <c r="G42">
        <v>3990</v>
      </c>
      <c r="H42">
        <v>73000</v>
      </c>
      <c r="I42">
        <v>14653.33</v>
      </c>
      <c r="J42">
        <v>58346.67</v>
      </c>
      <c r="K42" t="s">
        <v>1635</v>
      </c>
      <c r="L42">
        <v>3990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280</v>
      </c>
      <c r="D43" t="s">
        <v>281</v>
      </c>
      <c r="E43" s="8">
        <v>45961</v>
      </c>
      <c r="F43">
        <v>4</v>
      </c>
      <c r="G43">
        <v>3180</v>
      </c>
      <c r="H43">
        <v>95000</v>
      </c>
      <c r="I43">
        <v>11621.67</v>
      </c>
      <c r="J43">
        <v>83378.33</v>
      </c>
      <c r="K43" t="s">
        <v>1635</v>
      </c>
      <c r="L43">
        <v>3180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282</v>
      </c>
      <c r="D44" t="s">
        <v>283</v>
      </c>
      <c r="E44" s="8">
        <v>45968</v>
      </c>
      <c r="F44">
        <v>4</v>
      </c>
      <c r="G44">
        <v>2432</v>
      </c>
      <c r="H44">
        <v>73000</v>
      </c>
      <c r="I44">
        <v>9728</v>
      </c>
      <c r="J44">
        <v>63272</v>
      </c>
      <c r="K44" t="s">
        <v>1635</v>
      </c>
      <c r="L44">
        <v>2432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286</v>
      </c>
      <c r="D45" t="s">
        <v>287</v>
      </c>
      <c r="E45" s="8">
        <v>45968</v>
      </c>
      <c r="F45">
        <v>4</v>
      </c>
      <c r="G45">
        <v>2835</v>
      </c>
      <c r="H45">
        <v>85900</v>
      </c>
      <c r="I45">
        <v>11340</v>
      </c>
      <c r="J45">
        <v>74560</v>
      </c>
      <c r="K45" t="s">
        <v>1635</v>
      </c>
      <c r="L45">
        <v>2835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296</v>
      </c>
      <c r="D46" t="s">
        <v>297</v>
      </c>
      <c r="E46" s="8">
        <v>45968</v>
      </c>
      <c r="F46">
        <v>4</v>
      </c>
      <c r="G46">
        <v>2970</v>
      </c>
      <c r="H46">
        <v>82153</v>
      </c>
      <c r="I46">
        <v>11880</v>
      </c>
      <c r="J46">
        <v>70273</v>
      </c>
      <c r="K46" t="s">
        <v>1635</v>
      </c>
      <c r="L46">
        <v>2970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425</v>
      </c>
      <c r="D47" t="s">
        <v>426</v>
      </c>
      <c r="E47" s="8">
        <v>45961</v>
      </c>
      <c r="F47">
        <v>4</v>
      </c>
      <c r="G47">
        <v>2714</v>
      </c>
      <c r="H47">
        <v>89000</v>
      </c>
      <c r="I47">
        <v>9982</v>
      </c>
      <c r="J47">
        <v>79018</v>
      </c>
      <c r="K47" t="s">
        <v>1635</v>
      </c>
      <c r="L47">
        <v>2714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455</v>
      </c>
      <c r="D48" t="s">
        <v>456</v>
      </c>
      <c r="E48" s="8">
        <v>45968</v>
      </c>
      <c r="F48">
        <v>4</v>
      </c>
      <c r="G48">
        <v>2665</v>
      </c>
      <c r="H48">
        <v>96000</v>
      </c>
      <c r="I48">
        <v>10595</v>
      </c>
      <c r="J48">
        <v>85405</v>
      </c>
      <c r="K48" t="s">
        <v>1635</v>
      </c>
      <c r="L48">
        <v>2665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543</v>
      </c>
      <c r="D49" t="s">
        <v>1647</v>
      </c>
      <c r="E49" s="8">
        <v>45961</v>
      </c>
      <c r="F49">
        <v>4</v>
      </c>
      <c r="G49">
        <v>1428</v>
      </c>
      <c r="H49">
        <v>26555</v>
      </c>
      <c r="I49">
        <v>5712</v>
      </c>
      <c r="J49">
        <v>20843</v>
      </c>
      <c r="K49" t="s">
        <v>1635</v>
      </c>
      <c r="L49">
        <v>1428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550</v>
      </c>
      <c r="D50" t="s">
        <v>551</v>
      </c>
      <c r="E50" s="8">
        <v>45968</v>
      </c>
      <c r="F50">
        <v>4</v>
      </c>
      <c r="G50">
        <v>1178</v>
      </c>
      <c r="H50">
        <v>20715</v>
      </c>
      <c r="I50">
        <v>4712</v>
      </c>
      <c r="J50">
        <v>16003</v>
      </c>
      <c r="K50" t="s">
        <v>1635</v>
      </c>
      <c r="L50">
        <v>1178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556</v>
      </c>
      <c r="D51" t="s">
        <v>557</v>
      </c>
      <c r="E51" s="8">
        <v>45968</v>
      </c>
      <c r="F51">
        <v>4</v>
      </c>
      <c r="G51">
        <v>3050</v>
      </c>
      <c r="H51">
        <v>91016</v>
      </c>
      <c r="I51">
        <v>11150</v>
      </c>
      <c r="J51">
        <v>79866</v>
      </c>
      <c r="K51" t="s">
        <v>1635</v>
      </c>
      <c r="L51">
        <v>3050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564</v>
      </c>
      <c r="D52" t="s">
        <v>565</v>
      </c>
      <c r="E52" s="8">
        <v>45961</v>
      </c>
      <c r="F52">
        <v>4</v>
      </c>
      <c r="G52">
        <v>1560</v>
      </c>
      <c r="H52">
        <v>27722</v>
      </c>
      <c r="I52">
        <v>6240</v>
      </c>
      <c r="J52">
        <v>21482</v>
      </c>
      <c r="K52" t="s">
        <v>1635</v>
      </c>
      <c r="L52">
        <v>1560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569</v>
      </c>
      <c r="D53" t="s">
        <v>570</v>
      </c>
      <c r="E53" s="8">
        <v>45968</v>
      </c>
      <c r="F53">
        <v>4</v>
      </c>
      <c r="G53">
        <v>3285</v>
      </c>
      <c r="H53">
        <v>100000</v>
      </c>
      <c r="I53">
        <v>11655</v>
      </c>
      <c r="J53">
        <v>88345</v>
      </c>
      <c r="K53" t="s">
        <v>1635</v>
      </c>
      <c r="L53">
        <v>3285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602</v>
      </c>
      <c r="D54" t="s">
        <v>603</v>
      </c>
      <c r="E54" s="8">
        <v>45968</v>
      </c>
      <c r="F54">
        <v>4</v>
      </c>
      <c r="G54">
        <v>2814</v>
      </c>
      <c r="H54">
        <v>95414</v>
      </c>
      <c r="I54">
        <v>11256</v>
      </c>
      <c r="J54">
        <v>84158</v>
      </c>
      <c r="K54" t="s">
        <v>1635</v>
      </c>
      <c r="L54">
        <v>2814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604</v>
      </c>
      <c r="D55" t="s">
        <v>605</v>
      </c>
      <c r="E55" s="8">
        <v>45968</v>
      </c>
      <c r="F55">
        <v>4</v>
      </c>
      <c r="G55">
        <v>1380</v>
      </c>
      <c r="H55">
        <v>26555</v>
      </c>
      <c r="I55">
        <v>5520</v>
      </c>
      <c r="J55">
        <v>21035</v>
      </c>
      <c r="K55" t="s">
        <v>1635</v>
      </c>
      <c r="L55">
        <v>1380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611</v>
      </c>
      <c r="D56" t="s">
        <v>612</v>
      </c>
      <c r="E56" s="8">
        <v>45961</v>
      </c>
      <c r="F56">
        <v>4</v>
      </c>
      <c r="G56">
        <v>3034</v>
      </c>
      <c r="H56">
        <v>91593</v>
      </c>
      <c r="I56">
        <v>10742</v>
      </c>
      <c r="J56">
        <v>80851</v>
      </c>
      <c r="K56" t="s">
        <v>1635</v>
      </c>
      <c r="L56">
        <v>3034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613</v>
      </c>
      <c r="D57" t="s">
        <v>614</v>
      </c>
      <c r="E57" s="8">
        <v>45961</v>
      </c>
      <c r="F57">
        <v>4</v>
      </c>
      <c r="G57">
        <v>3278.5</v>
      </c>
      <c r="H57">
        <v>96397</v>
      </c>
      <c r="I57">
        <v>11545.5</v>
      </c>
      <c r="J57">
        <v>84851.5</v>
      </c>
      <c r="K57" t="s">
        <v>1635</v>
      </c>
      <c r="L57">
        <v>3278.5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619</v>
      </c>
      <c r="D58" t="s">
        <v>1651</v>
      </c>
      <c r="E58" s="8">
        <v>45961</v>
      </c>
      <c r="F58">
        <v>4</v>
      </c>
      <c r="G58">
        <v>4272</v>
      </c>
      <c r="H58">
        <v>129626</v>
      </c>
      <c r="I58">
        <v>14736</v>
      </c>
      <c r="J58">
        <v>114890</v>
      </c>
      <c r="K58" t="s">
        <v>1635</v>
      </c>
      <c r="L58">
        <v>4272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628</v>
      </c>
      <c r="D59" t="s">
        <v>629</v>
      </c>
      <c r="E59" s="8">
        <v>45961</v>
      </c>
      <c r="F59">
        <v>4</v>
      </c>
      <c r="G59">
        <v>3640</v>
      </c>
      <c r="H59">
        <v>107767</v>
      </c>
      <c r="I59">
        <v>13000</v>
      </c>
      <c r="J59">
        <v>94767</v>
      </c>
      <c r="K59" t="s">
        <v>1635</v>
      </c>
      <c r="L59">
        <v>3640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646</v>
      </c>
      <c r="D60" t="s">
        <v>1652</v>
      </c>
      <c r="E60" s="8">
        <v>45961</v>
      </c>
      <c r="F60">
        <v>4</v>
      </c>
      <c r="G60">
        <v>2870</v>
      </c>
      <c r="H60">
        <v>83705</v>
      </c>
      <c r="I60">
        <v>10423</v>
      </c>
      <c r="J60">
        <v>73282</v>
      </c>
      <c r="K60" t="s">
        <v>1635</v>
      </c>
      <c r="L60">
        <v>2870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653</v>
      </c>
      <c r="D61" t="s">
        <v>654</v>
      </c>
      <c r="E61" s="8">
        <v>45968</v>
      </c>
      <c r="F61">
        <v>4</v>
      </c>
      <c r="G61">
        <v>2756</v>
      </c>
      <c r="H61">
        <v>82697</v>
      </c>
      <c r="I61">
        <v>10348</v>
      </c>
      <c r="J61">
        <v>72349</v>
      </c>
      <c r="K61" t="s">
        <v>1635</v>
      </c>
      <c r="L61">
        <v>2756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657</v>
      </c>
      <c r="D62" t="s">
        <v>658</v>
      </c>
      <c r="E62" s="8">
        <v>45968</v>
      </c>
      <c r="F62">
        <v>4</v>
      </c>
      <c r="G62">
        <v>3834</v>
      </c>
      <c r="H62">
        <v>119100</v>
      </c>
      <c r="I62">
        <v>13662</v>
      </c>
      <c r="J62">
        <v>105438</v>
      </c>
      <c r="K62" t="s">
        <v>1635</v>
      </c>
      <c r="L62">
        <v>3834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681</v>
      </c>
      <c r="D63" t="s">
        <v>1653</v>
      </c>
      <c r="E63" s="8">
        <v>45961</v>
      </c>
      <c r="F63">
        <v>4</v>
      </c>
      <c r="G63">
        <v>2496</v>
      </c>
      <c r="H63">
        <v>75452</v>
      </c>
      <c r="I63">
        <v>9408</v>
      </c>
      <c r="J63">
        <v>66044</v>
      </c>
      <c r="K63" t="s">
        <v>1635</v>
      </c>
      <c r="L63">
        <v>2496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686</v>
      </c>
      <c r="D64" t="s">
        <v>687</v>
      </c>
      <c r="E64" s="8">
        <v>45968</v>
      </c>
      <c r="F64">
        <v>4</v>
      </c>
      <c r="G64">
        <v>1488</v>
      </c>
      <c r="H64">
        <v>26555</v>
      </c>
      <c r="I64">
        <v>5952</v>
      </c>
      <c r="J64">
        <v>20603</v>
      </c>
      <c r="K64" t="s">
        <v>1635</v>
      </c>
      <c r="L64">
        <v>1488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688</v>
      </c>
      <c r="D65" t="s">
        <v>689</v>
      </c>
      <c r="E65" s="8">
        <v>45968</v>
      </c>
      <c r="F65">
        <v>4</v>
      </c>
      <c r="G65">
        <v>2937</v>
      </c>
      <c r="H65">
        <v>88800</v>
      </c>
      <c r="I65">
        <v>10131</v>
      </c>
      <c r="J65">
        <v>78669</v>
      </c>
      <c r="K65" t="s">
        <v>1635</v>
      </c>
      <c r="L65">
        <v>2937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696</v>
      </c>
      <c r="D66" t="s">
        <v>697</v>
      </c>
      <c r="E66" s="8">
        <v>45961</v>
      </c>
      <c r="F66">
        <v>4</v>
      </c>
      <c r="G66">
        <v>3116</v>
      </c>
      <c r="H66">
        <v>94000</v>
      </c>
      <c r="I66">
        <v>10988</v>
      </c>
      <c r="J66">
        <v>83012</v>
      </c>
      <c r="K66" t="s">
        <v>1635</v>
      </c>
      <c r="L66">
        <v>3116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702</v>
      </c>
      <c r="D67" t="s">
        <v>703</v>
      </c>
      <c r="E67" s="8">
        <v>45968</v>
      </c>
      <c r="F67">
        <v>4</v>
      </c>
      <c r="G67">
        <v>3486</v>
      </c>
      <c r="H67">
        <v>98800</v>
      </c>
      <c r="I67">
        <v>12238</v>
      </c>
      <c r="J67">
        <v>86562</v>
      </c>
      <c r="K67" t="s">
        <v>1635</v>
      </c>
      <c r="L67">
        <v>3486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704</v>
      </c>
      <c r="D68" t="s">
        <v>705</v>
      </c>
      <c r="E68" s="8">
        <v>45961</v>
      </c>
      <c r="F68">
        <v>4</v>
      </c>
      <c r="G68">
        <v>2520</v>
      </c>
      <c r="H68">
        <v>76656</v>
      </c>
      <c r="I68">
        <v>9495</v>
      </c>
      <c r="J68">
        <v>67161</v>
      </c>
      <c r="K68" t="s">
        <v>1635</v>
      </c>
      <c r="L68">
        <v>2520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711</v>
      </c>
      <c r="D69" t="s">
        <v>712</v>
      </c>
      <c r="E69" s="8">
        <v>45968</v>
      </c>
      <c r="F69">
        <v>4</v>
      </c>
      <c r="G69">
        <v>3432</v>
      </c>
      <c r="H69">
        <v>99877</v>
      </c>
      <c r="I69">
        <v>12156</v>
      </c>
      <c r="J69">
        <v>87721</v>
      </c>
      <c r="K69" t="s">
        <v>1635</v>
      </c>
      <c r="L69">
        <v>3432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713</v>
      </c>
      <c r="D70" t="s">
        <v>714</v>
      </c>
      <c r="E70" s="8">
        <v>45968</v>
      </c>
      <c r="F70">
        <v>4</v>
      </c>
      <c r="G70">
        <v>3564</v>
      </c>
      <c r="H70">
        <v>105000</v>
      </c>
      <c r="I70">
        <v>13382</v>
      </c>
      <c r="J70">
        <v>91618</v>
      </c>
      <c r="K70" t="s">
        <v>1635</v>
      </c>
      <c r="L70">
        <v>3564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715</v>
      </c>
      <c r="D71" t="s">
        <v>716</v>
      </c>
      <c r="E71" s="8">
        <v>45968</v>
      </c>
      <c r="F71">
        <v>4</v>
      </c>
      <c r="G71">
        <v>2925</v>
      </c>
      <c r="H71">
        <v>85000</v>
      </c>
      <c r="I71">
        <v>10625</v>
      </c>
      <c r="J71">
        <v>74375</v>
      </c>
      <c r="K71" t="s">
        <v>1635</v>
      </c>
      <c r="L71">
        <v>2925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717</v>
      </c>
      <c r="D72" t="s">
        <v>718</v>
      </c>
      <c r="E72" s="8">
        <v>45968</v>
      </c>
      <c r="F72">
        <v>4</v>
      </c>
      <c r="G72">
        <v>4785</v>
      </c>
      <c r="H72">
        <v>142410</v>
      </c>
      <c r="I72">
        <v>16555</v>
      </c>
      <c r="J72">
        <v>125855</v>
      </c>
      <c r="K72" t="s">
        <v>1635</v>
      </c>
      <c r="L72">
        <v>4785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741</v>
      </c>
      <c r="D73" t="s">
        <v>742</v>
      </c>
      <c r="E73" s="8">
        <v>45968</v>
      </c>
      <c r="F73">
        <v>4</v>
      </c>
      <c r="G73">
        <v>2982</v>
      </c>
      <c r="H73">
        <v>86000</v>
      </c>
      <c r="I73">
        <v>10726</v>
      </c>
      <c r="J73">
        <v>75274</v>
      </c>
      <c r="K73" t="s">
        <v>1635</v>
      </c>
      <c r="L73">
        <v>2982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773</v>
      </c>
      <c r="D74" t="s">
        <v>1655</v>
      </c>
      <c r="E74" s="8">
        <v>45961</v>
      </c>
      <c r="F74">
        <v>4</v>
      </c>
      <c r="G74">
        <v>1290</v>
      </c>
      <c r="H74">
        <v>22711</v>
      </c>
      <c r="I74">
        <v>5160</v>
      </c>
      <c r="J74">
        <v>17551</v>
      </c>
      <c r="K74" t="s">
        <v>1635</v>
      </c>
      <c r="L74">
        <v>1290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820</v>
      </c>
      <c r="D75" t="s">
        <v>821</v>
      </c>
      <c r="E75" s="8">
        <v>45968</v>
      </c>
      <c r="F75">
        <v>4</v>
      </c>
      <c r="G75">
        <v>1920</v>
      </c>
      <c r="H75">
        <v>34750</v>
      </c>
      <c r="I75">
        <v>7680</v>
      </c>
      <c r="J75">
        <v>27070</v>
      </c>
      <c r="K75" t="s">
        <v>1635</v>
      </c>
      <c r="L75">
        <v>1920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42</v>
      </c>
      <c r="D76" t="s">
        <v>43</v>
      </c>
      <c r="E76" s="8">
        <v>45968</v>
      </c>
      <c r="F76">
        <v>5</v>
      </c>
      <c r="G76">
        <v>2000</v>
      </c>
      <c r="H76">
        <v>55000</v>
      </c>
      <c r="I76">
        <v>10000</v>
      </c>
      <c r="J76">
        <v>45000</v>
      </c>
      <c r="K76" t="s">
        <v>1635</v>
      </c>
      <c r="L76">
        <v>2000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44</v>
      </c>
      <c r="D77" t="s">
        <v>45</v>
      </c>
      <c r="E77" s="8">
        <v>45961</v>
      </c>
      <c r="F77">
        <v>5</v>
      </c>
      <c r="G77">
        <v>1456</v>
      </c>
      <c r="H77">
        <v>43600</v>
      </c>
      <c r="I77">
        <v>7280</v>
      </c>
      <c r="J77">
        <v>36320</v>
      </c>
      <c r="K77" t="s">
        <v>1635</v>
      </c>
      <c r="L77">
        <v>1456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87</v>
      </c>
      <c r="D78" t="s">
        <v>88</v>
      </c>
      <c r="E78" s="8">
        <v>45968</v>
      </c>
      <c r="F78">
        <v>5</v>
      </c>
      <c r="G78">
        <v>2464</v>
      </c>
      <c r="H78">
        <v>76000</v>
      </c>
      <c r="I78">
        <v>12320</v>
      </c>
      <c r="J78">
        <v>63680</v>
      </c>
      <c r="K78" t="s">
        <v>1635</v>
      </c>
      <c r="L78">
        <v>2464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95</v>
      </c>
      <c r="D79" t="s">
        <v>1643</v>
      </c>
      <c r="E79" s="8">
        <v>45961</v>
      </c>
      <c r="F79">
        <v>5</v>
      </c>
      <c r="G79">
        <v>2700</v>
      </c>
      <c r="H79">
        <v>80000</v>
      </c>
      <c r="I79">
        <v>13500</v>
      </c>
      <c r="J79">
        <v>66500</v>
      </c>
      <c r="K79" t="s">
        <v>1635</v>
      </c>
      <c r="L79">
        <v>2700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104</v>
      </c>
      <c r="D80" t="s">
        <v>105</v>
      </c>
      <c r="E80" s="8">
        <v>45968</v>
      </c>
      <c r="F80">
        <v>5</v>
      </c>
      <c r="G80">
        <v>4150</v>
      </c>
      <c r="H80">
        <v>75285</v>
      </c>
      <c r="I80">
        <v>20750</v>
      </c>
      <c r="J80">
        <v>54535</v>
      </c>
      <c r="K80" t="s">
        <v>1635</v>
      </c>
      <c r="L80">
        <v>4150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110</v>
      </c>
      <c r="D81" t="s">
        <v>1644</v>
      </c>
      <c r="E81" s="8">
        <v>45961</v>
      </c>
      <c r="F81">
        <v>5</v>
      </c>
      <c r="G81">
        <v>3901</v>
      </c>
      <c r="H81">
        <v>73000</v>
      </c>
      <c r="I81">
        <v>18824</v>
      </c>
      <c r="J81">
        <v>54176</v>
      </c>
      <c r="K81" t="s">
        <v>1635</v>
      </c>
      <c r="L81">
        <v>3901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111</v>
      </c>
      <c r="D82" t="s">
        <v>112</v>
      </c>
      <c r="E82" s="8">
        <v>45968</v>
      </c>
      <c r="F82">
        <v>5</v>
      </c>
      <c r="G82">
        <v>2210</v>
      </c>
      <c r="H82">
        <v>78900</v>
      </c>
      <c r="I82">
        <v>11050</v>
      </c>
      <c r="J82">
        <v>67850</v>
      </c>
      <c r="K82" t="s">
        <v>1635</v>
      </c>
      <c r="L82">
        <v>2210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127</v>
      </c>
      <c r="D83" t="s">
        <v>128</v>
      </c>
      <c r="E83" s="8">
        <v>45968</v>
      </c>
      <c r="F83">
        <v>5</v>
      </c>
      <c r="G83">
        <v>3000</v>
      </c>
      <c r="H83">
        <v>89318</v>
      </c>
      <c r="I83">
        <v>14750</v>
      </c>
      <c r="J83">
        <v>74568</v>
      </c>
      <c r="K83" t="s">
        <v>1635</v>
      </c>
      <c r="L83">
        <v>3000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137</v>
      </c>
      <c r="D84" t="s">
        <v>138</v>
      </c>
      <c r="E84" s="8">
        <v>45961</v>
      </c>
      <c r="F84">
        <v>5</v>
      </c>
      <c r="G84">
        <v>4664</v>
      </c>
      <c r="H84">
        <v>140559</v>
      </c>
      <c r="I84">
        <v>22176</v>
      </c>
      <c r="J84">
        <v>118383</v>
      </c>
      <c r="K84" t="s">
        <v>1635</v>
      </c>
      <c r="L84">
        <v>4664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139</v>
      </c>
      <c r="D85" t="s">
        <v>140</v>
      </c>
      <c r="E85" s="8">
        <v>45968</v>
      </c>
      <c r="F85">
        <v>5</v>
      </c>
      <c r="G85">
        <v>5382</v>
      </c>
      <c r="H85">
        <v>98888</v>
      </c>
      <c r="I85">
        <v>24388</v>
      </c>
      <c r="J85">
        <v>74500</v>
      </c>
      <c r="K85" t="s">
        <v>1635</v>
      </c>
      <c r="L85">
        <v>5382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141</v>
      </c>
      <c r="D86" t="s">
        <v>142</v>
      </c>
      <c r="E86" s="8">
        <v>45968</v>
      </c>
      <c r="F86">
        <v>5</v>
      </c>
      <c r="G86">
        <v>5382</v>
      </c>
      <c r="H86">
        <v>98888</v>
      </c>
      <c r="I86">
        <v>24388</v>
      </c>
      <c r="J86">
        <v>74500</v>
      </c>
      <c r="K86" t="s">
        <v>1635</v>
      </c>
      <c r="L86">
        <v>5382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143</v>
      </c>
      <c r="D87" t="s">
        <v>144</v>
      </c>
      <c r="E87" s="8">
        <v>45968</v>
      </c>
      <c r="F87">
        <v>5</v>
      </c>
      <c r="G87">
        <v>5704</v>
      </c>
      <c r="H87">
        <v>108000</v>
      </c>
      <c r="I87">
        <v>26192.67</v>
      </c>
      <c r="J87">
        <v>81807.33</v>
      </c>
      <c r="K87" t="s">
        <v>1635</v>
      </c>
      <c r="L87">
        <v>5704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151</v>
      </c>
      <c r="D88" t="s">
        <v>152</v>
      </c>
      <c r="E88" s="8">
        <v>45968</v>
      </c>
      <c r="F88">
        <v>5</v>
      </c>
      <c r="G88">
        <v>4288</v>
      </c>
      <c r="H88">
        <v>79477</v>
      </c>
      <c r="I88">
        <v>19558.669999999998</v>
      </c>
      <c r="J88">
        <v>59918.33</v>
      </c>
      <c r="K88" t="s">
        <v>1635</v>
      </c>
      <c r="L88">
        <v>4288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157</v>
      </c>
      <c r="D89" t="s">
        <v>158</v>
      </c>
      <c r="E89" s="8">
        <v>45968</v>
      </c>
      <c r="F89">
        <v>5</v>
      </c>
      <c r="G89">
        <v>2970</v>
      </c>
      <c r="H89">
        <v>89244</v>
      </c>
      <c r="I89">
        <v>14850</v>
      </c>
      <c r="J89">
        <v>74394</v>
      </c>
      <c r="K89" t="s">
        <v>1635</v>
      </c>
      <c r="L89">
        <v>2970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171</v>
      </c>
      <c r="D90" t="s">
        <v>172</v>
      </c>
      <c r="E90" s="8">
        <v>45968</v>
      </c>
      <c r="F90">
        <v>5</v>
      </c>
      <c r="G90">
        <v>5635</v>
      </c>
      <c r="H90">
        <v>169978</v>
      </c>
      <c r="I90">
        <v>26756.67</v>
      </c>
      <c r="J90">
        <v>143221.32999999999</v>
      </c>
      <c r="K90" t="s">
        <v>1635</v>
      </c>
      <c r="L90">
        <v>5635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173</v>
      </c>
      <c r="D91" t="s">
        <v>174</v>
      </c>
      <c r="E91" s="8">
        <v>45968</v>
      </c>
      <c r="F91">
        <v>5</v>
      </c>
      <c r="G91">
        <v>3024</v>
      </c>
      <c r="H91">
        <v>94861</v>
      </c>
      <c r="I91">
        <v>13916</v>
      </c>
      <c r="J91">
        <v>80945</v>
      </c>
      <c r="K91" t="s">
        <v>1635</v>
      </c>
      <c r="L91">
        <v>3024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185</v>
      </c>
      <c r="D92" t="s">
        <v>186</v>
      </c>
      <c r="E92" s="8">
        <v>45968</v>
      </c>
      <c r="F92">
        <v>5</v>
      </c>
      <c r="G92">
        <v>5616</v>
      </c>
      <c r="H92">
        <v>106000</v>
      </c>
      <c r="I92">
        <v>26994</v>
      </c>
      <c r="J92">
        <v>79006</v>
      </c>
      <c r="K92" t="s">
        <v>1635</v>
      </c>
      <c r="L92">
        <v>5616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187</v>
      </c>
      <c r="D93" t="s">
        <v>188</v>
      </c>
      <c r="E93" s="8">
        <v>45968</v>
      </c>
      <c r="F93">
        <v>5</v>
      </c>
      <c r="G93">
        <v>2263</v>
      </c>
      <c r="H93">
        <v>73000</v>
      </c>
      <c r="I93">
        <v>8580</v>
      </c>
      <c r="J93">
        <v>64420</v>
      </c>
      <c r="K93" t="s">
        <v>1635</v>
      </c>
      <c r="L93">
        <v>2263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195</v>
      </c>
      <c r="D94" t="s">
        <v>196</v>
      </c>
      <c r="E94" s="8">
        <v>45968</v>
      </c>
      <c r="F94">
        <v>5</v>
      </c>
      <c r="G94">
        <v>2340</v>
      </c>
      <c r="H94">
        <v>69800</v>
      </c>
      <c r="I94">
        <v>11700</v>
      </c>
      <c r="J94">
        <v>58100</v>
      </c>
      <c r="K94" t="s">
        <v>1635</v>
      </c>
      <c r="L94">
        <v>2340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201</v>
      </c>
      <c r="D95" t="s">
        <v>202</v>
      </c>
      <c r="E95" s="8">
        <v>45968</v>
      </c>
      <c r="F95">
        <v>5</v>
      </c>
      <c r="G95">
        <v>2814</v>
      </c>
      <c r="H95">
        <v>81975</v>
      </c>
      <c r="I95">
        <v>13812.67</v>
      </c>
      <c r="J95">
        <v>68162.33</v>
      </c>
      <c r="K95" t="s">
        <v>1635</v>
      </c>
      <c r="L95">
        <v>2814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213</v>
      </c>
      <c r="D96" t="s">
        <v>214</v>
      </c>
      <c r="E96" s="8">
        <v>45968</v>
      </c>
      <c r="F96">
        <v>5</v>
      </c>
      <c r="G96">
        <v>2940</v>
      </c>
      <c r="H96">
        <v>86200</v>
      </c>
      <c r="I96">
        <v>14700</v>
      </c>
      <c r="J96">
        <v>71500</v>
      </c>
      <c r="K96" t="s">
        <v>1635</v>
      </c>
      <c r="L96">
        <v>2940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217</v>
      </c>
      <c r="D97" t="s">
        <v>218</v>
      </c>
      <c r="E97" s="8">
        <v>45968</v>
      </c>
      <c r="F97">
        <v>5</v>
      </c>
      <c r="G97">
        <v>3036</v>
      </c>
      <c r="H97">
        <v>90000</v>
      </c>
      <c r="I97">
        <v>14724</v>
      </c>
      <c r="J97">
        <v>75276</v>
      </c>
      <c r="K97" t="s">
        <v>1635</v>
      </c>
      <c r="L97">
        <v>3036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225</v>
      </c>
      <c r="D98" t="s">
        <v>226</v>
      </c>
      <c r="E98" s="8">
        <v>45961</v>
      </c>
      <c r="F98">
        <v>5</v>
      </c>
      <c r="G98">
        <v>4860</v>
      </c>
      <c r="H98">
        <v>92000</v>
      </c>
      <c r="I98">
        <v>21650</v>
      </c>
      <c r="J98">
        <v>70350</v>
      </c>
      <c r="K98" t="s">
        <v>1635</v>
      </c>
      <c r="L98">
        <v>4860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229</v>
      </c>
      <c r="D99" t="s">
        <v>230</v>
      </c>
      <c r="E99" s="8">
        <v>45968</v>
      </c>
      <c r="F99">
        <v>5</v>
      </c>
      <c r="G99">
        <v>4200</v>
      </c>
      <c r="H99">
        <v>77000</v>
      </c>
      <c r="I99">
        <v>19100</v>
      </c>
      <c r="J99">
        <v>57900</v>
      </c>
      <c r="K99" t="s">
        <v>1635</v>
      </c>
      <c r="L99">
        <v>4200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308</v>
      </c>
      <c r="D100" t="s">
        <v>309</v>
      </c>
      <c r="E100" s="8">
        <v>45961</v>
      </c>
      <c r="F100">
        <v>5</v>
      </c>
      <c r="G100">
        <v>2808</v>
      </c>
      <c r="H100">
        <v>88414</v>
      </c>
      <c r="I100">
        <v>13312</v>
      </c>
      <c r="J100">
        <v>75102</v>
      </c>
      <c r="K100" t="s">
        <v>1635</v>
      </c>
      <c r="L100">
        <v>2808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310</v>
      </c>
      <c r="D101" t="s">
        <v>311</v>
      </c>
      <c r="E101" s="8">
        <v>45968</v>
      </c>
      <c r="F101">
        <v>5</v>
      </c>
      <c r="G101">
        <v>2754</v>
      </c>
      <c r="H101">
        <v>98000</v>
      </c>
      <c r="I101">
        <v>11082</v>
      </c>
      <c r="J101">
        <v>86918</v>
      </c>
      <c r="K101" t="s">
        <v>1635</v>
      </c>
      <c r="L101">
        <v>2754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318</v>
      </c>
      <c r="D102" t="s">
        <v>319</v>
      </c>
      <c r="E102" s="8">
        <v>45968</v>
      </c>
      <c r="F102">
        <v>5</v>
      </c>
      <c r="G102">
        <v>3330</v>
      </c>
      <c r="H102">
        <v>80000</v>
      </c>
      <c r="I102">
        <v>14800</v>
      </c>
      <c r="J102">
        <v>65200</v>
      </c>
      <c r="K102" t="s">
        <v>1635</v>
      </c>
      <c r="L102">
        <v>3330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324</v>
      </c>
      <c r="D103" t="s">
        <v>325</v>
      </c>
      <c r="E103" s="8">
        <v>45968</v>
      </c>
      <c r="F103">
        <v>5</v>
      </c>
      <c r="G103">
        <v>2250</v>
      </c>
      <c r="H103">
        <v>69260</v>
      </c>
      <c r="I103">
        <v>8250</v>
      </c>
      <c r="J103">
        <v>61010</v>
      </c>
      <c r="K103" t="s">
        <v>1635</v>
      </c>
      <c r="L103">
        <v>2250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332</v>
      </c>
      <c r="D104" t="s">
        <v>333</v>
      </c>
      <c r="E104" s="8">
        <v>45961</v>
      </c>
      <c r="F104">
        <v>5</v>
      </c>
      <c r="G104">
        <v>3840</v>
      </c>
      <c r="H104">
        <v>130500</v>
      </c>
      <c r="I104">
        <v>16870</v>
      </c>
      <c r="J104">
        <v>113630</v>
      </c>
      <c r="K104" t="s">
        <v>1635</v>
      </c>
      <c r="L104">
        <v>3840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338</v>
      </c>
      <c r="D105" t="s">
        <v>339</v>
      </c>
      <c r="E105" s="8">
        <v>45968</v>
      </c>
      <c r="F105">
        <v>5</v>
      </c>
      <c r="G105">
        <v>3060</v>
      </c>
      <c r="H105">
        <v>92000</v>
      </c>
      <c r="I105">
        <v>15300</v>
      </c>
      <c r="J105">
        <v>76700</v>
      </c>
      <c r="K105" t="s">
        <v>1635</v>
      </c>
      <c r="L105">
        <v>3060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340</v>
      </c>
      <c r="D106" t="s">
        <v>341</v>
      </c>
      <c r="E106" s="8">
        <v>45968</v>
      </c>
      <c r="F106">
        <v>5</v>
      </c>
      <c r="G106">
        <v>3835</v>
      </c>
      <c r="H106">
        <v>118000</v>
      </c>
      <c r="I106">
        <v>17790</v>
      </c>
      <c r="J106">
        <v>100210</v>
      </c>
      <c r="K106" t="s">
        <v>1635</v>
      </c>
      <c r="L106">
        <v>3835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342</v>
      </c>
      <c r="D107" t="s">
        <v>343</v>
      </c>
      <c r="E107" s="8">
        <v>45968</v>
      </c>
      <c r="F107">
        <v>5</v>
      </c>
      <c r="G107">
        <v>5760</v>
      </c>
      <c r="H107">
        <v>173888</v>
      </c>
      <c r="I107">
        <v>26640</v>
      </c>
      <c r="J107">
        <v>147248</v>
      </c>
      <c r="K107" t="s">
        <v>1635</v>
      </c>
      <c r="L107">
        <v>5760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372</v>
      </c>
      <c r="D108" t="s">
        <v>1646</v>
      </c>
      <c r="E108" s="8">
        <v>45961</v>
      </c>
      <c r="F108">
        <v>5</v>
      </c>
      <c r="G108">
        <v>4015</v>
      </c>
      <c r="H108">
        <v>121169</v>
      </c>
      <c r="I108">
        <v>18260</v>
      </c>
      <c r="J108">
        <v>102909</v>
      </c>
      <c r="K108" t="s">
        <v>1635</v>
      </c>
      <c r="L108">
        <v>4015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379</v>
      </c>
      <c r="D109" t="s">
        <v>380</v>
      </c>
      <c r="E109" s="8">
        <v>45968</v>
      </c>
      <c r="F109">
        <v>5</v>
      </c>
      <c r="G109">
        <v>2000</v>
      </c>
      <c r="H109">
        <v>33828</v>
      </c>
      <c r="I109">
        <v>8000</v>
      </c>
      <c r="J109">
        <v>25828</v>
      </c>
      <c r="K109" t="s">
        <v>1635</v>
      </c>
      <c r="L109">
        <v>2000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381</v>
      </c>
      <c r="D110" t="s">
        <v>382</v>
      </c>
      <c r="E110" s="8">
        <v>45968</v>
      </c>
      <c r="F110">
        <v>5</v>
      </c>
      <c r="G110">
        <v>4234</v>
      </c>
      <c r="H110">
        <v>129002</v>
      </c>
      <c r="I110">
        <v>19856</v>
      </c>
      <c r="J110">
        <v>109146</v>
      </c>
      <c r="K110" t="s">
        <v>1635</v>
      </c>
      <c r="L110">
        <v>4234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393</v>
      </c>
      <c r="D111" t="s">
        <v>394</v>
      </c>
      <c r="E111" s="8">
        <v>45968</v>
      </c>
      <c r="F111">
        <v>5</v>
      </c>
      <c r="G111">
        <v>2585</v>
      </c>
      <c r="H111">
        <v>93000</v>
      </c>
      <c r="I111">
        <v>12540</v>
      </c>
      <c r="J111">
        <v>80460</v>
      </c>
      <c r="K111" t="s">
        <v>1635</v>
      </c>
      <c r="L111">
        <v>2585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395</v>
      </c>
      <c r="D112" t="s">
        <v>396</v>
      </c>
      <c r="E112" s="8">
        <v>45968</v>
      </c>
      <c r="F112">
        <v>5</v>
      </c>
      <c r="G112">
        <v>1512</v>
      </c>
      <c r="H112">
        <v>27000</v>
      </c>
      <c r="I112">
        <v>7560</v>
      </c>
      <c r="J112">
        <v>19440</v>
      </c>
      <c r="K112" t="s">
        <v>1635</v>
      </c>
      <c r="L112">
        <v>1512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397</v>
      </c>
      <c r="D113" t="s">
        <v>398</v>
      </c>
      <c r="E113" s="8">
        <v>45961</v>
      </c>
      <c r="F113">
        <v>5</v>
      </c>
      <c r="G113">
        <v>2800</v>
      </c>
      <c r="H113">
        <v>84713</v>
      </c>
      <c r="I113">
        <v>12800</v>
      </c>
      <c r="J113">
        <v>71913</v>
      </c>
      <c r="K113" t="s">
        <v>1635</v>
      </c>
      <c r="L113">
        <v>2800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399</v>
      </c>
      <c r="D114" t="s">
        <v>400</v>
      </c>
      <c r="E114" s="8">
        <v>45961</v>
      </c>
      <c r="F114">
        <v>5</v>
      </c>
      <c r="G114">
        <v>3080</v>
      </c>
      <c r="H114">
        <v>91000</v>
      </c>
      <c r="I114">
        <v>15400</v>
      </c>
      <c r="J114">
        <v>75600</v>
      </c>
      <c r="K114" t="s">
        <v>1635</v>
      </c>
      <c r="L114">
        <v>3080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417</v>
      </c>
      <c r="D115" t="s">
        <v>418</v>
      </c>
      <c r="E115" s="8">
        <v>45968</v>
      </c>
      <c r="F115">
        <v>5</v>
      </c>
      <c r="G115">
        <v>1500</v>
      </c>
      <c r="H115">
        <v>26749</v>
      </c>
      <c r="I115">
        <v>7500</v>
      </c>
      <c r="J115">
        <v>19249</v>
      </c>
      <c r="K115" t="s">
        <v>1635</v>
      </c>
      <c r="L115">
        <v>1500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421</v>
      </c>
      <c r="D116" t="s">
        <v>422</v>
      </c>
      <c r="E116" s="8">
        <v>45961</v>
      </c>
      <c r="F116">
        <v>5</v>
      </c>
      <c r="G116">
        <v>4100</v>
      </c>
      <c r="H116">
        <v>70000</v>
      </c>
      <c r="I116">
        <v>18459</v>
      </c>
      <c r="J116">
        <v>51541</v>
      </c>
      <c r="K116" t="s">
        <v>1635</v>
      </c>
      <c r="L116">
        <v>4100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435</v>
      </c>
      <c r="D117" t="s">
        <v>436</v>
      </c>
      <c r="E117" s="8">
        <v>45968</v>
      </c>
      <c r="F117">
        <v>5</v>
      </c>
      <c r="G117">
        <v>826</v>
      </c>
      <c r="H117">
        <v>22053</v>
      </c>
      <c r="I117">
        <v>4130</v>
      </c>
      <c r="J117">
        <v>17923</v>
      </c>
      <c r="K117" t="s">
        <v>1635</v>
      </c>
      <c r="L117">
        <v>826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437</v>
      </c>
      <c r="D118" t="s">
        <v>438</v>
      </c>
      <c r="E118" s="8">
        <v>45961</v>
      </c>
      <c r="F118">
        <v>5</v>
      </c>
      <c r="G118">
        <v>3525</v>
      </c>
      <c r="H118">
        <v>105878</v>
      </c>
      <c r="I118">
        <v>17100</v>
      </c>
      <c r="J118">
        <v>88778</v>
      </c>
      <c r="K118" t="s">
        <v>1635</v>
      </c>
      <c r="L118">
        <v>3525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441</v>
      </c>
      <c r="D119" t="s">
        <v>442</v>
      </c>
      <c r="E119" s="8">
        <v>45968</v>
      </c>
      <c r="F119">
        <v>5</v>
      </c>
      <c r="G119">
        <v>2448</v>
      </c>
      <c r="H119">
        <v>79554</v>
      </c>
      <c r="I119">
        <v>11612</v>
      </c>
      <c r="J119">
        <v>67942</v>
      </c>
      <c r="K119" t="s">
        <v>1635</v>
      </c>
      <c r="L119">
        <v>2448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449</v>
      </c>
      <c r="D120" t="s">
        <v>450</v>
      </c>
      <c r="E120" s="8">
        <v>45968</v>
      </c>
      <c r="F120">
        <v>5</v>
      </c>
      <c r="G120">
        <v>1920</v>
      </c>
      <c r="H120">
        <v>69900</v>
      </c>
      <c r="I120">
        <v>9280</v>
      </c>
      <c r="J120">
        <v>60620</v>
      </c>
      <c r="K120" t="s">
        <v>1635</v>
      </c>
      <c r="L120">
        <v>1920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451</v>
      </c>
      <c r="D121" t="s">
        <v>452</v>
      </c>
      <c r="E121" s="8">
        <v>45961</v>
      </c>
      <c r="F121">
        <v>5</v>
      </c>
      <c r="G121">
        <v>2960</v>
      </c>
      <c r="H121">
        <v>106836</v>
      </c>
      <c r="I121">
        <v>11800</v>
      </c>
      <c r="J121">
        <v>95036</v>
      </c>
      <c r="K121" t="s">
        <v>1635</v>
      </c>
      <c r="L121">
        <v>2960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461</v>
      </c>
      <c r="D122" t="s">
        <v>462</v>
      </c>
      <c r="E122" s="8">
        <v>45961</v>
      </c>
      <c r="F122">
        <v>5</v>
      </c>
      <c r="G122">
        <v>2700</v>
      </c>
      <c r="H122">
        <v>78259</v>
      </c>
      <c r="I122">
        <v>13060</v>
      </c>
      <c r="J122">
        <v>65199</v>
      </c>
      <c r="K122" t="s">
        <v>1635</v>
      </c>
      <c r="L122">
        <v>2700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465</v>
      </c>
      <c r="D123" t="s">
        <v>466</v>
      </c>
      <c r="E123" s="8">
        <v>45968</v>
      </c>
      <c r="F123">
        <v>5</v>
      </c>
      <c r="G123">
        <v>3705</v>
      </c>
      <c r="H123">
        <v>112715</v>
      </c>
      <c r="I123">
        <v>17420</v>
      </c>
      <c r="J123">
        <v>95295</v>
      </c>
      <c r="K123" t="s">
        <v>1635</v>
      </c>
      <c r="L123">
        <v>3705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467</v>
      </c>
      <c r="D124" t="s">
        <v>468</v>
      </c>
      <c r="E124" s="8">
        <v>45968</v>
      </c>
      <c r="F124">
        <v>5</v>
      </c>
      <c r="G124">
        <v>1320</v>
      </c>
      <c r="H124">
        <v>22853</v>
      </c>
      <c r="I124">
        <v>6600</v>
      </c>
      <c r="J124">
        <v>16253</v>
      </c>
      <c r="K124" t="s">
        <v>1635</v>
      </c>
      <c r="L124">
        <v>1320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483</v>
      </c>
      <c r="D125" t="s">
        <v>484</v>
      </c>
      <c r="E125" s="8">
        <v>45968</v>
      </c>
      <c r="F125">
        <v>5</v>
      </c>
      <c r="G125">
        <v>603</v>
      </c>
      <c r="H125">
        <v>137380</v>
      </c>
      <c r="I125">
        <v>17323</v>
      </c>
      <c r="J125">
        <v>120057</v>
      </c>
      <c r="K125" t="s">
        <v>1635</v>
      </c>
      <c r="L125">
        <v>603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491</v>
      </c>
      <c r="D126" t="s">
        <v>492</v>
      </c>
      <c r="E126" s="8">
        <v>45968</v>
      </c>
      <c r="F126">
        <v>5</v>
      </c>
      <c r="G126">
        <v>4450</v>
      </c>
      <c r="H126">
        <v>132000</v>
      </c>
      <c r="I126">
        <v>19850</v>
      </c>
      <c r="J126">
        <v>112150</v>
      </c>
      <c r="K126" t="s">
        <v>1635</v>
      </c>
      <c r="L126">
        <v>4450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495</v>
      </c>
      <c r="D127" t="s">
        <v>496</v>
      </c>
      <c r="E127" s="8">
        <v>45968</v>
      </c>
      <c r="F127">
        <v>5</v>
      </c>
      <c r="G127">
        <v>1365</v>
      </c>
      <c r="H127">
        <v>24963</v>
      </c>
      <c r="I127">
        <v>6825</v>
      </c>
      <c r="J127">
        <v>18138</v>
      </c>
      <c r="K127" t="s">
        <v>1635</v>
      </c>
      <c r="L127">
        <v>1365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501</v>
      </c>
      <c r="D128" t="s">
        <v>502</v>
      </c>
      <c r="E128" s="8">
        <v>45968</v>
      </c>
      <c r="F128">
        <v>5</v>
      </c>
      <c r="G128">
        <v>3300</v>
      </c>
      <c r="H128">
        <v>99900</v>
      </c>
      <c r="I128">
        <v>15600</v>
      </c>
      <c r="J128">
        <v>84300</v>
      </c>
      <c r="K128" t="s">
        <v>1635</v>
      </c>
      <c r="L128">
        <v>3300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511</v>
      </c>
      <c r="D129" t="s">
        <v>512</v>
      </c>
      <c r="E129" s="8">
        <v>45968</v>
      </c>
      <c r="F129">
        <v>5</v>
      </c>
      <c r="G129">
        <v>2967</v>
      </c>
      <c r="H129">
        <v>90192</v>
      </c>
      <c r="I129">
        <v>13588</v>
      </c>
      <c r="J129">
        <v>76604</v>
      </c>
      <c r="K129" t="s">
        <v>1635</v>
      </c>
      <c r="L129">
        <v>2967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515</v>
      </c>
      <c r="D130" t="s">
        <v>516</v>
      </c>
      <c r="E130" s="8">
        <v>45961</v>
      </c>
      <c r="F130">
        <v>5</v>
      </c>
      <c r="G130">
        <v>2800</v>
      </c>
      <c r="H130">
        <v>50038</v>
      </c>
      <c r="I130">
        <v>14000</v>
      </c>
      <c r="J130">
        <v>36038</v>
      </c>
      <c r="K130" t="s">
        <v>1635</v>
      </c>
      <c r="L130">
        <v>2800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517</v>
      </c>
      <c r="D131" t="s">
        <v>518</v>
      </c>
      <c r="E131" s="8">
        <v>45961</v>
      </c>
      <c r="F131">
        <v>5</v>
      </c>
      <c r="G131">
        <v>2500</v>
      </c>
      <c r="H131">
        <v>44480</v>
      </c>
      <c r="I131">
        <v>10000</v>
      </c>
      <c r="J131">
        <v>34480</v>
      </c>
      <c r="K131" t="s">
        <v>1635</v>
      </c>
      <c r="L131">
        <v>2500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521</v>
      </c>
      <c r="D132" t="s">
        <v>522</v>
      </c>
      <c r="E132" s="8">
        <v>45968</v>
      </c>
      <c r="F132">
        <v>5</v>
      </c>
      <c r="G132">
        <v>1302</v>
      </c>
      <c r="H132">
        <v>23001</v>
      </c>
      <c r="I132">
        <v>6510</v>
      </c>
      <c r="J132">
        <v>16491</v>
      </c>
      <c r="K132" t="s">
        <v>1635</v>
      </c>
      <c r="L132">
        <v>1302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523</v>
      </c>
      <c r="D133" t="s">
        <v>524</v>
      </c>
      <c r="E133" s="8">
        <v>45968</v>
      </c>
      <c r="F133">
        <v>5</v>
      </c>
      <c r="G133">
        <v>1755</v>
      </c>
      <c r="H133">
        <v>31400</v>
      </c>
      <c r="I133">
        <v>8775</v>
      </c>
      <c r="J133">
        <v>22625</v>
      </c>
      <c r="K133" t="s">
        <v>1635</v>
      </c>
      <c r="L133">
        <v>1755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535</v>
      </c>
      <c r="D134" t="s">
        <v>536</v>
      </c>
      <c r="E134" s="8">
        <v>45961</v>
      </c>
      <c r="F134">
        <v>5</v>
      </c>
      <c r="G134">
        <v>3256</v>
      </c>
      <c r="H134">
        <v>98799</v>
      </c>
      <c r="I134">
        <v>14504</v>
      </c>
      <c r="J134">
        <v>84295</v>
      </c>
      <c r="K134" t="s">
        <v>1635</v>
      </c>
      <c r="L134">
        <v>3256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546</v>
      </c>
      <c r="D135" t="s">
        <v>547</v>
      </c>
      <c r="E135" s="8">
        <v>45968</v>
      </c>
      <c r="F135">
        <v>5</v>
      </c>
      <c r="G135">
        <v>1620</v>
      </c>
      <c r="H135">
        <v>27862</v>
      </c>
      <c r="I135">
        <v>7637</v>
      </c>
      <c r="J135">
        <v>20225</v>
      </c>
      <c r="K135" t="s">
        <v>1635</v>
      </c>
      <c r="L135">
        <v>1620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558</v>
      </c>
      <c r="D136" t="s">
        <v>559</v>
      </c>
      <c r="E136" s="8">
        <v>45968</v>
      </c>
      <c r="F136">
        <v>5</v>
      </c>
      <c r="G136">
        <v>1440</v>
      </c>
      <c r="H136">
        <v>25912</v>
      </c>
      <c r="I136">
        <v>7200</v>
      </c>
      <c r="J136">
        <v>18712</v>
      </c>
      <c r="K136" t="s">
        <v>1635</v>
      </c>
      <c r="L136">
        <v>1440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590</v>
      </c>
      <c r="D137" t="s">
        <v>591</v>
      </c>
      <c r="E137" s="8">
        <v>45968</v>
      </c>
      <c r="F137">
        <v>5</v>
      </c>
      <c r="G137">
        <v>1491</v>
      </c>
      <c r="H137">
        <v>27758</v>
      </c>
      <c r="I137">
        <v>7455</v>
      </c>
      <c r="J137">
        <v>20303</v>
      </c>
      <c r="K137" t="s">
        <v>1635</v>
      </c>
      <c r="L137">
        <v>1491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596</v>
      </c>
      <c r="D138" t="s">
        <v>597</v>
      </c>
      <c r="E138" s="8">
        <v>45968</v>
      </c>
      <c r="F138">
        <v>5</v>
      </c>
      <c r="G138">
        <v>3567</v>
      </c>
      <c r="H138">
        <v>107595</v>
      </c>
      <c r="I138">
        <v>15958</v>
      </c>
      <c r="J138">
        <v>91637</v>
      </c>
      <c r="K138" t="s">
        <v>1635</v>
      </c>
      <c r="L138">
        <v>3567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606</v>
      </c>
      <c r="D139" t="s">
        <v>1650</v>
      </c>
      <c r="E139" s="8">
        <v>45961</v>
      </c>
      <c r="F139">
        <v>5</v>
      </c>
      <c r="G139">
        <v>1080</v>
      </c>
      <c r="H139">
        <v>19087</v>
      </c>
      <c r="I139">
        <v>5400</v>
      </c>
      <c r="J139">
        <v>13687</v>
      </c>
      <c r="K139" t="s">
        <v>1635</v>
      </c>
      <c r="L139">
        <v>1080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620</v>
      </c>
      <c r="D140" t="s">
        <v>621</v>
      </c>
      <c r="E140" s="8">
        <v>45968</v>
      </c>
      <c r="F140">
        <v>5</v>
      </c>
      <c r="G140">
        <v>1350</v>
      </c>
      <c r="H140">
        <v>24498</v>
      </c>
      <c r="I140">
        <v>6750</v>
      </c>
      <c r="J140">
        <v>17748</v>
      </c>
      <c r="K140" t="s">
        <v>1635</v>
      </c>
      <c r="L140">
        <v>1350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632</v>
      </c>
      <c r="D141" t="s">
        <v>633</v>
      </c>
      <c r="E141" s="8">
        <v>45968</v>
      </c>
      <c r="F141">
        <v>5</v>
      </c>
      <c r="G141">
        <v>2928</v>
      </c>
      <c r="H141">
        <v>85000</v>
      </c>
      <c r="I141">
        <v>13732</v>
      </c>
      <c r="J141">
        <v>71268</v>
      </c>
      <c r="K141" t="s">
        <v>1635</v>
      </c>
      <c r="L141">
        <v>2928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646</v>
      </c>
      <c r="D142" t="s">
        <v>1652</v>
      </c>
      <c r="E142" s="8">
        <v>45968</v>
      </c>
      <c r="F142">
        <v>5</v>
      </c>
      <c r="G142">
        <v>123</v>
      </c>
      <c r="H142">
        <v>83705</v>
      </c>
      <c r="I142">
        <v>10423</v>
      </c>
      <c r="J142">
        <v>73282</v>
      </c>
      <c r="K142" t="s">
        <v>1635</v>
      </c>
      <c r="L142">
        <v>123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659</v>
      </c>
      <c r="D143" t="s">
        <v>660</v>
      </c>
      <c r="E143" s="8">
        <v>45968</v>
      </c>
      <c r="F143">
        <v>5</v>
      </c>
      <c r="G143">
        <v>1360</v>
      </c>
      <c r="H143">
        <v>24696</v>
      </c>
      <c r="I143">
        <v>6800</v>
      </c>
      <c r="J143">
        <v>17896</v>
      </c>
      <c r="K143" t="s">
        <v>1635</v>
      </c>
      <c r="L143">
        <v>1360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671</v>
      </c>
      <c r="D144" t="s">
        <v>672</v>
      </c>
      <c r="E144" s="8">
        <v>45968</v>
      </c>
      <c r="F144">
        <v>5</v>
      </c>
      <c r="G144">
        <v>3360</v>
      </c>
      <c r="H144">
        <v>100000</v>
      </c>
      <c r="I144">
        <v>16800</v>
      </c>
      <c r="J144">
        <v>83200</v>
      </c>
      <c r="K144" t="s">
        <v>1635</v>
      </c>
      <c r="L144">
        <v>3360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704</v>
      </c>
      <c r="D145" t="s">
        <v>705</v>
      </c>
      <c r="E145" s="8">
        <v>45968</v>
      </c>
      <c r="F145">
        <v>5</v>
      </c>
      <c r="G145">
        <v>135</v>
      </c>
      <c r="H145">
        <v>76656</v>
      </c>
      <c r="I145">
        <v>9495</v>
      </c>
      <c r="J145">
        <v>67161</v>
      </c>
      <c r="K145" t="s">
        <v>1635</v>
      </c>
      <c r="L145">
        <v>135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790</v>
      </c>
      <c r="D146" t="s">
        <v>791</v>
      </c>
      <c r="E146" s="8">
        <v>45968</v>
      </c>
      <c r="F146">
        <v>5</v>
      </c>
      <c r="G146">
        <v>3780</v>
      </c>
      <c r="H146">
        <v>115818</v>
      </c>
      <c r="I146">
        <v>17520</v>
      </c>
      <c r="J146">
        <v>98298</v>
      </c>
      <c r="K146" t="s">
        <v>1635</v>
      </c>
      <c r="L146">
        <v>3780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61</v>
      </c>
      <c r="D147" t="s">
        <v>62</v>
      </c>
      <c r="E147" s="8">
        <v>45968</v>
      </c>
      <c r="F147">
        <v>6</v>
      </c>
      <c r="G147">
        <v>2992</v>
      </c>
      <c r="H147">
        <v>93250</v>
      </c>
      <c r="I147">
        <v>17353.330000000002</v>
      </c>
      <c r="J147">
        <v>75896.67</v>
      </c>
      <c r="K147" t="s">
        <v>1635</v>
      </c>
      <c r="L147">
        <v>2992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71</v>
      </c>
      <c r="D148" t="s">
        <v>72</v>
      </c>
      <c r="E148" s="8">
        <v>45961</v>
      </c>
      <c r="F148">
        <v>6</v>
      </c>
      <c r="G148">
        <v>2415</v>
      </c>
      <c r="H148">
        <v>74625</v>
      </c>
      <c r="I148">
        <v>14087.5</v>
      </c>
      <c r="J148">
        <v>60537.5</v>
      </c>
      <c r="K148" t="s">
        <v>1635</v>
      </c>
      <c r="L148">
        <v>2415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106</v>
      </c>
      <c r="D149" t="s">
        <v>107</v>
      </c>
      <c r="E149" s="8">
        <v>45968</v>
      </c>
      <c r="F149">
        <v>6</v>
      </c>
      <c r="G149">
        <v>2926</v>
      </c>
      <c r="H149">
        <v>91996</v>
      </c>
      <c r="I149">
        <v>17556</v>
      </c>
      <c r="J149">
        <v>74440</v>
      </c>
      <c r="K149" t="s">
        <v>1635</v>
      </c>
      <c r="L149">
        <v>2926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108</v>
      </c>
      <c r="D150" t="s">
        <v>109</v>
      </c>
      <c r="E150" s="8">
        <v>45968</v>
      </c>
      <c r="F150">
        <v>6</v>
      </c>
      <c r="G150">
        <v>2709</v>
      </c>
      <c r="H150">
        <v>85845</v>
      </c>
      <c r="I150">
        <v>15915</v>
      </c>
      <c r="J150">
        <v>69930</v>
      </c>
      <c r="K150" t="s">
        <v>1635</v>
      </c>
      <c r="L150">
        <v>2709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123</v>
      </c>
      <c r="D151" t="s">
        <v>124</v>
      </c>
      <c r="E151" s="8">
        <v>45968</v>
      </c>
      <c r="F151">
        <v>6</v>
      </c>
      <c r="G151">
        <v>2700</v>
      </c>
      <c r="H151">
        <v>78148</v>
      </c>
      <c r="I151">
        <v>15075</v>
      </c>
      <c r="J151">
        <v>63073</v>
      </c>
      <c r="K151" t="s">
        <v>1635</v>
      </c>
      <c r="L151">
        <v>2700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125</v>
      </c>
      <c r="D152" t="s">
        <v>126</v>
      </c>
      <c r="E152" s="8">
        <v>45961</v>
      </c>
      <c r="F152">
        <v>6</v>
      </c>
      <c r="G152">
        <v>2774</v>
      </c>
      <c r="H152">
        <v>84023</v>
      </c>
      <c r="I152">
        <v>16546.669999999998</v>
      </c>
      <c r="J152">
        <v>67476.33</v>
      </c>
      <c r="K152" t="s">
        <v>1635</v>
      </c>
      <c r="L152">
        <v>2774</v>
      </c>
      <c r="M152" t="s">
        <v>1635</v>
      </c>
      <c r="N152">
        <v>0</v>
      </c>
    </row>
    <row r="153" spans="1:14">
      <c r="A153">
        <v>1</v>
      </c>
      <c r="B153" t="s">
        <v>15</v>
      </c>
      <c r="C153" t="s">
        <v>145</v>
      </c>
      <c r="D153" t="s">
        <v>146</v>
      </c>
      <c r="E153" s="8">
        <v>45968</v>
      </c>
      <c r="F153">
        <v>6</v>
      </c>
      <c r="G153">
        <v>2237.1999999999998</v>
      </c>
      <c r="H153">
        <v>78000</v>
      </c>
      <c r="I153">
        <v>13423.2</v>
      </c>
      <c r="J153">
        <v>64576.800000000003</v>
      </c>
      <c r="K153" t="s">
        <v>1635</v>
      </c>
      <c r="L153">
        <v>2237.1999999999998</v>
      </c>
      <c r="M153" t="s">
        <v>1635</v>
      </c>
      <c r="N153">
        <v>0</v>
      </c>
    </row>
    <row r="154" spans="1:14">
      <c r="A154">
        <v>1</v>
      </c>
      <c r="B154" t="s">
        <v>15</v>
      </c>
      <c r="C154" t="s">
        <v>354</v>
      </c>
      <c r="D154" t="s">
        <v>355</v>
      </c>
      <c r="E154" s="8">
        <v>45968</v>
      </c>
      <c r="F154">
        <v>6</v>
      </c>
      <c r="G154">
        <v>3976</v>
      </c>
      <c r="H154">
        <v>117000</v>
      </c>
      <c r="I154">
        <v>22770</v>
      </c>
      <c r="J154">
        <v>94230</v>
      </c>
      <c r="K154" t="s">
        <v>1635</v>
      </c>
      <c r="L154">
        <v>3976</v>
      </c>
      <c r="M154" t="s">
        <v>1635</v>
      </c>
      <c r="N154">
        <v>0</v>
      </c>
    </row>
    <row r="155" spans="1:14">
      <c r="A155">
        <v>1</v>
      </c>
      <c r="B155" t="s">
        <v>15</v>
      </c>
      <c r="C155" t="s">
        <v>362</v>
      </c>
      <c r="D155" t="s">
        <v>363</v>
      </c>
      <c r="E155" s="8">
        <v>45968</v>
      </c>
      <c r="F155">
        <v>6</v>
      </c>
      <c r="G155">
        <v>2035.5</v>
      </c>
      <c r="H155">
        <v>59000</v>
      </c>
      <c r="I155">
        <v>11632.5</v>
      </c>
      <c r="J155">
        <v>47367.5</v>
      </c>
      <c r="K155" t="s">
        <v>1635</v>
      </c>
      <c r="L155">
        <v>2035.5</v>
      </c>
      <c r="M155" t="s">
        <v>1635</v>
      </c>
      <c r="N155">
        <v>0</v>
      </c>
    </row>
    <row r="156" spans="1:14">
      <c r="A156">
        <v>1</v>
      </c>
      <c r="B156" t="s">
        <v>15</v>
      </c>
      <c r="C156" t="s">
        <v>368</v>
      </c>
      <c r="D156" t="s">
        <v>369</v>
      </c>
      <c r="E156" s="8">
        <v>45968</v>
      </c>
      <c r="F156">
        <v>6</v>
      </c>
      <c r="G156">
        <v>1615</v>
      </c>
      <c r="H156">
        <v>28553</v>
      </c>
      <c r="I156">
        <v>9690</v>
      </c>
      <c r="J156">
        <v>18863</v>
      </c>
      <c r="K156" t="s">
        <v>1635</v>
      </c>
      <c r="L156">
        <v>1615</v>
      </c>
      <c r="M156" t="s">
        <v>1635</v>
      </c>
      <c r="N156">
        <v>0</v>
      </c>
    </row>
    <row r="157" spans="1:14">
      <c r="A157">
        <v>1</v>
      </c>
      <c r="B157" t="s">
        <v>15</v>
      </c>
      <c r="C157" t="s">
        <v>383</v>
      </c>
      <c r="D157" t="s">
        <v>384</v>
      </c>
      <c r="E157" s="8">
        <v>45968</v>
      </c>
      <c r="F157">
        <v>6</v>
      </c>
      <c r="G157">
        <v>1540</v>
      </c>
      <c r="H157">
        <v>44340</v>
      </c>
      <c r="I157">
        <v>7700</v>
      </c>
      <c r="J157">
        <v>36640</v>
      </c>
      <c r="K157" t="s">
        <v>1635</v>
      </c>
      <c r="L157">
        <v>1540</v>
      </c>
      <c r="M157" t="s">
        <v>1635</v>
      </c>
      <c r="N157">
        <v>0</v>
      </c>
    </row>
    <row r="158" spans="1:14">
      <c r="A158">
        <v>1</v>
      </c>
      <c r="B158" t="s">
        <v>15</v>
      </c>
      <c r="C158" t="s">
        <v>389</v>
      </c>
      <c r="D158" t="s">
        <v>390</v>
      </c>
      <c r="E158" s="8">
        <v>45961</v>
      </c>
      <c r="F158">
        <v>6</v>
      </c>
      <c r="G158">
        <v>2397</v>
      </c>
      <c r="H158">
        <v>86683</v>
      </c>
      <c r="I158">
        <v>11609</v>
      </c>
      <c r="J158">
        <v>75074</v>
      </c>
      <c r="K158" t="s">
        <v>1635</v>
      </c>
      <c r="L158">
        <v>2397</v>
      </c>
      <c r="M158" t="s">
        <v>1635</v>
      </c>
      <c r="N158">
        <v>0</v>
      </c>
    </row>
    <row r="159" spans="1:14">
      <c r="A159">
        <v>1</v>
      </c>
      <c r="B159" t="s">
        <v>15</v>
      </c>
      <c r="C159" t="s">
        <v>407</v>
      </c>
      <c r="D159" t="s">
        <v>408</v>
      </c>
      <c r="E159" s="8">
        <v>45968</v>
      </c>
      <c r="F159">
        <v>6</v>
      </c>
      <c r="G159">
        <v>3375</v>
      </c>
      <c r="H159">
        <v>98000</v>
      </c>
      <c r="I159">
        <v>15805</v>
      </c>
      <c r="J159">
        <v>82195</v>
      </c>
      <c r="K159" t="s">
        <v>1635</v>
      </c>
      <c r="L159">
        <v>3375</v>
      </c>
      <c r="M159" t="s">
        <v>1635</v>
      </c>
      <c r="N159">
        <v>0</v>
      </c>
    </row>
    <row r="160" spans="1:14">
      <c r="A160">
        <v>1</v>
      </c>
      <c r="B160" t="s">
        <v>15</v>
      </c>
      <c r="C160" t="s">
        <v>433</v>
      </c>
      <c r="D160" t="s">
        <v>434</v>
      </c>
      <c r="E160" s="8">
        <v>45968</v>
      </c>
      <c r="F160">
        <v>6</v>
      </c>
      <c r="G160">
        <v>2460</v>
      </c>
      <c r="H160">
        <v>76000</v>
      </c>
      <c r="I160">
        <v>14966</v>
      </c>
      <c r="J160">
        <v>61034</v>
      </c>
      <c r="K160" t="s">
        <v>1635</v>
      </c>
      <c r="L160">
        <v>2460</v>
      </c>
      <c r="M160" t="s">
        <v>1635</v>
      </c>
      <c r="N160">
        <v>0</v>
      </c>
    </row>
    <row r="161" spans="1:14">
      <c r="A161">
        <v>1</v>
      </c>
      <c r="B161" t="s">
        <v>15</v>
      </c>
      <c r="C161" t="s">
        <v>546</v>
      </c>
      <c r="D161" t="s">
        <v>547</v>
      </c>
      <c r="E161" s="8">
        <v>45968</v>
      </c>
      <c r="F161">
        <v>6</v>
      </c>
      <c r="G161">
        <v>27</v>
      </c>
      <c r="H161">
        <v>27862</v>
      </c>
      <c r="I161">
        <v>7637</v>
      </c>
      <c r="J161">
        <v>20225</v>
      </c>
      <c r="K161" t="s">
        <v>1635</v>
      </c>
      <c r="L161">
        <v>27</v>
      </c>
      <c r="M161" t="s">
        <v>1635</v>
      </c>
      <c r="N161">
        <v>0</v>
      </c>
    </row>
    <row r="162" spans="1:14">
      <c r="A162">
        <v>1</v>
      </c>
      <c r="B162" t="s">
        <v>15</v>
      </c>
      <c r="C162" t="s">
        <v>634</v>
      </c>
      <c r="D162" t="s">
        <v>635</v>
      </c>
      <c r="E162" s="8">
        <v>45968</v>
      </c>
      <c r="F162">
        <v>6</v>
      </c>
      <c r="G162">
        <v>1399.92</v>
      </c>
      <c r="H162">
        <v>24606</v>
      </c>
      <c r="I162">
        <v>8399.52</v>
      </c>
      <c r="J162">
        <v>16206.48</v>
      </c>
      <c r="K162" t="s">
        <v>1635</v>
      </c>
      <c r="L162">
        <v>1399.92</v>
      </c>
      <c r="M162" t="s">
        <v>1635</v>
      </c>
      <c r="N162">
        <v>0</v>
      </c>
    </row>
    <row r="163" spans="1:14">
      <c r="A163">
        <v>1</v>
      </c>
      <c r="B163" t="s">
        <v>15</v>
      </c>
      <c r="C163" t="s">
        <v>26</v>
      </c>
      <c r="D163" t="s">
        <v>27</v>
      </c>
      <c r="E163" s="8">
        <v>45961</v>
      </c>
      <c r="F163">
        <v>7</v>
      </c>
      <c r="G163">
        <v>2314</v>
      </c>
      <c r="H163">
        <v>61372</v>
      </c>
      <c r="I163">
        <v>11570</v>
      </c>
      <c r="J163">
        <v>49802</v>
      </c>
      <c r="K163" t="s">
        <v>1635</v>
      </c>
      <c r="L163">
        <v>2314</v>
      </c>
      <c r="M163" t="s">
        <v>1635</v>
      </c>
      <c r="N163">
        <v>0</v>
      </c>
    </row>
    <row r="164" spans="1:14">
      <c r="A164">
        <v>1</v>
      </c>
      <c r="B164" t="s">
        <v>15</v>
      </c>
      <c r="C164" t="s">
        <v>34</v>
      </c>
      <c r="D164" t="s">
        <v>35</v>
      </c>
      <c r="E164" s="8">
        <v>45961</v>
      </c>
      <c r="F164">
        <v>7</v>
      </c>
      <c r="G164">
        <v>3709.8</v>
      </c>
      <c r="H164">
        <v>109806</v>
      </c>
      <c r="I164">
        <v>23978.129999999899</v>
      </c>
      <c r="J164">
        <v>85827.87</v>
      </c>
      <c r="K164" t="s">
        <v>1635</v>
      </c>
      <c r="L164">
        <v>3709.8</v>
      </c>
      <c r="M164" t="s">
        <v>1635</v>
      </c>
      <c r="N164">
        <v>0</v>
      </c>
    </row>
    <row r="165" spans="1:14">
      <c r="A165">
        <v>1</v>
      </c>
      <c r="B165" t="s">
        <v>15</v>
      </c>
      <c r="C165" t="s">
        <v>77</v>
      </c>
      <c r="D165" t="s">
        <v>78</v>
      </c>
      <c r="E165" s="8">
        <v>45961</v>
      </c>
      <c r="F165">
        <v>7</v>
      </c>
      <c r="G165">
        <v>4165</v>
      </c>
      <c r="H165">
        <v>78585</v>
      </c>
      <c r="I165">
        <v>24058</v>
      </c>
      <c r="J165">
        <v>54527</v>
      </c>
      <c r="K165" t="s">
        <v>1635</v>
      </c>
      <c r="L165">
        <v>4165</v>
      </c>
      <c r="M165" t="s">
        <v>1635</v>
      </c>
      <c r="N165">
        <v>0</v>
      </c>
    </row>
    <row r="166" spans="1:14">
      <c r="A166">
        <v>1</v>
      </c>
      <c r="B166" t="s">
        <v>15</v>
      </c>
      <c r="C166" t="s">
        <v>312</v>
      </c>
      <c r="D166" t="s">
        <v>313</v>
      </c>
      <c r="E166" s="8">
        <v>45968</v>
      </c>
      <c r="F166">
        <v>8</v>
      </c>
      <c r="G166">
        <v>1782</v>
      </c>
      <c r="H166">
        <v>52000</v>
      </c>
      <c r="I166">
        <v>14256</v>
      </c>
      <c r="J166">
        <v>37744</v>
      </c>
      <c r="K166" t="s">
        <v>1635</v>
      </c>
      <c r="L166">
        <v>1782</v>
      </c>
      <c r="M166" t="s">
        <v>1635</v>
      </c>
      <c r="N166">
        <v>0</v>
      </c>
    </row>
    <row r="167" spans="1:14">
      <c r="A167">
        <v>1</v>
      </c>
      <c r="B167" t="s">
        <v>15</v>
      </c>
      <c r="C167" t="s">
        <v>316</v>
      </c>
      <c r="D167" t="s">
        <v>317</v>
      </c>
      <c r="E167" s="8">
        <v>45968</v>
      </c>
      <c r="F167">
        <v>8</v>
      </c>
      <c r="G167">
        <v>2790</v>
      </c>
      <c r="H167">
        <v>77507.5</v>
      </c>
      <c r="I167">
        <v>13950</v>
      </c>
      <c r="J167">
        <v>63557.5</v>
      </c>
      <c r="K167" t="s">
        <v>1635</v>
      </c>
      <c r="L167">
        <v>2790</v>
      </c>
      <c r="M167" t="s">
        <v>1635</v>
      </c>
      <c r="N167">
        <v>0</v>
      </c>
    </row>
  </sheetData>
  <autoFilter ref="A1:N167" xr:uid="{E70F454E-AB9D-4406-ACCC-700E4EF2E34E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3BD9-483D-45FF-8A4D-985B2F8BCD21}">
  <dimension ref="A1:N214"/>
  <sheetViews>
    <sheetView workbookViewId="0">
      <selection activeCell="M2" sqref="M2"/>
    </sheetView>
  </sheetViews>
  <sheetFormatPr baseColWidth="10" defaultColWidth="8.83203125" defaultRowHeight="14"/>
  <cols>
    <col min="5" max="5" width="18.33203125" bestFit="1" customWidth="1"/>
    <col min="9" max="10" width="16.1640625" bestFit="1" customWidth="1"/>
    <col min="11" max="11" width="13.83203125" bestFit="1" customWidth="1"/>
    <col min="12" max="12" width="18.33203125" bestFit="1" customWidth="1"/>
    <col min="13" max="13" width="13.8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32</v>
      </c>
      <c r="D2" t="s">
        <v>33</v>
      </c>
      <c r="E2" s="8">
        <v>45975</v>
      </c>
      <c r="F2">
        <v>3</v>
      </c>
      <c r="G2">
        <v>9263</v>
      </c>
      <c r="H2">
        <v>164000</v>
      </c>
      <c r="I2">
        <v>27789</v>
      </c>
      <c r="J2">
        <v>136211</v>
      </c>
      <c r="K2" t="s">
        <v>1635</v>
      </c>
      <c r="L2">
        <v>9263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636</v>
      </c>
      <c r="D3" t="s">
        <v>637</v>
      </c>
      <c r="E3" s="8">
        <v>45975</v>
      </c>
      <c r="F3">
        <v>3</v>
      </c>
      <c r="G3">
        <v>1300</v>
      </c>
      <c r="H3">
        <v>23000</v>
      </c>
      <c r="I3">
        <v>3900</v>
      </c>
      <c r="J3">
        <v>19100</v>
      </c>
      <c r="K3" t="s">
        <v>1635</v>
      </c>
      <c r="L3">
        <v>1300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667</v>
      </c>
      <c r="D4" t="s">
        <v>668</v>
      </c>
      <c r="E4" s="8">
        <v>45975</v>
      </c>
      <c r="F4">
        <v>3</v>
      </c>
      <c r="G4">
        <v>2923</v>
      </c>
      <c r="H4">
        <v>84279</v>
      </c>
      <c r="I4">
        <v>8769</v>
      </c>
      <c r="J4">
        <v>75510</v>
      </c>
      <c r="K4" t="s">
        <v>1635</v>
      </c>
      <c r="L4">
        <v>2923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684</v>
      </c>
      <c r="D5" t="s">
        <v>685</v>
      </c>
      <c r="E5" s="8">
        <v>45975</v>
      </c>
      <c r="F5">
        <v>3</v>
      </c>
      <c r="G5">
        <v>2225</v>
      </c>
      <c r="H5">
        <v>67500</v>
      </c>
      <c r="I5">
        <v>5450</v>
      </c>
      <c r="J5">
        <v>62050</v>
      </c>
      <c r="K5" t="s">
        <v>1635</v>
      </c>
      <c r="L5">
        <v>2225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761</v>
      </c>
      <c r="D6" t="s">
        <v>762</v>
      </c>
      <c r="E6" s="8">
        <v>45975</v>
      </c>
      <c r="F6">
        <v>3</v>
      </c>
      <c r="G6">
        <v>3550</v>
      </c>
      <c r="H6">
        <v>105700</v>
      </c>
      <c r="I6">
        <v>9100</v>
      </c>
      <c r="J6">
        <v>96600</v>
      </c>
      <c r="K6" t="s">
        <v>1635</v>
      </c>
      <c r="L6">
        <v>3550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792</v>
      </c>
      <c r="D7" t="s">
        <v>793</v>
      </c>
      <c r="E7" s="8">
        <v>45982</v>
      </c>
      <c r="F7">
        <v>3</v>
      </c>
      <c r="G7">
        <v>4620</v>
      </c>
      <c r="H7">
        <v>137000</v>
      </c>
      <c r="I7">
        <v>12040</v>
      </c>
      <c r="J7">
        <v>124960</v>
      </c>
      <c r="K7" t="s">
        <v>1635</v>
      </c>
      <c r="L7">
        <v>4620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18</v>
      </c>
      <c r="D8" t="s">
        <v>19</v>
      </c>
      <c r="E8" s="8">
        <v>45982</v>
      </c>
      <c r="F8">
        <v>4</v>
      </c>
      <c r="G8">
        <v>1211.33</v>
      </c>
      <c r="H8">
        <v>49162</v>
      </c>
      <c r="I8">
        <v>4845.32</v>
      </c>
      <c r="J8">
        <v>44316.68</v>
      </c>
      <c r="K8" t="s">
        <v>1635</v>
      </c>
      <c r="L8">
        <v>1211.33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22</v>
      </c>
      <c r="D9" t="s">
        <v>23</v>
      </c>
      <c r="E9" s="8">
        <v>45982</v>
      </c>
      <c r="F9">
        <v>4</v>
      </c>
      <c r="G9">
        <v>2420</v>
      </c>
      <c r="H9">
        <v>50000</v>
      </c>
      <c r="I9">
        <v>9680</v>
      </c>
      <c r="J9">
        <v>40320</v>
      </c>
      <c r="K9" t="s">
        <v>1635</v>
      </c>
      <c r="L9">
        <v>2420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199</v>
      </c>
      <c r="D10" t="s">
        <v>200</v>
      </c>
      <c r="E10" s="8">
        <v>45975</v>
      </c>
      <c r="F10">
        <v>4</v>
      </c>
      <c r="G10">
        <v>4080</v>
      </c>
      <c r="H10">
        <v>79275</v>
      </c>
      <c r="I10">
        <v>15190</v>
      </c>
      <c r="J10">
        <v>64085</v>
      </c>
      <c r="K10" t="s">
        <v>1635</v>
      </c>
      <c r="L10">
        <v>4080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234</v>
      </c>
      <c r="D11" t="s">
        <v>235</v>
      </c>
      <c r="E11" s="8">
        <v>45975</v>
      </c>
      <c r="F11">
        <v>4</v>
      </c>
      <c r="G11">
        <v>2850</v>
      </c>
      <c r="H11">
        <v>85800</v>
      </c>
      <c r="I11">
        <v>11300</v>
      </c>
      <c r="J11">
        <v>74500</v>
      </c>
      <c r="K11" t="s">
        <v>1635</v>
      </c>
      <c r="L11">
        <v>2850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248</v>
      </c>
      <c r="D12" t="s">
        <v>249</v>
      </c>
      <c r="E12" s="8">
        <v>45975</v>
      </c>
      <c r="F12">
        <v>4</v>
      </c>
      <c r="G12">
        <v>2940</v>
      </c>
      <c r="H12">
        <v>77000</v>
      </c>
      <c r="I12">
        <v>10350</v>
      </c>
      <c r="J12">
        <v>66650</v>
      </c>
      <c r="K12" t="s">
        <v>1635</v>
      </c>
      <c r="L12">
        <v>2940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252</v>
      </c>
      <c r="D13" t="s">
        <v>253</v>
      </c>
      <c r="E13" s="8">
        <v>45975</v>
      </c>
      <c r="F13">
        <v>4</v>
      </c>
      <c r="G13">
        <v>2409</v>
      </c>
      <c r="H13">
        <v>74625</v>
      </c>
      <c r="I13">
        <v>9636</v>
      </c>
      <c r="J13">
        <v>64989</v>
      </c>
      <c r="K13" t="s">
        <v>1635</v>
      </c>
      <c r="L13">
        <v>2409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254</v>
      </c>
      <c r="D14" t="s">
        <v>255</v>
      </c>
      <c r="E14" s="8">
        <v>45982</v>
      </c>
      <c r="F14">
        <v>4</v>
      </c>
      <c r="G14">
        <v>3840</v>
      </c>
      <c r="H14">
        <v>115413</v>
      </c>
      <c r="I14">
        <v>15360</v>
      </c>
      <c r="J14">
        <v>100053</v>
      </c>
      <c r="K14" t="s">
        <v>1635</v>
      </c>
      <c r="L14">
        <v>3840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260</v>
      </c>
      <c r="D15" t="s">
        <v>261</v>
      </c>
      <c r="E15" s="8">
        <v>45982</v>
      </c>
      <c r="F15">
        <v>4</v>
      </c>
      <c r="G15">
        <v>2660</v>
      </c>
      <c r="H15">
        <v>78299</v>
      </c>
      <c r="I15">
        <v>10640</v>
      </c>
      <c r="J15">
        <v>67659</v>
      </c>
      <c r="K15" t="s">
        <v>1635</v>
      </c>
      <c r="L15">
        <v>2660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266</v>
      </c>
      <c r="D16" t="s">
        <v>267</v>
      </c>
      <c r="E16" s="8">
        <v>45975</v>
      </c>
      <c r="F16">
        <v>4</v>
      </c>
      <c r="G16">
        <v>2300</v>
      </c>
      <c r="H16">
        <v>43500</v>
      </c>
      <c r="I16">
        <v>8790</v>
      </c>
      <c r="J16">
        <v>34710</v>
      </c>
      <c r="K16" t="s">
        <v>1635</v>
      </c>
      <c r="L16">
        <v>2300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270</v>
      </c>
      <c r="D17" t="s">
        <v>271</v>
      </c>
      <c r="E17" s="8">
        <v>45975</v>
      </c>
      <c r="F17">
        <v>4</v>
      </c>
      <c r="G17">
        <v>4872</v>
      </c>
      <c r="H17">
        <v>121733</v>
      </c>
      <c r="I17">
        <v>18096</v>
      </c>
      <c r="J17">
        <v>103637</v>
      </c>
      <c r="K17" t="s">
        <v>1635</v>
      </c>
      <c r="L17">
        <v>4872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276</v>
      </c>
      <c r="D18" t="s">
        <v>277</v>
      </c>
      <c r="E18" s="8">
        <v>45975</v>
      </c>
      <c r="F18">
        <v>4</v>
      </c>
      <c r="G18">
        <v>2960</v>
      </c>
      <c r="H18">
        <v>82751</v>
      </c>
      <c r="I18">
        <v>11840</v>
      </c>
      <c r="J18">
        <v>70911</v>
      </c>
      <c r="K18" t="s">
        <v>1635</v>
      </c>
      <c r="L18">
        <v>2960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278</v>
      </c>
      <c r="D19" t="s">
        <v>279</v>
      </c>
      <c r="E19" s="8">
        <v>45975</v>
      </c>
      <c r="F19">
        <v>4</v>
      </c>
      <c r="G19">
        <v>4608</v>
      </c>
      <c r="H19">
        <v>84625</v>
      </c>
      <c r="I19">
        <v>16464</v>
      </c>
      <c r="J19">
        <v>68161</v>
      </c>
      <c r="K19" t="s">
        <v>1635</v>
      </c>
      <c r="L19">
        <v>4608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284</v>
      </c>
      <c r="D20" t="s">
        <v>285</v>
      </c>
      <c r="E20" s="8">
        <v>45975</v>
      </c>
      <c r="F20">
        <v>4</v>
      </c>
      <c r="G20">
        <v>6020</v>
      </c>
      <c r="H20">
        <v>111290</v>
      </c>
      <c r="I20">
        <v>23426.67</v>
      </c>
      <c r="J20">
        <v>87863.33</v>
      </c>
      <c r="K20" t="s">
        <v>1635</v>
      </c>
      <c r="L20">
        <v>6020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288</v>
      </c>
      <c r="D21" t="s">
        <v>289</v>
      </c>
      <c r="E21" s="8">
        <v>45975</v>
      </c>
      <c r="F21">
        <v>4</v>
      </c>
      <c r="G21">
        <v>4692</v>
      </c>
      <c r="H21">
        <v>85000</v>
      </c>
      <c r="I21">
        <v>16771</v>
      </c>
      <c r="J21">
        <v>68229</v>
      </c>
      <c r="K21" t="s">
        <v>1635</v>
      </c>
      <c r="L21">
        <v>4692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290</v>
      </c>
      <c r="D22" t="s">
        <v>291</v>
      </c>
      <c r="E22" s="8">
        <v>45975</v>
      </c>
      <c r="F22">
        <v>4</v>
      </c>
      <c r="G22">
        <v>2520</v>
      </c>
      <c r="H22">
        <v>79600</v>
      </c>
      <c r="I22">
        <v>9360</v>
      </c>
      <c r="J22">
        <v>70240</v>
      </c>
      <c r="K22" t="s">
        <v>1635</v>
      </c>
      <c r="L22">
        <v>2520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292</v>
      </c>
      <c r="D23" t="s">
        <v>293</v>
      </c>
      <c r="E23" s="8">
        <v>45975</v>
      </c>
      <c r="F23">
        <v>4</v>
      </c>
      <c r="G23">
        <v>2250</v>
      </c>
      <c r="H23">
        <v>78580</v>
      </c>
      <c r="I23">
        <v>9000</v>
      </c>
      <c r="J23">
        <v>69580</v>
      </c>
      <c r="K23" t="s">
        <v>1635</v>
      </c>
      <c r="L23">
        <v>2250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294</v>
      </c>
      <c r="D24" t="s">
        <v>295</v>
      </c>
      <c r="E24" s="8">
        <v>45975</v>
      </c>
      <c r="F24">
        <v>4</v>
      </c>
      <c r="G24">
        <v>4824</v>
      </c>
      <c r="H24">
        <v>89000</v>
      </c>
      <c r="I24">
        <v>17232</v>
      </c>
      <c r="J24">
        <v>71768</v>
      </c>
      <c r="K24" t="s">
        <v>1635</v>
      </c>
      <c r="L24">
        <v>4824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298</v>
      </c>
      <c r="D25" t="s">
        <v>299</v>
      </c>
      <c r="E25" s="8">
        <v>45982</v>
      </c>
      <c r="F25">
        <v>4</v>
      </c>
      <c r="G25">
        <v>2856</v>
      </c>
      <c r="H25">
        <v>85872</v>
      </c>
      <c r="I25">
        <v>11061.33</v>
      </c>
      <c r="J25">
        <v>74810.67</v>
      </c>
      <c r="K25" t="s">
        <v>1635</v>
      </c>
      <c r="L25">
        <v>2856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300</v>
      </c>
      <c r="D26" t="s">
        <v>301</v>
      </c>
      <c r="E26" s="8">
        <v>45982</v>
      </c>
      <c r="F26">
        <v>4</v>
      </c>
      <c r="G26">
        <v>2520</v>
      </c>
      <c r="H26">
        <v>75800</v>
      </c>
      <c r="I26">
        <v>9860</v>
      </c>
      <c r="J26">
        <v>65940</v>
      </c>
      <c r="K26" t="s">
        <v>1635</v>
      </c>
      <c r="L26">
        <v>2520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302</v>
      </c>
      <c r="D27" t="s">
        <v>303</v>
      </c>
      <c r="E27" s="8">
        <v>45982</v>
      </c>
      <c r="F27">
        <v>4</v>
      </c>
      <c r="G27">
        <v>2850</v>
      </c>
      <c r="H27">
        <v>84946</v>
      </c>
      <c r="I27">
        <v>11300</v>
      </c>
      <c r="J27">
        <v>73646</v>
      </c>
      <c r="K27" t="s">
        <v>1635</v>
      </c>
      <c r="L27">
        <v>2850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320</v>
      </c>
      <c r="D28" t="s">
        <v>321</v>
      </c>
      <c r="E28" s="8">
        <v>45975</v>
      </c>
      <c r="F28">
        <v>4</v>
      </c>
      <c r="G28">
        <v>2850</v>
      </c>
      <c r="H28">
        <v>85000</v>
      </c>
      <c r="I28">
        <v>11400</v>
      </c>
      <c r="J28">
        <v>73600</v>
      </c>
      <c r="K28" t="s">
        <v>1635</v>
      </c>
      <c r="L28">
        <v>2850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348</v>
      </c>
      <c r="D29" t="s">
        <v>349</v>
      </c>
      <c r="E29" s="8">
        <v>45982</v>
      </c>
      <c r="F29">
        <v>4</v>
      </c>
      <c r="G29">
        <v>3120</v>
      </c>
      <c r="H29">
        <v>99693</v>
      </c>
      <c r="I29">
        <v>11510</v>
      </c>
      <c r="J29">
        <v>88183</v>
      </c>
      <c r="K29" t="s">
        <v>1635</v>
      </c>
      <c r="L29">
        <v>3120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469</v>
      </c>
      <c r="D30" t="s">
        <v>470</v>
      </c>
      <c r="E30" s="8">
        <v>45975</v>
      </c>
      <c r="F30">
        <v>4</v>
      </c>
      <c r="G30">
        <v>2964</v>
      </c>
      <c r="H30">
        <v>89000</v>
      </c>
      <c r="I30">
        <v>8970</v>
      </c>
      <c r="J30">
        <v>80030</v>
      </c>
      <c r="K30" t="s">
        <v>1635</v>
      </c>
      <c r="L30">
        <v>2964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499</v>
      </c>
      <c r="D31" t="s">
        <v>500</v>
      </c>
      <c r="E31" s="8">
        <v>45975</v>
      </c>
      <c r="F31">
        <v>4</v>
      </c>
      <c r="G31">
        <v>3108</v>
      </c>
      <c r="H31">
        <v>101346</v>
      </c>
      <c r="I31">
        <v>11984</v>
      </c>
      <c r="J31">
        <v>89362</v>
      </c>
      <c r="K31" t="s">
        <v>1635</v>
      </c>
      <c r="L31">
        <v>3108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503</v>
      </c>
      <c r="D32" t="s">
        <v>504</v>
      </c>
      <c r="E32" s="8">
        <v>45975</v>
      </c>
      <c r="F32">
        <v>4</v>
      </c>
      <c r="G32">
        <v>2912.7</v>
      </c>
      <c r="H32">
        <v>82911</v>
      </c>
      <c r="I32">
        <v>11650.8</v>
      </c>
      <c r="J32">
        <v>71260.2</v>
      </c>
      <c r="K32" t="s">
        <v>1635</v>
      </c>
      <c r="L32">
        <v>2912.7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573</v>
      </c>
      <c r="D33" t="s">
        <v>574</v>
      </c>
      <c r="E33" s="8">
        <v>45982</v>
      </c>
      <c r="F33">
        <v>4</v>
      </c>
      <c r="G33">
        <v>1380</v>
      </c>
      <c r="H33">
        <v>25912</v>
      </c>
      <c r="I33">
        <v>5520</v>
      </c>
      <c r="J33">
        <v>20392</v>
      </c>
      <c r="K33" t="s">
        <v>1635</v>
      </c>
      <c r="L33">
        <v>1380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575</v>
      </c>
      <c r="D34" t="s">
        <v>576</v>
      </c>
      <c r="E34" s="8">
        <v>45975</v>
      </c>
      <c r="F34">
        <v>4</v>
      </c>
      <c r="G34">
        <v>2475</v>
      </c>
      <c r="H34">
        <v>78888</v>
      </c>
      <c r="I34">
        <v>9225</v>
      </c>
      <c r="J34">
        <v>69663</v>
      </c>
      <c r="K34" t="s">
        <v>1635</v>
      </c>
      <c r="L34">
        <v>2475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617</v>
      </c>
      <c r="D35" t="s">
        <v>618</v>
      </c>
      <c r="E35" s="8">
        <v>45982</v>
      </c>
      <c r="F35">
        <v>4</v>
      </c>
      <c r="G35">
        <v>2470</v>
      </c>
      <c r="H35">
        <v>73000</v>
      </c>
      <c r="I35">
        <v>9880</v>
      </c>
      <c r="J35">
        <v>63120</v>
      </c>
      <c r="K35" t="s">
        <v>1635</v>
      </c>
      <c r="L35">
        <v>2470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622</v>
      </c>
      <c r="D36" t="s">
        <v>623</v>
      </c>
      <c r="E36" s="8">
        <v>45982</v>
      </c>
      <c r="F36">
        <v>4</v>
      </c>
      <c r="G36">
        <v>2976</v>
      </c>
      <c r="H36">
        <v>89000</v>
      </c>
      <c r="I36">
        <v>10912</v>
      </c>
      <c r="J36">
        <v>78088</v>
      </c>
      <c r="K36" t="s">
        <v>1635</v>
      </c>
      <c r="L36">
        <v>2976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649</v>
      </c>
      <c r="D37" t="s">
        <v>650</v>
      </c>
      <c r="E37" s="8">
        <v>45982</v>
      </c>
      <c r="F37">
        <v>4</v>
      </c>
      <c r="G37">
        <v>3672</v>
      </c>
      <c r="H37">
        <v>106000</v>
      </c>
      <c r="I37">
        <v>13276</v>
      </c>
      <c r="J37">
        <v>92724</v>
      </c>
      <c r="K37" t="s">
        <v>1635</v>
      </c>
      <c r="L37">
        <v>3672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692</v>
      </c>
      <c r="D38" t="s">
        <v>693</v>
      </c>
      <c r="E38" s="8">
        <v>45975</v>
      </c>
      <c r="F38">
        <v>4</v>
      </c>
      <c r="G38">
        <v>675</v>
      </c>
      <c r="H38">
        <v>16502</v>
      </c>
      <c r="I38">
        <v>2700</v>
      </c>
      <c r="J38">
        <v>13802</v>
      </c>
      <c r="K38" t="s">
        <v>1635</v>
      </c>
      <c r="L38">
        <v>675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698</v>
      </c>
      <c r="D39" t="s">
        <v>699</v>
      </c>
      <c r="E39" s="8">
        <v>45982</v>
      </c>
      <c r="F39">
        <v>4</v>
      </c>
      <c r="G39">
        <v>4380</v>
      </c>
      <c r="H39">
        <v>129825</v>
      </c>
      <c r="I39">
        <v>15540</v>
      </c>
      <c r="J39">
        <v>114285</v>
      </c>
      <c r="K39" t="s">
        <v>1635</v>
      </c>
      <c r="L39">
        <v>4380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700</v>
      </c>
      <c r="D40" t="s">
        <v>701</v>
      </c>
      <c r="E40" s="8">
        <v>45982</v>
      </c>
      <c r="F40">
        <v>4</v>
      </c>
      <c r="G40">
        <v>3870</v>
      </c>
      <c r="H40">
        <v>115000</v>
      </c>
      <c r="I40">
        <v>13410</v>
      </c>
      <c r="J40">
        <v>101590</v>
      </c>
      <c r="K40" t="s">
        <v>1635</v>
      </c>
      <c r="L40">
        <v>3870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709</v>
      </c>
      <c r="D41" t="s">
        <v>710</v>
      </c>
      <c r="E41" s="8">
        <v>45982</v>
      </c>
      <c r="F41">
        <v>4</v>
      </c>
      <c r="G41">
        <v>4500</v>
      </c>
      <c r="H41">
        <v>134461</v>
      </c>
      <c r="I41">
        <v>15500</v>
      </c>
      <c r="J41">
        <v>118961</v>
      </c>
      <c r="K41" t="s">
        <v>1635</v>
      </c>
      <c r="L41">
        <v>4500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719</v>
      </c>
      <c r="D42" t="s">
        <v>720</v>
      </c>
      <c r="E42" s="8">
        <v>45982</v>
      </c>
      <c r="F42">
        <v>4</v>
      </c>
      <c r="G42">
        <v>3800</v>
      </c>
      <c r="H42">
        <v>112151</v>
      </c>
      <c r="I42">
        <v>13450</v>
      </c>
      <c r="J42">
        <v>98701</v>
      </c>
      <c r="K42" t="s">
        <v>1635</v>
      </c>
      <c r="L42">
        <v>3800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723</v>
      </c>
      <c r="D43" t="s">
        <v>724</v>
      </c>
      <c r="E43" s="8">
        <v>45975</v>
      </c>
      <c r="F43">
        <v>4</v>
      </c>
      <c r="G43">
        <v>3465</v>
      </c>
      <c r="H43">
        <v>100000</v>
      </c>
      <c r="I43">
        <v>9586.5</v>
      </c>
      <c r="J43">
        <v>90413.5</v>
      </c>
      <c r="K43" t="s">
        <v>1635</v>
      </c>
      <c r="L43">
        <v>3465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725</v>
      </c>
      <c r="D44" t="s">
        <v>726</v>
      </c>
      <c r="E44" s="8">
        <v>45975</v>
      </c>
      <c r="F44">
        <v>4</v>
      </c>
      <c r="G44">
        <v>3531</v>
      </c>
      <c r="H44">
        <v>100000</v>
      </c>
      <c r="I44">
        <v>12858</v>
      </c>
      <c r="J44">
        <v>87142</v>
      </c>
      <c r="K44" t="s">
        <v>1635</v>
      </c>
      <c r="L44">
        <v>3531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727</v>
      </c>
      <c r="D45" t="s">
        <v>728</v>
      </c>
      <c r="E45" s="8">
        <v>45975</v>
      </c>
      <c r="F45">
        <v>4</v>
      </c>
      <c r="G45">
        <v>4316</v>
      </c>
      <c r="H45">
        <v>128253</v>
      </c>
      <c r="I45">
        <v>15028</v>
      </c>
      <c r="J45">
        <v>113225</v>
      </c>
      <c r="K45" t="s">
        <v>1635</v>
      </c>
      <c r="L45">
        <v>4316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729</v>
      </c>
      <c r="D46" t="s">
        <v>730</v>
      </c>
      <c r="E46" s="8">
        <v>45975</v>
      </c>
      <c r="F46">
        <v>4</v>
      </c>
      <c r="G46">
        <v>3168</v>
      </c>
      <c r="H46">
        <v>90580</v>
      </c>
      <c r="I46">
        <v>11524</v>
      </c>
      <c r="J46">
        <v>79056</v>
      </c>
      <c r="K46" t="s">
        <v>1635</v>
      </c>
      <c r="L46">
        <v>3168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731</v>
      </c>
      <c r="D47" t="s">
        <v>732</v>
      </c>
      <c r="E47" s="8">
        <v>45982</v>
      </c>
      <c r="F47">
        <v>4</v>
      </c>
      <c r="G47">
        <v>1750</v>
      </c>
      <c r="H47">
        <v>35714</v>
      </c>
      <c r="I47">
        <v>7000</v>
      </c>
      <c r="J47">
        <v>28714</v>
      </c>
      <c r="K47" t="s">
        <v>1635</v>
      </c>
      <c r="L47">
        <v>1750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733</v>
      </c>
      <c r="D48" t="s">
        <v>734</v>
      </c>
      <c r="E48" s="8">
        <v>45975</v>
      </c>
      <c r="F48">
        <v>4</v>
      </c>
      <c r="G48">
        <v>3465</v>
      </c>
      <c r="H48">
        <v>100000</v>
      </c>
      <c r="I48">
        <v>12620</v>
      </c>
      <c r="J48">
        <v>87380</v>
      </c>
      <c r="K48" t="s">
        <v>1635</v>
      </c>
      <c r="L48">
        <v>3465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735</v>
      </c>
      <c r="D49" t="s">
        <v>736</v>
      </c>
      <c r="E49" s="8">
        <v>45982</v>
      </c>
      <c r="F49">
        <v>4</v>
      </c>
      <c r="G49">
        <v>3465</v>
      </c>
      <c r="H49">
        <v>100000</v>
      </c>
      <c r="I49">
        <v>12620</v>
      </c>
      <c r="J49">
        <v>87380</v>
      </c>
      <c r="K49" t="s">
        <v>1635</v>
      </c>
      <c r="L49">
        <v>3465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737</v>
      </c>
      <c r="D50" t="s">
        <v>738</v>
      </c>
      <c r="E50" s="8">
        <v>45975</v>
      </c>
      <c r="F50">
        <v>4</v>
      </c>
      <c r="G50">
        <v>2745</v>
      </c>
      <c r="H50">
        <v>78544</v>
      </c>
      <c r="I50">
        <v>10135</v>
      </c>
      <c r="J50">
        <v>68409</v>
      </c>
      <c r="K50" t="s">
        <v>1635</v>
      </c>
      <c r="L50">
        <v>2745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739</v>
      </c>
      <c r="D51" t="s">
        <v>740</v>
      </c>
      <c r="E51" s="8">
        <v>45982</v>
      </c>
      <c r="F51">
        <v>4</v>
      </c>
      <c r="G51">
        <v>5076</v>
      </c>
      <c r="H51">
        <v>149690</v>
      </c>
      <c r="I51">
        <v>18073</v>
      </c>
      <c r="J51">
        <v>131617</v>
      </c>
      <c r="K51" t="s">
        <v>1635</v>
      </c>
      <c r="L51">
        <v>5076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743</v>
      </c>
      <c r="D52" t="s">
        <v>744</v>
      </c>
      <c r="E52" s="8">
        <v>45975</v>
      </c>
      <c r="F52">
        <v>4</v>
      </c>
      <c r="G52">
        <v>1575</v>
      </c>
      <c r="H52">
        <v>45000</v>
      </c>
      <c r="I52">
        <v>6060</v>
      </c>
      <c r="J52">
        <v>38940</v>
      </c>
      <c r="K52" t="s">
        <v>1635</v>
      </c>
      <c r="L52">
        <v>1575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745</v>
      </c>
      <c r="D53" t="s">
        <v>746</v>
      </c>
      <c r="E53" s="8">
        <v>45975</v>
      </c>
      <c r="F53">
        <v>4</v>
      </c>
      <c r="G53">
        <v>2760</v>
      </c>
      <c r="H53">
        <v>83500</v>
      </c>
      <c r="I53">
        <v>9880</v>
      </c>
      <c r="J53">
        <v>73620</v>
      </c>
      <c r="K53" t="s">
        <v>1635</v>
      </c>
      <c r="L53">
        <v>2760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749</v>
      </c>
      <c r="D54" t="s">
        <v>750</v>
      </c>
      <c r="E54" s="8">
        <v>45982</v>
      </c>
      <c r="F54">
        <v>4</v>
      </c>
      <c r="G54">
        <v>2760</v>
      </c>
      <c r="H54">
        <v>81657</v>
      </c>
      <c r="I54">
        <v>10170</v>
      </c>
      <c r="J54">
        <v>71487</v>
      </c>
      <c r="K54" t="s">
        <v>1635</v>
      </c>
      <c r="L54">
        <v>2760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751</v>
      </c>
      <c r="D55" t="s">
        <v>752</v>
      </c>
      <c r="E55" s="8">
        <v>45975</v>
      </c>
      <c r="F55">
        <v>4</v>
      </c>
      <c r="G55">
        <v>3285</v>
      </c>
      <c r="H55">
        <v>95000</v>
      </c>
      <c r="I55">
        <v>11755</v>
      </c>
      <c r="J55">
        <v>83245</v>
      </c>
      <c r="K55" t="s">
        <v>1635</v>
      </c>
      <c r="L55">
        <v>3285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757</v>
      </c>
      <c r="D56" t="s">
        <v>758</v>
      </c>
      <c r="E56" s="8">
        <v>45982</v>
      </c>
      <c r="F56">
        <v>4</v>
      </c>
      <c r="G56">
        <v>4980</v>
      </c>
      <c r="H56">
        <v>143403</v>
      </c>
      <c r="I56">
        <v>17440</v>
      </c>
      <c r="J56">
        <v>125963</v>
      </c>
      <c r="K56" t="s">
        <v>1635</v>
      </c>
      <c r="L56">
        <v>4980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765</v>
      </c>
      <c r="D57" t="s">
        <v>766</v>
      </c>
      <c r="E57" s="8">
        <v>45982</v>
      </c>
      <c r="F57">
        <v>4</v>
      </c>
      <c r="G57">
        <v>3960</v>
      </c>
      <c r="H57">
        <v>118145</v>
      </c>
      <c r="I57">
        <v>14520</v>
      </c>
      <c r="J57">
        <v>103625</v>
      </c>
      <c r="K57" t="s">
        <v>1635</v>
      </c>
      <c r="L57">
        <v>3960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769</v>
      </c>
      <c r="D58" t="s">
        <v>770</v>
      </c>
      <c r="E58" s="8">
        <v>45975</v>
      </c>
      <c r="F58">
        <v>4</v>
      </c>
      <c r="G58">
        <v>3420</v>
      </c>
      <c r="H58">
        <v>100900</v>
      </c>
      <c r="I58">
        <v>11830</v>
      </c>
      <c r="J58">
        <v>89070</v>
      </c>
      <c r="K58" t="s">
        <v>1635</v>
      </c>
      <c r="L58">
        <v>3420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771</v>
      </c>
      <c r="D59" t="s">
        <v>772</v>
      </c>
      <c r="E59" s="8">
        <v>45982</v>
      </c>
      <c r="F59">
        <v>4</v>
      </c>
      <c r="G59">
        <v>5325</v>
      </c>
      <c r="H59">
        <v>158407</v>
      </c>
      <c r="I59">
        <v>18975</v>
      </c>
      <c r="J59">
        <v>139432</v>
      </c>
      <c r="K59" t="s">
        <v>1635</v>
      </c>
      <c r="L59">
        <v>5325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774</v>
      </c>
      <c r="D60" t="s">
        <v>775</v>
      </c>
      <c r="E60" s="8">
        <v>45982</v>
      </c>
      <c r="F60">
        <v>4</v>
      </c>
      <c r="G60">
        <v>2664</v>
      </c>
      <c r="H60">
        <v>77000</v>
      </c>
      <c r="I60">
        <v>9522</v>
      </c>
      <c r="J60">
        <v>67478</v>
      </c>
      <c r="K60" t="s">
        <v>1635</v>
      </c>
      <c r="L60">
        <v>2664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776</v>
      </c>
      <c r="D61" t="s">
        <v>777</v>
      </c>
      <c r="E61" s="8">
        <v>45975</v>
      </c>
      <c r="F61">
        <v>4</v>
      </c>
      <c r="G61">
        <v>4422.6000000000004</v>
      </c>
      <c r="H61">
        <v>125989</v>
      </c>
      <c r="I61">
        <v>15581.8</v>
      </c>
      <c r="J61">
        <v>110407.2</v>
      </c>
      <c r="K61" t="s">
        <v>1635</v>
      </c>
      <c r="L61">
        <v>4422.6000000000004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780</v>
      </c>
      <c r="D62" t="s">
        <v>781</v>
      </c>
      <c r="E62" s="8">
        <v>45982</v>
      </c>
      <c r="F62">
        <v>4</v>
      </c>
      <c r="G62">
        <v>4500</v>
      </c>
      <c r="H62">
        <v>106935</v>
      </c>
      <c r="I62">
        <v>15600</v>
      </c>
      <c r="J62">
        <v>91335</v>
      </c>
      <c r="K62" t="s">
        <v>1635</v>
      </c>
      <c r="L62">
        <v>4500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784</v>
      </c>
      <c r="D63" t="s">
        <v>785</v>
      </c>
      <c r="E63" s="8">
        <v>45975</v>
      </c>
      <c r="F63">
        <v>4</v>
      </c>
      <c r="G63">
        <v>3953</v>
      </c>
      <c r="H63">
        <v>123000</v>
      </c>
      <c r="I63">
        <v>14539</v>
      </c>
      <c r="J63">
        <v>108461</v>
      </c>
      <c r="K63" t="s">
        <v>1635</v>
      </c>
      <c r="L63">
        <v>3953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794</v>
      </c>
      <c r="D64" t="s">
        <v>795</v>
      </c>
      <c r="E64" s="8">
        <v>45982</v>
      </c>
      <c r="F64">
        <v>4</v>
      </c>
      <c r="G64">
        <v>3024</v>
      </c>
      <c r="H64">
        <v>86288</v>
      </c>
      <c r="I64">
        <v>10852</v>
      </c>
      <c r="J64">
        <v>75436</v>
      </c>
      <c r="K64" t="s">
        <v>1635</v>
      </c>
      <c r="L64">
        <v>3024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796</v>
      </c>
      <c r="D65" t="s">
        <v>797</v>
      </c>
      <c r="E65" s="8">
        <v>45975</v>
      </c>
      <c r="F65">
        <v>4</v>
      </c>
      <c r="G65">
        <v>2808</v>
      </c>
      <c r="H65">
        <v>80000</v>
      </c>
      <c r="I65">
        <v>10604</v>
      </c>
      <c r="J65">
        <v>69396</v>
      </c>
      <c r="K65" t="s">
        <v>1635</v>
      </c>
      <c r="L65">
        <v>2808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798</v>
      </c>
      <c r="D66" t="s">
        <v>799</v>
      </c>
      <c r="E66" s="8">
        <v>45982</v>
      </c>
      <c r="F66">
        <v>4</v>
      </c>
      <c r="G66">
        <v>2205</v>
      </c>
      <c r="H66">
        <v>36744</v>
      </c>
      <c r="I66">
        <v>8820</v>
      </c>
      <c r="J66">
        <v>27924</v>
      </c>
      <c r="K66" t="s">
        <v>1635</v>
      </c>
      <c r="L66">
        <v>2205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802</v>
      </c>
      <c r="D67" t="s">
        <v>803</v>
      </c>
      <c r="E67" s="8">
        <v>45982</v>
      </c>
      <c r="F67">
        <v>4</v>
      </c>
      <c r="G67">
        <v>3402</v>
      </c>
      <c r="H67">
        <v>100146</v>
      </c>
      <c r="I67">
        <v>12776</v>
      </c>
      <c r="J67">
        <v>87370</v>
      </c>
      <c r="K67" t="s">
        <v>1635</v>
      </c>
      <c r="L67">
        <v>3402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806</v>
      </c>
      <c r="D68" t="s">
        <v>807</v>
      </c>
      <c r="E68" s="8">
        <v>45982</v>
      </c>
      <c r="F68">
        <v>4</v>
      </c>
      <c r="G68">
        <v>2250</v>
      </c>
      <c r="H68">
        <v>70000</v>
      </c>
      <c r="I68">
        <v>8750</v>
      </c>
      <c r="J68">
        <v>61250</v>
      </c>
      <c r="K68" t="s">
        <v>1635</v>
      </c>
      <c r="L68">
        <v>2250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814</v>
      </c>
      <c r="D69" t="s">
        <v>815</v>
      </c>
      <c r="E69" s="8">
        <v>45982</v>
      </c>
      <c r="F69">
        <v>4</v>
      </c>
      <c r="G69">
        <v>1520</v>
      </c>
      <c r="H69">
        <v>27939</v>
      </c>
      <c r="I69">
        <v>6080</v>
      </c>
      <c r="J69">
        <v>21859</v>
      </c>
      <c r="K69" t="s">
        <v>1635</v>
      </c>
      <c r="L69">
        <v>1520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816</v>
      </c>
      <c r="D70" t="s">
        <v>817</v>
      </c>
      <c r="E70" s="8">
        <v>45975</v>
      </c>
      <c r="F70">
        <v>4</v>
      </c>
      <c r="G70">
        <v>2254</v>
      </c>
      <c r="H70">
        <v>39074</v>
      </c>
      <c r="I70">
        <v>8652</v>
      </c>
      <c r="J70">
        <v>30422</v>
      </c>
      <c r="K70" t="s">
        <v>1635</v>
      </c>
      <c r="L70">
        <v>2254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822</v>
      </c>
      <c r="D71" t="s">
        <v>823</v>
      </c>
      <c r="E71" s="8">
        <v>45982</v>
      </c>
      <c r="F71">
        <v>4</v>
      </c>
      <c r="G71">
        <v>2546</v>
      </c>
      <c r="H71">
        <v>77000</v>
      </c>
      <c r="I71">
        <v>9158</v>
      </c>
      <c r="J71">
        <v>67842</v>
      </c>
      <c r="K71" t="s">
        <v>1635</v>
      </c>
      <c r="L71">
        <v>2546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824</v>
      </c>
      <c r="D72" t="s">
        <v>825</v>
      </c>
      <c r="E72" s="8">
        <v>45982</v>
      </c>
      <c r="F72">
        <v>4</v>
      </c>
      <c r="G72">
        <v>2596</v>
      </c>
      <c r="H72">
        <v>75265</v>
      </c>
      <c r="I72">
        <v>9598</v>
      </c>
      <c r="J72">
        <v>65667</v>
      </c>
      <c r="K72" t="s">
        <v>1635</v>
      </c>
      <c r="L72">
        <v>2596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63</v>
      </c>
      <c r="D73" t="s">
        <v>64</v>
      </c>
      <c r="E73" s="8">
        <v>45982</v>
      </c>
      <c r="F73">
        <v>5</v>
      </c>
      <c r="G73">
        <v>4200</v>
      </c>
      <c r="H73">
        <v>76400</v>
      </c>
      <c r="I73">
        <v>21000</v>
      </c>
      <c r="J73">
        <v>55400</v>
      </c>
      <c r="K73" t="s">
        <v>1635</v>
      </c>
      <c r="L73">
        <v>4200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67</v>
      </c>
      <c r="D74" t="s">
        <v>68</v>
      </c>
      <c r="E74" s="8">
        <v>45982</v>
      </c>
      <c r="F74">
        <v>5</v>
      </c>
      <c r="G74">
        <v>4089</v>
      </c>
      <c r="H74">
        <v>120631</v>
      </c>
      <c r="I74">
        <v>20445</v>
      </c>
      <c r="J74">
        <v>100186</v>
      </c>
      <c r="K74" t="s">
        <v>1635</v>
      </c>
      <c r="L74">
        <v>4089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73</v>
      </c>
      <c r="D75" t="s">
        <v>74</v>
      </c>
      <c r="E75" s="8">
        <v>45982</v>
      </c>
      <c r="F75">
        <v>5</v>
      </c>
      <c r="G75">
        <v>2400</v>
      </c>
      <c r="H75">
        <v>73000</v>
      </c>
      <c r="I75">
        <v>12000</v>
      </c>
      <c r="J75">
        <v>61000</v>
      </c>
      <c r="K75" t="s">
        <v>1635</v>
      </c>
      <c r="L75">
        <v>2400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81</v>
      </c>
      <c r="D76" t="s">
        <v>82</v>
      </c>
      <c r="E76" s="8">
        <v>45982</v>
      </c>
      <c r="F76">
        <v>5</v>
      </c>
      <c r="G76">
        <v>4732</v>
      </c>
      <c r="H76">
        <v>88947</v>
      </c>
      <c r="I76">
        <v>22233</v>
      </c>
      <c r="J76">
        <v>66714</v>
      </c>
      <c r="K76" t="s">
        <v>1635</v>
      </c>
      <c r="L76">
        <v>4732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83</v>
      </c>
      <c r="D77" t="s">
        <v>84</v>
      </c>
      <c r="E77" s="8">
        <v>45975</v>
      </c>
      <c r="F77">
        <v>5</v>
      </c>
      <c r="G77">
        <v>2970</v>
      </c>
      <c r="H77">
        <v>92789</v>
      </c>
      <c r="I77">
        <v>14850</v>
      </c>
      <c r="J77">
        <v>77939</v>
      </c>
      <c r="K77" t="s">
        <v>1635</v>
      </c>
      <c r="L77">
        <v>2970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89</v>
      </c>
      <c r="D78" t="s">
        <v>90</v>
      </c>
      <c r="E78" s="8">
        <v>45975</v>
      </c>
      <c r="F78">
        <v>5</v>
      </c>
      <c r="G78">
        <v>2900</v>
      </c>
      <c r="H78">
        <v>86585</v>
      </c>
      <c r="I78">
        <v>14500</v>
      </c>
      <c r="J78">
        <v>72085</v>
      </c>
      <c r="K78" t="s">
        <v>1635</v>
      </c>
      <c r="L78">
        <v>2900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117</v>
      </c>
      <c r="D79" t="s">
        <v>118</v>
      </c>
      <c r="E79" s="8">
        <v>45975</v>
      </c>
      <c r="F79">
        <v>5</v>
      </c>
      <c r="G79">
        <v>2520</v>
      </c>
      <c r="H79">
        <v>73000</v>
      </c>
      <c r="I79">
        <v>12600</v>
      </c>
      <c r="J79">
        <v>60400</v>
      </c>
      <c r="K79" t="s">
        <v>1635</v>
      </c>
      <c r="L79">
        <v>2520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153</v>
      </c>
      <c r="D80" t="s">
        <v>154</v>
      </c>
      <c r="E80" s="8">
        <v>45982</v>
      </c>
      <c r="F80">
        <v>5</v>
      </c>
      <c r="G80">
        <v>3306</v>
      </c>
      <c r="H80">
        <v>100000</v>
      </c>
      <c r="I80">
        <v>16530</v>
      </c>
      <c r="J80">
        <v>83470</v>
      </c>
      <c r="K80" t="s">
        <v>1635</v>
      </c>
      <c r="L80">
        <v>3306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155</v>
      </c>
      <c r="D81" t="s">
        <v>156</v>
      </c>
      <c r="E81" s="8">
        <v>45982</v>
      </c>
      <c r="F81">
        <v>5</v>
      </c>
      <c r="G81">
        <v>5520</v>
      </c>
      <c r="H81">
        <v>170000</v>
      </c>
      <c r="I81">
        <v>27040</v>
      </c>
      <c r="J81">
        <v>142960</v>
      </c>
      <c r="K81" t="s">
        <v>1635</v>
      </c>
      <c r="L81">
        <v>5520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159</v>
      </c>
      <c r="D82" t="s">
        <v>160</v>
      </c>
      <c r="E82" s="8">
        <v>45982</v>
      </c>
      <c r="F82">
        <v>5</v>
      </c>
      <c r="G82">
        <v>5428</v>
      </c>
      <c r="H82">
        <v>100000</v>
      </c>
      <c r="I82">
        <v>26135.33</v>
      </c>
      <c r="J82">
        <v>73864.67</v>
      </c>
      <c r="K82" t="s">
        <v>1635</v>
      </c>
      <c r="L82">
        <v>5428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167</v>
      </c>
      <c r="D83" t="s">
        <v>168</v>
      </c>
      <c r="E83" s="8">
        <v>45975</v>
      </c>
      <c r="F83">
        <v>5</v>
      </c>
      <c r="G83">
        <v>4536</v>
      </c>
      <c r="H83">
        <v>86485</v>
      </c>
      <c r="I83">
        <v>20754</v>
      </c>
      <c r="J83">
        <v>65731</v>
      </c>
      <c r="K83" t="s">
        <v>1635</v>
      </c>
      <c r="L83">
        <v>4536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169</v>
      </c>
      <c r="D84" t="s">
        <v>170</v>
      </c>
      <c r="E84" s="8">
        <v>45975</v>
      </c>
      <c r="F84">
        <v>5</v>
      </c>
      <c r="G84">
        <v>2805</v>
      </c>
      <c r="H84">
        <v>83860</v>
      </c>
      <c r="I84">
        <v>14025</v>
      </c>
      <c r="J84">
        <v>69835</v>
      </c>
      <c r="K84" t="s">
        <v>1635</v>
      </c>
      <c r="L84">
        <v>2805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175</v>
      </c>
      <c r="D85" t="s">
        <v>176</v>
      </c>
      <c r="E85" s="8">
        <v>45982</v>
      </c>
      <c r="F85">
        <v>5</v>
      </c>
      <c r="G85">
        <v>2800</v>
      </c>
      <c r="H85">
        <v>84036</v>
      </c>
      <c r="I85">
        <v>13033.33</v>
      </c>
      <c r="J85">
        <v>71002.67</v>
      </c>
      <c r="K85" t="s">
        <v>1635</v>
      </c>
      <c r="L85">
        <v>2800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179</v>
      </c>
      <c r="D86" t="s">
        <v>180</v>
      </c>
      <c r="E86" s="8">
        <v>45975</v>
      </c>
      <c r="F86">
        <v>5</v>
      </c>
      <c r="G86">
        <v>3933</v>
      </c>
      <c r="H86">
        <v>125000</v>
      </c>
      <c r="I86">
        <v>17767</v>
      </c>
      <c r="J86">
        <v>107233</v>
      </c>
      <c r="K86" t="s">
        <v>1635</v>
      </c>
      <c r="L86">
        <v>3933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183</v>
      </c>
      <c r="D87" t="s">
        <v>184</v>
      </c>
      <c r="E87" s="8">
        <v>45975</v>
      </c>
      <c r="F87">
        <v>5</v>
      </c>
      <c r="G87">
        <v>2924</v>
      </c>
      <c r="H87">
        <v>87520</v>
      </c>
      <c r="I87">
        <v>14239.33</v>
      </c>
      <c r="J87">
        <v>73280.67</v>
      </c>
      <c r="K87" t="s">
        <v>1635</v>
      </c>
      <c r="L87">
        <v>2924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191</v>
      </c>
      <c r="D88" t="s">
        <v>192</v>
      </c>
      <c r="E88" s="8">
        <v>45982</v>
      </c>
      <c r="F88">
        <v>5</v>
      </c>
      <c r="G88">
        <v>3933</v>
      </c>
      <c r="H88">
        <v>74625</v>
      </c>
      <c r="I88">
        <v>19665</v>
      </c>
      <c r="J88">
        <v>54960</v>
      </c>
      <c r="K88" t="s">
        <v>1635</v>
      </c>
      <c r="L88">
        <v>3933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193</v>
      </c>
      <c r="D89" t="s">
        <v>194</v>
      </c>
      <c r="E89" s="8">
        <v>45982</v>
      </c>
      <c r="F89">
        <v>5</v>
      </c>
      <c r="G89">
        <v>4725</v>
      </c>
      <c r="H89">
        <v>88848</v>
      </c>
      <c r="I89">
        <v>21210</v>
      </c>
      <c r="J89">
        <v>67638</v>
      </c>
      <c r="K89" t="s">
        <v>1635</v>
      </c>
      <c r="L89">
        <v>4725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197</v>
      </c>
      <c r="D90" t="s">
        <v>198</v>
      </c>
      <c r="E90" s="8">
        <v>45975</v>
      </c>
      <c r="F90">
        <v>5</v>
      </c>
      <c r="G90">
        <v>2730</v>
      </c>
      <c r="H90">
        <v>84220</v>
      </c>
      <c r="I90">
        <v>13603.33</v>
      </c>
      <c r="J90">
        <v>70616.67</v>
      </c>
      <c r="K90" t="s">
        <v>1635</v>
      </c>
      <c r="L90">
        <v>2730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203</v>
      </c>
      <c r="D91" t="s">
        <v>204</v>
      </c>
      <c r="E91" s="8">
        <v>45982</v>
      </c>
      <c r="F91">
        <v>5</v>
      </c>
      <c r="G91">
        <v>2460</v>
      </c>
      <c r="H91">
        <v>74625</v>
      </c>
      <c r="I91">
        <v>12040</v>
      </c>
      <c r="J91">
        <v>62585</v>
      </c>
      <c r="K91" t="s">
        <v>1635</v>
      </c>
      <c r="L91">
        <v>2460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215</v>
      </c>
      <c r="D92" t="s">
        <v>216</v>
      </c>
      <c r="E92" s="8">
        <v>45982</v>
      </c>
      <c r="F92">
        <v>5</v>
      </c>
      <c r="G92">
        <v>2640</v>
      </c>
      <c r="H92">
        <v>78314</v>
      </c>
      <c r="I92">
        <v>13200</v>
      </c>
      <c r="J92">
        <v>65114</v>
      </c>
      <c r="K92" t="s">
        <v>1635</v>
      </c>
      <c r="L92">
        <v>2640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221</v>
      </c>
      <c r="D93" t="s">
        <v>222</v>
      </c>
      <c r="E93" s="8">
        <v>45975</v>
      </c>
      <c r="F93">
        <v>5</v>
      </c>
      <c r="G93">
        <v>2420</v>
      </c>
      <c r="H93">
        <v>73000</v>
      </c>
      <c r="I93">
        <v>11696.67</v>
      </c>
      <c r="J93">
        <v>61303.33</v>
      </c>
      <c r="K93" t="s">
        <v>1635</v>
      </c>
      <c r="L93">
        <v>2420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236</v>
      </c>
      <c r="D94" t="s">
        <v>237</v>
      </c>
      <c r="E94" s="8">
        <v>45975</v>
      </c>
      <c r="F94">
        <v>5</v>
      </c>
      <c r="G94">
        <v>2430</v>
      </c>
      <c r="H94">
        <v>73000</v>
      </c>
      <c r="I94">
        <v>11545</v>
      </c>
      <c r="J94">
        <v>61455</v>
      </c>
      <c r="K94" t="s">
        <v>1635</v>
      </c>
      <c r="L94">
        <v>2430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238</v>
      </c>
      <c r="D95" t="s">
        <v>239</v>
      </c>
      <c r="E95" s="8">
        <v>45975</v>
      </c>
      <c r="F95">
        <v>5</v>
      </c>
      <c r="G95">
        <v>4060</v>
      </c>
      <c r="H95">
        <v>74625</v>
      </c>
      <c r="I95">
        <v>18806.669999999998</v>
      </c>
      <c r="J95">
        <v>55818.33</v>
      </c>
      <c r="K95" t="s">
        <v>1635</v>
      </c>
      <c r="L95">
        <v>4060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240</v>
      </c>
      <c r="D96" t="s">
        <v>241</v>
      </c>
      <c r="E96" s="8">
        <v>45975</v>
      </c>
      <c r="F96">
        <v>5</v>
      </c>
      <c r="G96">
        <v>3080</v>
      </c>
      <c r="H96">
        <v>100000</v>
      </c>
      <c r="I96">
        <v>15400</v>
      </c>
      <c r="J96">
        <v>84600</v>
      </c>
      <c r="K96" t="s">
        <v>1635</v>
      </c>
      <c r="L96">
        <v>3080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242</v>
      </c>
      <c r="D97" t="s">
        <v>243</v>
      </c>
      <c r="E97" s="8">
        <v>45982</v>
      </c>
      <c r="F97">
        <v>5</v>
      </c>
      <c r="G97">
        <v>2886</v>
      </c>
      <c r="H97">
        <v>84677</v>
      </c>
      <c r="I97">
        <v>14430</v>
      </c>
      <c r="J97">
        <v>70247</v>
      </c>
      <c r="K97" t="s">
        <v>1635</v>
      </c>
      <c r="L97">
        <v>2886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262</v>
      </c>
      <c r="D98" t="s">
        <v>263</v>
      </c>
      <c r="E98" s="8">
        <v>45982</v>
      </c>
      <c r="F98">
        <v>5</v>
      </c>
      <c r="G98">
        <v>2592</v>
      </c>
      <c r="H98">
        <v>78645</v>
      </c>
      <c r="I98">
        <v>12960</v>
      </c>
      <c r="J98">
        <v>65685</v>
      </c>
      <c r="K98" t="s">
        <v>1635</v>
      </c>
      <c r="L98">
        <v>2592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306</v>
      </c>
      <c r="D99" t="s">
        <v>307</v>
      </c>
      <c r="E99" s="8">
        <v>45975</v>
      </c>
      <c r="F99">
        <v>5</v>
      </c>
      <c r="G99">
        <v>2728</v>
      </c>
      <c r="H99">
        <v>77921</v>
      </c>
      <c r="I99">
        <v>13492</v>
      </c>
      <c r="J99">
        <v>64429</v>
      </c>
      <c r="K99" t="s">
        <v>1635</v>
      </c>
      <c r="L99">
        <v>2728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322</v>
      </c>
      <c r="D100" t="s">
        <v>323</v>
      </c>
      <c r="E100" s="8">
        <v>45975</v>
      </c>
      <c r="F100">
        <v>5</v>
      </c>
      <c r="G100">
        <v>1105</v>
      </c>
      <c r="H100">
        <v>19454</v>
      </c>
      <c r="I100">
        <v>5525</v>
      </c>
      <c r="J100">
        <v>13929</v>
      </c>
      <c r="K100" t="s">
        <v>1635</v>
      </c>
      <c r="L100">
        <v>1105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326</v>
      </c>
      <c r="D101" t="s">
        <v>327</v>
      </c>
      <c r="E101" s="8">
        <v>45982</v>
      </c>
      <c r="F101">
        <v>5</v>
      </c>
      <c r="G101">
        <v>4092</v>
      </c>
      <c r="H101">
        <v>122717</v>
      </c>
      <c r="I101">
        <v>20460</v>
      </c>
      <c r="J101">
        <v>102257</v>
      </c>
      <c r="K101" t="s">
        <v>1635</v>
      </c>
      <c r="L101">
        <v>4092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334</v>
      </c>
      <c r="D102" t="s">
        <v>335</v>
      </c>
      <c r="E102" s="8">
        <v>45975</v>
      </c>
      <c r="F102">
        <v>5</v>
      </c>
      <c r="G102">
        <v>4060</v>
      </c>
      <c r="H102">
        <v>119788</v>
      </c>
      <c r="I102">
        <v>18906.669999999998</v>
      </c>
      <c r="J102">
        <v>100881.33</v>
      </c>
      <c r="K102" t="s">
        <v>1635</v>
      </c>
      <c r="L102">
        <v>4060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346</v>
      </c>
      <c r="D103" t="s">
        <v>347</v>
      </c>
      <c r="E103" s="8">
        <v>45982</v>
      </c>
      <c r="F103">
        <v>5</v>
      </c>
      <c r="G103">
        <v>3420</v>
      </c>
      <c r="H103">
        <v>109415</v>
      </c>
      <c r="I103">
        <v>15980</v>
      </c>
      <c r="J103">
        <v>93435</v>
      </c>
      <c r="K103" t="s">
        <v>1635</v>
      </c>
      <c r="L103">
        <v>3420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350</v>
      </c>
      <c r="D104" t="s">
        <v>351</v>
      </c>
      <c r="E104" s="8">
        <v>45975</v>
      </c>
      <c r="F104">
        <v>5</v>
      </c>
      <c r="G104">
        <v>2940</v>
      </c>
      <c r="H104">
        <v>90777</v>
      </c>
      <c r="I104">
        <v>14160</v>
      </c>
      <c r="J104">
        <v>76617</v>
      </c>
      <c r="K104" t="s">
        <v>1635</v>
      </c>
      <c r="L104">
        <v>2940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364</v>
      </c>
      <c r="D105" t="s">
        <v>365</v>
      </c>
      <c r="E105" s="8">
        <v>45975</v>
      </c>
      <c r="F105">
        <v>5</v>
      </c>
      <c r="G105">
        <v>2795</v>
      </c>
      <c r="H105">
        <v>83042</v>
      </c>
      <c r="I105">
        <v>13975</v>
      </c>
      <c r="J105">
        <v>69067</v>
      </c>
      <c r="K105" t="s">
        <v>1635</v>
      </c>
      <c r="L105">
        <v>2795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370</v>
      </c>
      <c r="D106" t="s">
        <v>371</v>
      </c>
      <c r="E106" s="8">
        <v>45975</v>
      </c>
      <c r="F106">
        <v>5</v>
      </c>
      <c r="G106">
        <v>2597</v>
      </c>
      <c r="H106">
        <v>77700</v>
      </c>
      <c r="I106">
        <v>12985</v>
      </c>
      <c r="J106">
        <v>64715</v>
      </c>
      <c r="K106" t="s">
        <v>1635</v>
      </c>
      <c r="L106">
        <v>2597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373</v>
      </c>
      <c r="D107" t="s">
        <v>374</v>
      </c>
      <c r="E107" s="8">
        <v>45982</v>
      </c>
      <c r="F107">
        <v>5</v>
      </c>
      <c r="G107">
        <v>7370</v>
      </c>
      <c r="H107">
        <v>220995</v>
      </c>
      <c r="I107">
        <v>36850</v>
      </c>
      <c r="J107">
        <v>184145</v>
      </c>
      <c r="K107" t="s">
        <v>1635</v>
      </c>
      <c r="L107">
        <v>7370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401</v>
      </c>
      <c r="D108" t="s">
        <v>402</v>
      </c>
      <c r="E108" s="8">
        <v>45975</v>
      </c>
      <c r="F108">
        <v>5</v>
      </c>
      <c r="G108">
        <v>3536</v>
      </c>
      <c r="H108">
        <v>121325</v>
      </c>
      <c r="I108">
        <v>17680</v>
      </c>
      <c r="J108">
        <v>103645</v>
      </c>
      <c r="K108" t="s">
        <v>1635</v>
      </c>
      <c r="L108">
        <v>3536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405</v>
      </c>
      <c r="D109" t="s">
        <v>406</v>
      </c>
      <c r="E109" s="8">
        <v>45975</v>
      </c>
      <c r="F109">
        <v>5</v>
      </c>
      <c r="G109">
        <v>3075</v>
      </c>
      <c r="H109">
        <v>89337</v>
      </c>
      <c r="I109">
        <v>15375</v>
      </c>
      <c r="J109">
        <v>73962</v>
      </c>
      <c r="K109" t="s">
        <v>1635</v>
      </c>
      <c r="L109">
        <v>3075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415</v>
      </c>
      <c r="D110" t="s">
        <v>416</v>
      </c>
      <c r="E110" s="8">
        <v>45975</v>
      </c>
      <c r="F110">
        <v>5</v>
      </c>
      <c r="G110">
        <v>1632</v>
      </c>
      <c r="H110">
        <v>46731</v>
      </c>
      <c r="I110">
        <v>8160</v>
      </c>
      <c r="J110">
        <v>38571</v>
      </c>
      <c r="K110" t="s">
        <v>1635</v>
      </c>
      <c r="L110">
        <v>1632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427</v>
      </c>
      <c r="D111" t="s">
        <v>428</v>
      </c>
      <c r="E111" s="8">
        <v>45975</v>
      </c>
      <c r="F111">
        <v>5</v>
      </c>
      <c r="G111">
        <v>4200</v>
      </c>
      <c r="H111">
        <v>151204</v>
      </c>
      <c r="I111">
        <v>19600</v>
      </c>
      <c r="J111">
        <v>131604</v>
      </c>
      <c r="K111" t="s">
        <v>1635</v>
      </c>
      <c r="L111">
        <v>4200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429</v>
      </c>
      <c r="D112" t="s">
        <v>430</v>
      </c>
      <c r="E112" s="8">
        <v>45975</v>
      </c>
      <c r="F112">
        <v>5</v>
      </c>
      <c r="G112">
        <v>3213</v>
      </c>
      <c r="H112">
        <v>120000</v>
      </c>
      <c r="I112">
        <v>15272</v>
      </c>
      <c r="J112">
        <v>104728</v>
      </c>
      <c r="K112" t="s">
        <v>1635</v>
      </c>
      <c r="L112">
        <v>3213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431</v>
      </c>
      <c r="D113" t="s">
        <v>432</v>
      </c>
      <c r="E113" s="8">
        <v>45982</v>
      </c>
      <c r="F113">
        <v>5</v>
      </c>
      <c r="G113">
        <v>4400</v>
      </c>
      <c r="H113">
        <v>159619</v>
      </c>
      <c r="I113">
        <v>19600</v>
      </c>
      <c r="J113">
        <v>140019</v>
      </c>
      <c r="K113" t="s">
        <v>1635</v>
      </c>
      <c r="L113">
        <v>4400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443</v>
      </c>
      <c r="D114" t="s">
        <v>444</v>
      </c>
      <c r="E114" s="8">
        <v>45982</v>
      </c>
      <c r="F114">
        <v>5</v>
      </c>
      <c r="G114">
        <v>2914</v>
      </c>
      <c r="H114">
        <v>84000</v>
      </c>
      <c r="I114">
        <v>13636</v>
      </c>
      <c r="J114">
        <v>70364</v>
      </c>
      <c r="K114" t="s">
        <v>1635</v>
      </c>
      <c r="L114">
        <v>2914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459</v>
      </c>
      <c r="D115" t="s">
        <v>460</v>
      </c>
      <c r="E115" s="8">
        <v>45975</v>
      </c>
      <c r="F115">
        <v>5</v>
      </c>
      <c r="G115">
        <v>4018</v>
      </c>
      <c r="H115">
        <v>118888</v>
      </c>
      <c r="I115">
        <v>19452</v>
      </c>
      <c r="J115">
        <v>99436</v>
      </c>
      <c r="K115" t="s">
        <v>1635</v>
      </c>
      <c r="L115">
        <v>4018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477</v>
      </c>
      <c r="D116" t="s">
        <v>478</v>
      </c>
      <c r="E116" s="8">
        <v>45975</v>
      </c>
      <c r="F116">
        <v>5</v>
      </c>
      <c r="G116">
        <v>2880</v>
      </c>
      <c r="H116">
        <v>90000</v>
      </c>
      <c r="I116">
        <v>13340</v>
      </c>
      <c r="J116">
        <v>76660</v>
      </c>
      <c r="K116" t="s">
        <v>1635</v>
      </c>
      <c r="L116">
        <v>2880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485</v>
      </c>
      <c r="D117" t="s">
        <v>486</v>
      </c>
      <c r="E117" s="8">
        <v>45982</v>
      </c>
      <c r="F117">
        <v>5</v>
      </c>
      <c r="G117">
        <v>3135</v>
      </c>
      <c r="H117">
        <v>93980</v>
      </c>
      <c r="I117">
        <v>13805</v>
      </c>
      <c r="J117">
        <v>80175</v>
      </c>
      <c r="K117" t="s">
        <v>1635</v>
      </c>
      <c r="L117">
        <v>3135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487</v>
      </c>
      <c r="D118" t="s">
        <v>488</v>
      </c>
      <c r="E118" s="8">
        <v>45975</v>
      </c>
      <c r="F118">
        <v>5</v>
      </c>
      <c r="G118">
        <v>2635.2</v>
      </c>
      <c r="H118">
        <v>77000</v>
      </c>
      <c r="I118">
        <v>12428.8</v>
      </c>
      <c r="J118">
        <v>64571.199999999997</v>
      </c>
      <c r="K118" t="s">
        <v>1635</v>
      </c>
      <c r="L118">
        <v>2635.2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489</v>
      </c>
      <c r="D119" t="s">
        <v>490</v>
      </c>
      <c r="E119" s="8">
        <v>45975</v>
      </c>
      <c r="F119">
        <v>5</v>
      </c>
      <c r="G119">
        <v>1650</v>
      </c>
      <c r="H119">
        <v>28225</v>
      </c>
      <c r="I119">
        <v>8250</v>
      </c>
      <c r="J119">
        <v>19975</v>
      </c>
      <c r="K119" t="s">
        <v>1635</v>
      </c>
      <c r="L119">
        <v>1650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493</v>
      </c>
      <c r="D120" t="s">
        <v>494</v>
      </c>
      <c r="E120" s="8">
        <v>45982</v>
      </c>
      <c r="F120">
        <v>5</v>
      </c>
      <c r="G120">
        <v>3538</v>
      </c>
      <c r="H120">
        <v>109196</v>
      </c>
      <c r="I120">
        <v>16472</v>
      </c>
      <c r="J120">
        <v>92724</v>
      </c>
      <c r="K120" t="s">
        <v>1635</v>
      </c>
      <c r="L120">
        <v>3538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497</v>
      </c>
      <c r="D121" t="s">
        <v>498</v>
      </c>
      <c r="E121" s="8">
        <v>45982</v>
      </c>
      <c r="F121">
        <v>5</v>
      </c>
      <c r="G121">
        <v>1679</v>
      </c>
      <c r="H121">
        <v>30363</v>
      </c>
      <c r="I121">
        <v>8395</v>
      </c>
      <c r="J121">
        <v>21968</v>
      </c>
      <c r="K121" t="s">
        <v>1635</v>
      </c>
      <c r="L121">
        <v>1679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505</v>
      </c>
      <c r="D122" t="s">
        <v>506</v>
      </c>
      <c r="E122" s="8">
        <v>45982</v>
      </c>
      <c r="F122">
        <v>5</v>
      </c>
      <c r="G122">
        <v>494</v>
      </c>
      <c r="H122">
        <v>8910</v>
      </c>
      <c r="I122">
        <v>2470</v>
      </c>
      <c r="J122">
        <v>6440</v>
      </c>
      <c r="K122" t="s">
        <v>1635</v>
      </c>
      <c r="L122">
        <v>494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507</v>
      </c>
      <c r="D123" t="s">
        <v>508</v>
      </c>
      <c r="E123" s="8">
        <v>45982</v>
      </c>
      <c r="F123">
        <v>5</v>
      </c>
      <c r="G123">
        <v>3480</v>
      </c>
      <c r="H123">
        <v>105075</v>
      </c>
      <c r="I123">
        <v>15520</v>
      </c>
      <c r="J123">
        <v>89555</v>
      </c>
      <c r="K123" t="s">
        <v>1635</v>
      </c>
      <c r="L123">
        <v>3480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509</v>
      </c>
      <c r="D124" t="s">
        <v>510</v>
      </c>
      <c r="E124" s="8">
        <v>45975</v>
      </c>
      <c r="F124">
        <v>5</v>
      </c>
      <c r="G124">
        <v>3922</v>
      </c>
      <c r="H124">
        <v>119603</v>
      </c>
      <c r="I124">
        <v>17808</v>
      </c>
      <c r="J124">
        <v>101795</v>
      </c>
      <c r="K124" t="s">
        <v>1635</v>
      </c>
      <c r="L124">
        <v>3922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513</v>
      </c>
      <c r="D125" t="s">
        <v>514</v>
      </c>
      <c r="E125" s="8">
        <v>45975</v>
      </c>
      <c r="F125">
        <v>5</v>
      </c>
      <c r="G125">
        <v>2565</v>
      </c>
      <c r="H125">
        <v>78200</v>
      </c>
      <c r="I125">
        <v>12060</v>
      </c>
      <c r="J125">
        <v>66140</v>
      </c>
      <c r="K125" t="s">
        <v>1635</v>
      </c>
      <c r="L125">
        <v>2565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519</v>
      </c>
      <c r="D126" t="s">
        <v>520</v>
      </c>
      <c r="E126" s="8">
        <v>45975</v>
      </c>
      <c r="F126">
        <v>5</v>
      </c>
      <c r="G126">
        <v>3696</v>
      </c>
      <c r="H126">
        <v>110000</v>
      </c>
      <c r="I126">
        <v>17074</v>
      </c>
      <c r="J126">
        <v>92926</v>
      </c>
      <c r="K126" t="s">
        <v>1635</v>
      </c>
      <c r="L126">
        <v>3696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527</v>
      </c>
      <c r="D127" t="s">
        <v>528</v>
      </c>
      <c r="E127" s="8">
        <v>45975</v>
      </c>
      <c r="F127">
        <v>5</v>
      </c>
      <c r="G127">
        <v>4575</v>
      </c>
      <c r="H127">
        <v>135731</v>
      </c>
      <c r="I127">
        <v>21350</v>
      </c>
      <c r="J127">
        <v>114381</v>
      </c>
      <c r="K127" t="s">
        <v>1635</v>
      </c>
      <c r="L127">
        <v>4575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531</v>
      </c>
      <c r="D128" t="s">
        <v>532</v>
      </c>
      <c r="E128" s="8">
        <v>45975</v>
      </c>
      <c r="F128">
        <v>5</v>
      </c>
      <c r="G128">
        <v>3912</v>
      </c>
      <c r="H128">
        <v>114896</v>
      </c>
      <c r="I128">
        <v>18983</v>
      </c>
      <c r="J128">
        <v>95913</v>
      </c>
      <c r="K128" t="s">
        <v>1635</v>
      </c>
      <c r="L128">
        <v>3912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539</v>
      </c>
      <c r="D129" t="s">
        <v>540</v>
      </c>
      <c r="E129" s="8">
        <v>45982</v>
      </c>
      <c r="F129">
        <v>5</v>
      </c>
      <c r="G129">
        <v>2745</v>
      </c>
      <c r="H129">
        <v>82476</v>
      </c>
      <c r="I129">
        <v>12780</v>
      </c>
      <c r="J129">
        <v>69696</v>
      </c>
      <c r="K129" t="s">
        <v>1635</v>
      </c>
      <c r="L129">
        <v>2745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541</v>
      </c>
      <c r="D130" t="s">
        <v>542</v>
      </c>
      <c r="E130" s="8">
        <v>45982</v>
      </c>
      <c r="F130">
        <v>5</v>
      </c>
      <c r="G130">
        <v>4290</v>
      </c>
      <c r="H130">
        <v>130000</v>
      </c>
      <c r="I130">
        <v>19360</v>
      </c>
      <c r="J130">
        <v>110640</v>
      </c>
      <c r="K130" t="s">
        <v>1635</v>
      </c>
      <c r="L130">
        <v>4290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544</v>
      </c>
      <c r="D131" t="s">
        <v>545</v>
      </c>
      <c r="E131" s="8">
        <v>45975</v>
      </c>
      <c r="F131">
        <v>5</v>
      </c>
      <c r="G131">
        <v>3339</v>
      </c>
      <c r="H131">
        <v>101368</v>
      </c>
      <c r="I131">
        <v>15476</v>
      </c>
      <c r="J131">
        <v>85892</v>
      </c>
      <c r="K131" t="s">
        <v>1635</v>
      </c>
      <c r="L131">
        <v>3339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548</v>
      </c>
      <c r="D132" t="s">
        <v>549</v>
      </c>
      <c r="E132" s="8">
        <v>45982</v>
      </c>
      <c r="F132">
        <v>5</v>
      </c>
      <c r="G132">
        <v>2632</v>
      </c>
      <c r="H132">
        <v>78025</v>
      </c>
      <c r="I132">
        <v>12458</v>
      </c>
      <c r="J132">
        <v>65567</v>
      </c>
      <c r="K132" t="s">
        <v>1635</v>
      </c>
      <c r="L132">
        <v>2632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554</v>
      </c>
      <c r="D133" t="s">
        <v>555</v>
      </c>
      <c r="E133" s="8">
        <v>45975</v>
      </c>
      <c r="F133">
        <v>5</v>
      </c>
      <c r="G133">
        <v>5358</v>
      </c>
      <c r="H133">
        <v>163831</v>
      </c>
      <c r="I133">
        <v>25142</v>
      </c>
      <c r="J133">
        <v>138689</v>
      </c>
      <c r="K133" t="s">
        <v>1635</v>
      </c>
      <c r="L133">
        <v>5358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560</v>
      </c>
      <c r="D134" t="s">
        <v>561</v>
      </c>
      <c r="E134" s="8">
        <v>45975</v>
      </c>
      <c r="F134">
        <v>5</v>
      </c>
      <c r="G134">
        <v>2900</v>
      </c>
      <c r="H134">
        <v>87000</v>
      </c>
      <c r="I134">
        <v>12700</v>
      </c>
      <c r="J134">
        <v>74300</v>
      </c>
      <c r="K134" t="s">
        <v>1635</v>
      </c>
      <c r="L134">
        <v>2900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562</v>
      </c>
      <c r="D135" t="s">
        <v>563</v>
      </c>
      <c r="E135" s="8">
        <v>45982</v>
      </c>
      <c r="F135">
        <v>5</v>
      </c>
      <c r="G135">
        <v>3969</v>
      </c>
      <c r="H135">
        <v>119770</v>
      </c>
      <c r="I135">
        <v>18396</v>
      </c>
      <c r="J135">
        <v>101374</v>
      </c>
      <c r="K135" t="s">
        <v>1635</v>
      </c>
      <c r="L135">
        <v>3969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571</v>
      </c>
      <c r="D136" t="s">
        <v>572</v>
      </c>
      <c r="E136" s="8">
        <v>45975</v>
      </c>
      <c r="F136">
        <v>5</v>
      </c>
      <c r="G136">
        <v>2271.5</v>
      </c>
      <c r="H136">
        <v>68100</v>
      </c>
      <c r="I136">
        <v>10646</v>
      </c>
      <c r="J136">
        <v>57454</v>
      </c>
      <c r="K136" t="s">
        <v>1635</v>
      </c>
      <c r="L136">
        <v>2271.5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577</v>
      </c>
      <c r="D137" t="s">
        <v>578</v>
      </c>
      <c r="E137" s="8">
        <v>45975</v>
      </c>
      <c r="F137">
        <v>5</v>
      </c>
      <c r="G137">
        <v>6132</v>
      </c>
      <c r="H137">
        <v>179000</v>
      </c>
      <c r="I137">
        <v>27598</v>
      </c>
      <c r="J137">
        <v>151402</v>
      </c>
      <c r="K137" t="s">
        <v>1635</v>
      </c>
      <c r="L137">
        <v>6132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580</v>
      </c>
      <c r="D138" t="s">
        <v>581</v>
      </c>
      <c r="E138" s="8">
        <v>45982</v>
      </c>
      <c r="F138">
        <v>5</v>
      </c>
      <c r="G138">
        <v>1254</v>
      </c>
      <c r="H138">
        <v>37493</v>
      </c>
      <c r="I138">
        <v>6270</v>
      </c>
      <c r="J138">
        <v>31223</v>
      </c>
      <c r="K138" t="s">
        <v>1635</v>
      </c>
      <c r="L138">
        <v>1254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582</v>
      </c>
      <c r="D139" t="s">
        <v>583</v>
      </c>
      <c r="E139" s="8">
        <v>45982</v>
      </c>
      <c r="F139">
        <v>5</v>
      </c>
      <c r="G139">
        <v>2236</v>
      </c>
      <c r="H139">
        <v>67000</v>
      </c>
      <c r="I139">
        <v>10664</v>
      </c>
      <c r="J139">
        <v>56336</v>
      </c>
      <c r="K139" t="s">
        <v>1635</v>
      </c>
      <c r="L139">
        <v>2236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584</v>
      </c>
      <c r="D140" t="s">
        <v>585</v>
      </c>
      <c r="E140" s="8">
        <v>45982</v>
      </c>
      <c r="F140">
        <v>5</v>
      </c>
      <c r="G140">
        <v>3024</v>
      </c>
      <c r="H140">
        <v>86995</v>
      </c>
      <c r="I140">
        <v>13876</v>
      </c>
      <c r="J140">
        <v>73119</v>
      </c>
      <c r="K140" t="s">
        <v>1635</v>
      </c>
      <c r="L140">
        <v>3024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586</v>
      </c>
      <c r="D141" t="s">
        <v>587</v>
      </c>
      <c r="E141" s="8">
        <v>45975</v>
      </c>
      <c r="F141">
        <v>5</v>
      </c>
      <c r="G141">
        <v>5280</v>
      </c>
      <c r="H141">
        <v>160380</v>
      </c>
      <c r="I141">
        <v>24960</v>
      </c>
      <c r="J141">
        <v>135420</v>
      </c>
      <c r="K141" t="s">
        <v>1635</v>
      </c>
      <c r="L141">
        <v>5280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594</v>
      </c>
      <c r="D142" t="s">
        <v>595</v>
      </c>
      <c r="E142" s="8">
        <v>45975</v>
      </c>
      <c r="F142">
        <v>5</v>
      </c>
      <c r="G142">
        <v>2772</v>
      </c>
      <c r="H142">
        <v>84510</v>
      </c>
      <c r="I142">
        <v>12768</v>
      </c>
      <c r="J142">
        <v>71742</v>
      </c>
      <c r="K142" t="s">
        <v>1635</v>
      </c>
      <c r="L142">
        <v>2772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598</v>
      </c>
      <c r="D143" t="s">
        <v>599</v>
      </c>
      <c r="E143" s="8">
        <v>45982</v>
      </c>
      <c r="F143">
        <v>5</v>
      </c>
      <c r="G143">
        <v>4650</v>
      </c>
      <c r="H143">
        <v>138500</v>
      </c>
      <c r="I143">
        <v>21180</v>
      </c>
      <c r="J143">
        <v>117320</v>
      </c>
      <c r="K143" t="s">
        <v>1635</v>
      </c>
      <c r="L143">
        <v>4650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600</v>
      </c>
      <c r="D144" t="s">
        <v>601</v>
      </c>
      <c r="E144" s="8">
        <v>45975</v>
      </c>
      <c r="F144">
        <v>5</v>
      </c>
      <c r="G144">
        <v>4524</v>
      </c>
      <c r="H144">
        <v>136666</v>
      </c>
      <c r="I144">
        <v>20176</v>
      </c>
      <c r="J144">
        <v>116490</v>
      </c>
      <c r="K144" t="s">
        <v>1635</v>
      </c>
      <c r="L144">
        <v>4524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607</v>
      </c>
      <c r="D145" t="s">
        <v>608</v>
      </c>
      <c r="E145" s="8">
        <v>45975</v>
      </c>
      <c r="F145">
        <v>5</v>
      </c>
      <c r="G145">
        <v>3120</v>
      </c>
      <c r="H145">
        <v>97745</v>
      </c>
      <c r="I145">
        <v>14930</v>
      </c>
      <c r="J145">
        <v>82815</v>
      </c>
      <c r="K145" t="s">
        <v>1635</v>
      </c>
      <c r="L145">
        <v>3120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609</v>
      </c>
      <c r="D146" t="s">
        <v>610</v>
      </c>
      <c r="E146" s="8">
        <v>45982</v>
      </c>
      <c r="F146">
        <v>5</v>
      </c>
      <c r="G146">
        <v>2541</v>
      </c>
      <c r="H146">
        <v>77000</v>
      </c>
      <c r="I146">
        <v>11484</v>
      </c>
      <c r="J146">
        <v>65516</v>
      </c>
      <c r="K146" t="s">
        <v>1635</v>
      </c>
      <c r="L146">
        <v>2541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615</v>
      </c>
      <c r="D147" t="s">
        <v>616</v>
      </c>
      <c r="E147" s="8">
        <v>45975</v>
      </c>
      <c r="F147">
        <v>5</v>
      </c>
      <c r="G147">
        <v>2250</v>
      </c>
      <c r="H147">
        <v>68787</v>
      </c>
      <c r="I147">
        <v>10800</v>
      </c>
      <c r="J147">
        <v>57987</v>
      </c>
      <c r="K147" t="s">
        <v>1635</v>
      </c>
      <c r="L147">
        <v>2250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638</v>
      </c>
      <c r="D148" t="s">
        <v>639</v>
      </c>
      <c r="E148" s="8">
        <v>45975</v>
      </c>
      <c r="F148">
        <v>5</v>
      </c>
      <c r="G148">
        <v>1273</v>
      </c>
      <c r="H148">
        <v>22732</v>
      </c>
      <c r="I148">
        <v>6365</v>
      </c>
      <c r="J148">
        <v>16367</v>
      </c>
      <c r="K148" t="s">
        <v>1635</v>
      </c>
      <c r="L148">
        <v>1273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640</v>
      </c>
      <c r="D149" t="s">
        <v>641</v>
      </c>
      <c r="E149" s="8">
        <v>45982</v>
      </c>
      <c r="F149">
        <v>5</v>
      </c>
      <c r="G149">
        <v>2520</v>
      </c>
      <c r="H149">
        <v>76300</v>
      </c>
      <c r="I149">
        <v>11880</v>
      </c>
      <c r="J149">
        <v>64420</v>
      </c>
      <c r="K149" t="s">
        <v>1635</v>
      </c>
      <c r="L149">
        <v>2520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651</v>
      </c>
      <c r="D150" t="s">
        <v>652</v>
      </c>
      <c r="E150" s="8">
        <v>45982</v>
      </c>
      <c r="F150">
        <v>5</v>
      </c>
      <c r="G150">
        <v>4875</v>
      </c>
      <c r="H150">
        <v>148000</v>
      </c>
      <c r="I150">
        <v>22100</v>
      </c>
      <c r="J150">
        <v>125900</v>
      </c>
      <c r="K150" t="s">
        <v>1635</v>
      </c>
      <c r="L150">
        <v>4875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661</v>
      </c>
      <c r="D151" t="s">
        <v>662</v>
      </c>
      <c r="E151" s="8">
        <v>45982</v>
      </c>
      <c r="F151">
        <v>5</v>
      </c>
      <c r="G151">
        <v>4005</v>
      </c>
      <c r="H151">
        <v>121500</v>
      </c>
      <c r="I151">
        <v>17820</v>
      </c>
      <c r="J151">
        <v>103680</v>
      </c>
      <c r="K151" t="s">
        <v>1635</v>
      </c>
      <c r="L151">
        <v>4005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663</v>
      </c>
      <c r="D152" t="s">
        <v>664</v>
      </c>
      <c r="E152" s="8">
        <v>45982</v>
      </c>
      <c r="F152">
        <v>5</v>
      </c>
      <c r="G152">
        <v>1260</v>
      </c>
      <c r="H152">
        <v>23283</v>
      </c>
      <c r="I152">
        <v>6300</v>
      </c>
      <c r="J152">
        <v>16983</v>
      </c>
      <c r="K152" t="s">
        <v>1635</v>
      </c>
      <c r="L152">
        <v>1260</v>
      </c>
      <c r="M152" t="s">
        <v>1635</v>
      </c>
      <c r="N152">
        <v>0</v>
      </c>
    </row>
    <row r="153" spans="1:14">
      <c r="A153">
        <v>1</v>
      </c>
      <c r="B153" t="s">
        <v>15</v>
      </c>
      <c r="C153" t="s">
        <v>665</v>
      </c>
      <c r="D153" t="s">
        <v>666</v>
      </c>
      <c r="E153" s="8">
        <v>45975</v>
      </c>
      <c r="F153">
        <v>5</v>
      </c>
      <c r="G153">
        <v>1815</v>
      </c>
      <c r="H153">
        <v>30538</v>
      </c>
      <c r="I153">
        <v>9075</v>
      </c>
      <c r="J153">
        <v>21463</v>
      </c>
      <c r="K153" t="s">
        <v>1635</v>
      </c>
      <c r="L153">
        <v>1815</v>
      </c>
      <c r="M153" t="s">
        <v>1635</v>
      </c>
      <c r="N153">
        <v>0</v>
      </c>
    </row>
    <row r="154" spans="1:14">
      <c r="A154">
        <v>1</v>
      </c>
      <c r="B154" t="s">
        <v>15</v>
      </c>
      <c r="C154" t="s">
        <v>669</v>
      </c>
      <c r="D154" t="s">
        <v>670</v>
      </c>
      <c r="E154" s="8">
        <v>45975</v>
      </c>
      <c r="F154">
        <v>5</v>
      </c>
      <c r="G154">
        <v>3834</v>
      </c>
      <c r="H154">
        <v>111671</v>
      </c>
      <c r="I154">
        <v>17596</v>
      </c>
      <c r="J154">
        <v>94075</v>
      </c>
      <c r="K154" t="s">
        <v>1635</v>
      </c>
      <c r="L154">
        <v>3834</v>
      </c>
      <c r="M154" t="s">
        <v>1635</v>
      </c>
      <c r="N154">
        <v>0</v>
      </c>
    </row>
    <row r="155" spans="1:14">
      <c r="A155">
        <v>1</v>
      </c>
      <c r="B155" t="s">
        <v>15</v>
      </c>
      <c r="C155" t="s">
        <v>675</v>
      </c>
      <c r="D155" t="s">
        <v>676</v>
      </c>
      <c r="E155" s="8">
        <v>45982</v>
      </c>
      <c r="F155">
        <v>5</v>
      </c>
      <c r="G155">
        <v>2041.2</v>
      </c>
      <c r="H155">
        <v>36749</v>
      </c>
      <c r="I155">
        <v>10206</v>
      </c>
      <c r="J155">
        <v>26543</v>
      </c>
      <c r="K155" t="s">
        <v>1635</v>
      </c>
      <c r="L155">
        <v>2041.2</v>
      </c>
      <c r="M155" t="s">
        <v>1635</v>
      </c>
      <c r="N155">
        <v>0</v>
      </c>
    </row>
    <row r="156" spans="1:14">
      <c r="A156">
        <v>1</v>
      </c>
      <c r="B156" t="s">
        <v>15</v>
      </c>
      <c r="C156" t="s">
        <v>677</v>
      </c>
      <c r="D156" t="s">
        <v>678</v>
      </c>
      <c r="E156" s="8">
        <v>45982</v>
      </c>
      <c r="F156">
        <v>5</v>
      </c>
      <c r="G156">
        <v>2576</v>
      </c>
      <c r="H156">
        <v>75768</v>
      </c>
      <c r="I156">
        <v>12194</v>
      </c>
      <c r="J156">
        <v>63574</v>
      </c>
      <c r="K156" t="s">
        <v>1635</v>
      </c>
      <c r="L156">
        <v>2576</v>
      </c>
      <c r="M156" t="s">
        <v>1635</v>
      </c>
      <c r="N156">
        <v>0</v>
      </c>
    </row>
    <row r="157" spans="1:14">
      <c r="A157">
        <v>1</v>
      </c>
      <c r="B157" t="s">
        <v>15</v>
      </c>
      <c r="C157" t="s">
        <v>679</v>
      </c>
      <c r="D157" t="s">
        <v>680</v>
      </c>
      <c r="E157" s="8">
        <v>45975</v>
      </c>
      <c r="F157">
        <v>5</v>
      </c>
      <c r="G157">
        <v>2670</v>
      </c>
      <c r="H157">
        <v>80999</v>
      </c>
      <c r="I157">
        <v>11880</v>
      </c>
      <c r="J157">
        <v>69119</v>
      </c>
      <c r="K157" t="s">
        <v>1635</v>
      </c>
      <c r="L157">
        <v>2670</v>
      </c>
      <c r="M157" t="s">
        <v>1635</v>
      </c>
      <c r="N157">
        <v>0</v>
      </c>
    </row>
    <row r="158" spans="1:14">
      <c r="A158">
        <v>1</v>
      </c>
      <c r="B158" t="s">
        <v>15</v>
      </c>
      <c r="C158" t="s">
        <v>694</v>
      </c>
      <c r="D158" t="s">
        <v>695</v>
      </c>
      <c r="E158" s="8">
        <v>45975</v>
      </c>
      <c r="F158">
        <v>5</v>
      </c>
      <c r="G158">
        <v>1320</v>
      </c>
      <c r="H158">
        <v>26600</v>
      </c>
      <c r="I158">
        <v>6600</v>
      </c>
      <c r="J158">
        <v>20000</v>
      </c>
      <c r="K158" t="s">
        <v>1635</v>
      </c>
      <c r="L158">
        <v>1320</v>
      </c>
      <c r="M158" t="s">
        <v>1635</v>
      </c>
      <c r="N158">
        <v>0</v>
      </c>
    </row>
    <row r="159" spans="1:14">
      <c r="A159">
        <v>1</v>
      </c>
      <c r="B159" t="s">
        <v>15</v>
      </c>
      <c r="C159" t="s">
        <v>707</v>
      </c>
      <c r="D159" t="s">
        <v>708</v>
      </c>
      <c r="E159" s="8">
        <v>45982</v>
      </c>
      <c r="F159">
        <v>5</v>
      </c>
      <c r="G159">
        <v>3354</v>
      </c>
      <c r="H159">
        <v>103822</v>
      </c>
      <c r="I159">
        <v>15136</v>
      </c>
      <c r="J159">
        <v>88686</v>
      </c>
      <c r="K159" t="s">
        <v>1635</v>
      </c>
      <c r="L159">
        <v>3354</v>
      </c>
      <c r="M159" t="s">
        <v>1635</v>
      </c>
      <c r="N159">
        <v>0</v>
      </c>
    </row>
    <row r="160" spans="1:14">
      <c r="A160">
        <v>1</v>
      </c>
      <c r="B160" t="s">
        <v>15</v>
      </c>
      <c r="C160" t="s">
        <v>778</v>
      </c>
      <c r="D160" t="s">
        <v>779</v>
      </c>
      <c r="E160" s="8">
        <v>45982</v>
      </c>
      <c r="F160">
        <v>5</v>
      </c>
      <c r="G160">
        <v>1014</v>
      </c>
      <c r="H160">
        <v>17949</v>
      </c>
      <c r="I160">
        <v>5070</v>
      </c>
      <c r="J160">
        <v>12879</v>
      </c>
      <c r="K160" t="s">
        <v>1635</v>
      </c>
      <c r="L160">
        <v>1014</v>
      </c>
      <c r="M160" t="s">
        <v>1635</v>
      </c>
      <c r="N160">
        <v>0</v>
      </c>
    </row>
    <row r="161" spans="1:14">
      <c r="A161">
        <v>1</v>
      </c>
      <c r="B161" t="s">
        <v>15</v>
      </c>
      <c r="C161" t="s">
        <v>818</v>
      </c>
      <c r="D161" t="s">
        <v>819</v>
      </c>
      <c r="E161" s="8">
        <v>45975</v>
      </c>
      <c r="F161">
        <v>5</v>
      </c>
      <c r="G161">
        <v>1189</v>
      </c>
      <c r="H161">
        <v>21735</v>
      </c>
      <c r="I161">
        <v>5191</v>
      </c>
      <c r="J161">
        <v>16544</v>
      </c>
      <c r="K161" t="s">
        <v>1635</v>
      </c>
      <c r="L161">
        <v>1189</v>
      </c>
      <c r="M161" t="s">
        <v>1635</v>
      </c>
      <c r="N161">
        <v>0</v>
      </c>
    </row>
    <row r="162" spans="1:14">
      <c r="A162">
        <v>1</v>
      </c>
      <c r="B162" t="s">
        <v>15</v>
      </c>
      <c r="C162" t="s">
        <v>38</v>
      </c>
      <c r="D162" t="s">
        <v>39</v>
      </c>
      <c r="E162" s="8">
        <v>45975</v>
      </c>
      <c r="F162">
        <v>6</v>
      </c>
      <c r="G162">
        <v>1840</v>
      </c>
      <c r="H162">
        <v>55000</v>
      </c>
      <c r="I162">
        <v>11040</v>
      </c>
      <c r="J162">
        <v>43960</v>
      </c>
      <c r="K162" t="s">
        <v>1635</v>
      </c>
      <c r="L162">
        <v>1840</v>
      </c>
      <c r="M162" t="s">
        <v>1635</v>
      </c>
      <c r="N162">
        <v>0</v>
      </c>
    </row>
    <row r="163" spans="1:14">
      <c r="A163">
        <v>1</v>
      </c>
      <c r="B163" t="s">
        <v>15</v>
      </c>
      <c r="C163" t="s">
        <v>40</v>
      </c>
      <c r="D163" t="s">
        <v>41</v>
      </c>
      <c r="E163" s="8">
        <v>45982</v>
      </c>
      <c r="F163">
        <v>6</v>
      </c>
      <c r="G163">
        <v>1840</v>
      </c>
      <c r="H163">
        <v>55000</v>
      </c>
      <c r="I163">
        <v>11040</v>
      </c>
      <c r="J163">
        <v>43960</v>
      </c>
      <c r="K163" t="s">
        <v>1635</v>
      </c>
      <c r="L163">
        <v>1840</v>
      </c>
      <c r="M163" t="s">
        <v>1635</v>
      </c>
      <c r="N163">
        <v>0</v>
      </c>
    </row>
    <row r="164" spans="1:14">
      <c r="A164">
        <v>1</v>
      </c>
      <c r="B164" t="s">
        <v>15</v>
      </c>
      <c r="C164" t="s">
        <v>53</v>
      </c>
      <c r="D164" t="s">
        <v>54</v>
      </c>
      <c r="E164" s="8">
        <v>45975</v>
      </c>
      <c r="F164">
        <v>6</v>
      </c>
      <c r="G164">
        <v>3471</v>
      </c>
      <c r="H164">
        <v>103759</v>
      </c>
      <c r="I164">
        <v>20826</v>
      </c>
      <c r="J164">
        <v>82933</v>
      </c>
      <c r="K164" t="s">
        <v>1635</v>
      </c>
      <c r="L164">
        <v>3471</v>
      </c>
      <c r="M164" t="s">
        <v>1635</v>
      </c>
      <c r="N164">
        <v>0</v>
      </c>
    </row>
    <row r="165" spans="1:14">
      <c r="A165">
        <v>1</v>
      </c>
      <c r="B165" t="s">
        <v>15</v>
      </c>
      <c r="C165" t="s">
        <v>55</v>
      </c>
      <c r="D165" t="s">
        <v>56</v>
      </c>
      <c r="E165" s="8">
        <v>45975</v>
      </c>
      <c r="F165">
        <v>6</v>
      </c>
      <c r="G165">
        <v>3045</v>
      </c>
      <c r="H165">
        <v>90955</v>
      </c>
      <c r="I165">
        <v>15225</v>
      </c>
      <c r="J165">
        <v>75730</v>
      </c>
      <c r="K165" t="s">
        <v>1635</v>
      </c>
      <c r="L165">
        <v>3045</v>
      </c>
      <c r="M165" t="s">
        <v>1635</v>
      </c>
      <c r="N165">
        <v>0</v>
      </c>
    </row>
    <row r="166" spans="1:14">
      <c r="A166">
        <v>1</v>
      </c>
      <c r="B166" t="s">
        <v>15</v>
      </c>
      <c r="C166" t="s">
        <v>75</v>
      </c>
      <c r="D166" t="s">
        <v>76</v>
      </c>
      <c r="E166" s="8">
        <v>45975</v>
      </c>
      <c r="F166">
        <v>6</v>
      </c>
      <c r="G166">
        <v>4108</v>
      </c>
      <c r="H166">
        <v>75868</v>
      </c>
      <c r="I166">
        <v>22620</v>
      </c>
      <c r="J166">
        <v>53248</v>
      </c>
      <c r="K166" t="s">
        <v>1635</v>
      </c>
      <c r="L166">
        <v>4108</v>
      </c>
      <c r="M166" t="s">
        <v>1635</v>
      </c>
      <c r="N166">
        <v>0</v>
      </c>
    </row>
    <row r="167" spans="1:14">
      <c r="A167">
        <v>1</v>
      </c>
      <c r="B167" t="s">
        <v>15</v>
      </c>
      <c r="C167" t="s">
        <v>79</v>
      </c>
      <c r="D167" t="s">
        <v>80</v>
      </c>
      <c r="E167" s="8">
        <v>45982</v>
      </c>
      <c r="F167">
        <v>6</v>
      </c>
      <c r="G167">
        <v>4134</v>
      </c>
      <c r="H167">
        <v>78000</v>
      </c>
      <c r="I167">
        <v>23560</v>
      </c>
      <c r="J167">
        <v>54440</v>
      </c>
      <c r="K167" t="s">
        <v>1635</v>
      </c>
      <c r="L167">
        <v>4134</v>
      </c>
      <c r="M167" t="s">
        <v>1635</v>
      </c>
      <c r="N167">
        <v>0</v>
      </c>
    </row>
    <row r="168" spans="1:14">
      <c r="A168">
        <v>1</v>
      </c>
      <c r="B168" t="s">
        <v>15</v>
      </c>
      <c r="C168" t="s">
        <v>85</v>
      </c>
      <c r="D168" t="s">
        <v>86</v>
      </c>
      <c r="E168" s="8">
        <v>45982</v>
      </c>
      <c r="F168">
        <v>6</v>
      </c>
      <c r="G168">
        <v>2970</v>
      </c>
      <c r="H168">
        <v>88849</v>
      </c>
      <c r="I168">
        <v>17820</v>
      </c>
      <c r="J168">
        <v>71029</v>
      </c>
      <c r="K168" t="s">
        <v>1635</v>
      </c>
      <c r="L168">
        <v>2970</v>
      </c>
      <c r="M168" t="s">
        <v>1635</v>
      </c>
      <c r="N168">
        <v>0</v>
      </c>
    </row>
    <row r="169" spans="1:14">
      <c r="A169">
        <v>1</v>
      </c>
      <c r="B169" t="s">
        <v>15</v>
      </c>
      <c r="C169" t="s">
        <v>91</v>
      </c>
      <c r="D169" t="s">
        <v>92</v>
      </c>
      <c r="E169" s="8">
        <v>45982</v>
      </c>
      <c r="F169">
        <v>6</v>
      </c>
      <c r="G169">
        <v>2475</v>
      </c>
      <c r="H169">
        <v>73000</v>
      </c>
      <c r="I169">
        <v>14850</v>
      </c>
      <c r="J169">
        <v>58150</v>
      </c>
      <c r="K169" t="s">
        <v>1635</v>
      </c>
      <c r="L169">
        <v>2475</v>
      </c>
      <c r="M169" t="s">
        <v>1635</v>
      </c>
      <c r="N169">
        <v>0</v>
      </c>
    </row>
    <row r="170" spans="1:14">
      <c r="A170">
        <v>1</v>
      </c>
      <c r="B170" t="s">
        <v>15</v>
      </c>
      <c r="C170" t="s">
        <v>93</v>
      </c>
      <c r="D170" t="s">
        <v>94</v>
      </c>
      <c r="E170" s="8">
        <v>45982</v>
      </c>
      <c r="F170">
        <v>6</v>
      </c>
      <c r="G170">
        <v>2700</v>
      </c>
      <c r="H170">
        <v>80000</v>
      </c>
      <c r="I170">
        <v>16200</v>
      </c>
      <c r="J170">
        <v>63800</v>
      </c>
      <c r="K170" t="s">
        <v>1635</v>
      </c>
      <c r="L170">
        <v>2700</v>
      </c>
      <c r="M170" t="s">
        <v>1635</v>
      </c>
      <c r="N170">
        <v>0</v>
      </c>
    </row>
    <row r="171" spans="1:14">
      <c r="A171">
        <v>1</v>
      </c>
      <c r="B171" t="s">
        <v>15</v>
      </c>
      <c r="C171" t="s">
        <v>100</v>
      </c>
      <c r="D171" t="s">
        <v>101</v>
      </c>
      <c r="E171" s="8">
        <v>45982</v>
      </c>
      <c r="F171">
        <v>6</v>
      </c>
      <c r="G171">
        <v>3116</v>
      </c>
      <c r="H171">
        <v>92555</v>
      </c>
      <c r="I171">
        <v>18416.669999999998</v>
      </c>
      <c r="J171">
        <v>74138.33</v>
      </c>
      <c r="K171" t="s">
        <v>1635</v>
      </c>
      <c r="L171">
        <v>3116</v>
      </c>
      <c r="M171" t="s">
        <v>1635</v>
      </c>
      <c r="N171">
        <v>0</v>
      </c>
    </row>
    <row r="172" spans="1:14">
      <c r="A172">
        <v>1</v>
      </c>
      <c r="B172" t="s">
        <v>15</v>
      </c>
      <c r="C172" t="s">
        <v>102</v>
      </c>
      <c r="D172" t="s">
        <v>103</v>
      </c>
      <c r="E172" s="8">
        <v>45975</v>
      </c>
      <c r="F172">
        <v>6</v>
      </c>
      <c r="G172">
        <v>5460</v>
      </c>
      <c r="H172">
        <v>100000</v>
      </c>
      <c r="I172">
        <v>29850</v>
      </c>
      <c r="J172">
        <v>70150</v>
      </c>
      <c r="K172" t="s">
        <v>1635</v>
      </c>
      <c r="L172">
        <v>5460</v>
      </c>
      <c r="M172" t="s">
        <v>1635</v>
      </c>
      <c r="N172">
        <v>0</v>
      </c>
    </row>
    <row r="173" spans="1:14">
      <c r="A173">
        <v>1</v>
      </c>
      <c r="B173" t="s">
        <v>15</v>
      </c>
      <c r="C173" t="s">
        <v>113</v>
      </c>
      <c r="D173" t="s">
        <v>114</v>
      </c>
      <c r="E173" s="8">
        <v>45982</v>
      </c>
      <c r="F173">
        <v>6</v>
      </c>
      <c r="G173">
        <v>5280</v>
      </c>
      <c r="H173">
        <v>160091</v>
      </c>
      <c r="I173">
        <v>31200</v>
      </c>
      <c r="J173">
        <v>128891</v>
      </c>
      <c r="K173" t="s">
        <v>1635</v>
      </c>
      <c r="L173">
        <v>5280</v>
      </c>
      <c r="M173" t="s">
        <v>1635</v>
      </c>
      <c r="N173">
        <v>0</v>
      </c>
    </row>
    <row r="174" spans="1:14">
      <c r="A174">
        <v>1</v>
      </c>
      <c r="B174" t="s">
        <v>15</v>
      </c>
      <c r="C174" t="s">
        <v>129</v>
      </c>
      <c r="D174" t="s">
        <v>130</v>
      </c>
      <c r="E174" s="8">
        <v>45975</v>
      </c>
      <c r="F174">
        <v>6</v>
      </c>
      <c r="G174">
        <v>3080</v>
      </c>
      <c r="H174">
        <v>94515</v>
      </c>
      <c r="I174">
        <v>18284</v>
      </c>
      <c r="J174">
        <v>76231</v>
      </c>
      <c r="K174" t="s">
        <v>1635</v>
      </c>
      <c r="L174">
        <v>3080</v>
      </c>
      <c r="M174" t="s">
        <v>1635</v>
      </c>
      <c r="N174">
        <v>0</v>
      </c>
    </row>
    <row r="175" spans="1:14">
      <c r="A175">
        <v>1</v>
      </c>
      <c r="B175" t="s">
        <v>15</v>
      </c>
      <c r="C175" t="s">
        <v>131</v>
      </c>
      <c r="D175" t="s">
        <v>132</v>
      </c>
      <c r="E175" s="8">
        <v>45975</v>
      </c>
      <c r="F175">
        <v>6</v>
      </c>
      <c r="G175">
        <v>3250</v>
      </c>
      <c r="H175">
        <v>98883</v>
      </c>
      <c r="I175">
        <v>18850</v>
      </c>
      <c r="J175">
        <v>80033</v>
      </c>
      <c r="K175" t="s">
        <v>1635</v>
      </c>
      <c r="L175">
        <v>3250</v>
      </c>
      <c r="M175" t="s">
        <v>1635</v>
      </c>
      <c r="N175">
        <v>0</v>
      </c>
    </row>
    <row r="176" spans="1:14">
      <c r="A176">
        <v>1</v>
      </c>
      <c r="B176" t="s">
        <v>15</v>
      </c>
      <c r="C176" t="s">
        <v>147</v>
      </c>
      <c r="D176" t="s">
        <v>148</v>
      </c>
      <c r="E176" s="8">
        <v>45982</v>
      </c>
      <c r="F176">
        <v>6</v>
      </c>
      <c r="G176">
        <v>2752</v>
      </c>
      <c r="H176">
        <v>81225</v>
      </c>
      <c r="I176">
        <v>16370</v>
      </c>
      <c r="J176">
        <v>64855</v>
      </c>
      <c r="K176" t="s">
        <v>1635</v>
      </c>
      <c r="L176">
        <v>2752</v>
      </c>
      <c r="M176" t="s">
        <v>1635</v>
      </c>
      <c r="N176">
        <v>0</v>
      </c>
    </row>
    <row r="177" spans="1:14">
      <c r="A177">
        <v>1</v>
      </c>
      <c r="B177" t="s">
        <v>15</v>
      </c>
      <c r="C177" t="s">
        <v>149</v>
      </c>
      <c r="D177" t="s">
        <v>150</v>
      </c>
      <c r="E177" s="8">
        <v>45975</v>
      </c>
      <c r="F177">
        <v>6</v>
      </c>
      <c r="G177">
        <v>3445</v>
      </c>
      <c r="H177">
        <v>104637</v>
      </c>
      <c r="I177">
        <v>19608.330000000002</v>
      </c>
      <c r="J177">
        <v>85028.67</v>
      </c>
      <c r="K177" t="s">
        <v>1635</v>
      </c>
      <c r="L177">
        <v>3445</v>
      </c>
      <c r="M177" t="s">
        <v>1635</v>
      </c>
      <c r="N177">
        <v>0</v>
      </c>
    </row>
    <row r="178" spans="1:14">
      <c r="A178">
        <v>1</v>
      </c>
      <c r="B178" t="s">
        <v>15</v>
      </c>
      <c r="C178" t="s">
        <v>161</v>
      </c>
      <c r="D178" t="s">
        <v>162</v>
      </c>
      <c r="E178" s="8">
        <v>45982</v>
      </c>
      <c r="F178">
        <v>6</v>
      </c>
      <c r="G178">
        <v>2862</v>
      </c>
      <c r="H178">
        <v>86000</v>
      </c>
      <c r="I178">
        <v>16430</v>
      </c>
      <c r="J178">
        <v>69570</v>
      </c>
      <c r="K178" t="s">
        <v>1635</v>
      </c>
      <c r="L178">
        <v>2862</v>
      </c>
      <c r="M178" t="s">
        <v>1635</v>
      </c>
      <c r="N178">
        <v>0</v>
      </c>
    </row>
    <row r="179" spans="1:14">
      <c r="A179">
        <v>1</v>
      </c>
      <c r="B179" t="s">
        <v>15</v>
      </c>
      <c r="C179" t="s">
        <v>177</v>
      </c>
      <c r="D179" t="s">
        <v>178</v>
      </c>
      <c r="E179" s="8">
        <v>45982</v>
      </c>
      <c r="F179">
        <v>6</v>
      </c>
      <c r="G179">
        <v>3055</v>
      </c>
      <c r="H179">
        <v>73660</v>
      </c>
      <c r="I179">
        <v>17875</v>
      </c>
      <c r="J179">
        <v>55785</v>
      </c>
      <c r="K179" t="s">
        <v>1635</v>
      </c>
      <c r="L179">
        <v>3055</v>
      </c>
      <c r="M179" t="s">
        <v>1635</v>
      </c>
      <c r="N179">
        <v>0</v>
      </c>
    </row>
    <row r="180" spans="1:14">
      <c r="A180">
        <v>1</v>
      </c>
      <c r="B180" t="s">
        <v>15</v>
      </c>
      <c r="C180" t="s">
        <v>211</v>
      </c>
      <c r="D180" t="s">
        <v>212</v>
      </c>
      <c r="E180" s="8">
        <v>45982</v>
      </c>
      <c r="F180">
        <v>6</v>
      </c>
      <c r="G180">
        <v>2000</v>
      </c>
      <c r="H180">
        <v>55200</v>
      </c>
      <c r="I180">
        <v>11533.33</v>
      </c>
      <c r="J180">
        <v>43666.67</v>
      </c>
      <c r="K180" t="s">
        <v>1635</v>
      </c>
      <c r="L180">
        <v>2000</v>
      </c>
      <c r="M180" t="s">
        <v>1635</v>
      </c>
      <c r="N180">
        <v>0</v>
      </c>
    </row>
    <row r="181" spans="1:14">
      <c r="A181">
        <v>1</v>
      </c>
      <c r="B181" t="s">
        <v>15</v>
      </c>
      <c r="C181" t="s">
        <v>328</v>
      </c>
      <c r="D181" t="s">
        <v>329</v>
      </c>
      <c r="E181" s="8">
        <v>45975</v>
      </c>
      <c r="F181">
        <v>6</v>
      </c>
      <c r="G181">
        <v>3780</v>
      </c>
      <c r="H181">
        <v>114888</v>
      </c>
      <c r="I181">
        <v>21110</v>
      </c>
      <c r="J181">
        <v>93778</v>
      </c>
      <c r="K181" t="s">
        <v>1635</v>
      </c>
      <c r="L181">
        <v>3780</v>
      </c>
      <c r="M181" t="s">
        <v>1635</v>
      </c>
      <c r="N181">
        <v>0</v>
      </c>
    </row>
    <row r="182" spans="1:14">
      <c r="A182">
        <v>1</v>
      </c>
      <c r="B182" t="s">
        <v>15</v>
      </c>
      <c r="C182" t="s">
        <v>352</v>
      </c>
      <c r="D182" t="s">
        <v>353</v>
      </c>
      <c r="E182" s="8">
        <v>45982</v>
      </c>
      <c r="F182">
        <v>6</v>
      </c>
      <c r="G182">
        <v>3250</v>
      </c>
      <c r="H182">
        <v>97686</v>
      </c>
      <c r="I182">
        <v>18250</v>
      </c>
      <c r="J182">
        <v>79436</v>
      </c>
      <c r="K182" t="s">
        <v>1635</v>
      </c>
      <c r="L182">
        <v>3250</v>
      </c>
      <c r="M182" t="s">
        <v>1635</v>
      </c>
      <c r="N182">
        <v>0</v>
      </c>
    </row>
    <row r="183" spans="1:14">
      <c r="A183">
        <v>1</v>
      </c>
      <c r="B183" t="s">
        <v>15</v>
      </c>
      <c r="C183" t="s">
        <v>356</v>
      </c>
      <c r="D183" t="s">
        <v>357</v>
      </c>
      <c r="E183" s="8">
        <v>45975</v>
      </c>
      <c r="F183">
        <v>6</v>
      </c>
      <c r="G183">
        <v>4176</v>
      </c>
      <c r="H183">
        <v>126800</v>
      </c>
      <c r="I183">
        <v>22700</v>
      </c>
      <c r="J183">
        <v>104100</v>
      </c>
      <c r="K183" t="s">
        <v>1635</v>
      </c>
      <c r="L183">
        <v>4176</v>
      </c>
      <c r="M183" t="s">
        <v>1635</v>
      </c>
      <c r="N183">
        <v>0</v>
      </c>
    </row>
    <row r="184" spans="1:14">
      <c r="A184">
        <v>1</v>
      </c>
      <c r="B184" t="s">
        <v>15</v>
      </c>
      <c r="C184" t="s">
        <v>358</v>
      </c>
      <c r="D184" t="s">
        <v>359</v>
      </c>
      <c r="E184" s="8">
        <v>45982</v>
      </c>
      <c r="F184">
        <v>6</v>
      </c>
      <c r="G184">
        <v>3360</v>
      </c>
      <c r="H184">
        <v>121800</v>
      </c>
      <c r="I184">
        <v>18400</v>
      </c>
      <c r="J184">
        <v>103400</v>
      </c>
      <c r="K184" t="s">
        <v>1635</v>
      </c>
      <c r="L184">
        <v>3360</v>
      </c>
      <c r="M184" t="s">
        <v>1635</v>
      </c>
      <c r="N184">
        <v>0</v>
      </c>
    </row>
    <row r="185" spans="1:14">
      <c r="A185">
        <v>1</v>
      </c>
      <c r="B185" t="s">
        <v>15</v>
      </c>
      <c r="C185" t="s">
        <v>360</v>
      </c>
      <c r="D185" t="s">
        <v>361</v>
      </c>
      <c r="E185" s="8">
        <v>45975</v>
      </c>
      <c r="F185">
        <v>6</v>
      </c>
      <c r="G185">
        <v>2696.1</v>
      </c>
      <c r="H185">
        <v>80000</v>
      </c>
      <c r="I185">
        <v>16176.6</v>
      </c>
      <c r="J185">
        <v>63823.4</v>
      </c>
      <c r="K185" t="s">
        <v>1635</v>
      </c>
      <c r="L185">
        <v>2696.1</v>
      </c>
      <c r="M185" t="s">
        <v>1635</v>
      </c>
      <c r="N185">
        <v>0</v>
      </c>
    </row>
    <row r="186" spans="1:14">
      <c r="A186">
        <v>1</v>
      </c>
      <c r="B186" t="s">
        <v>15</v>
      </c>
      <c r="C186" t="s">
        <v>366</v>
      </c>
      <c r="D186" t="s">
        <v>367</v>
      </c>
      <c r="E186" s="8">
        <v>45982</v>
      </c>
      <c r="F186">
        <v>6</v>
      </c>
      <c r="G186">
        <v>3016</v>
      </c>
      <c r="H186">
        <v>104008</v>
      </c>
      <c r="I186">
        <v>17260</v>
      </c>
      <c r="J186">
        <v>86748</v>
      </c>
      <c r="K186" t="s">
        <v>1635</v>
      </c>
      <c r="L186">
        <v>3016</v>
      </c>
      <c r="M186" t="s">
        <v>1635</v>
      </c>
      <c r="N186">
        <v>0</v>
      </c>
    </row>
    <row r="187" spans="1:14">
      <c r="A187">
        <v>1</v>
      </c>
      <c r="B187" t="s">
        <v>15</v>
      </c>
      <c r="C187" t="s">
        <v>377</v>
      </c>
      <c r="D187" t="s">
        <v>378</v>
      </c>
      <c r="E187" s="8">
        <v>45982</v>
      </c>
      <c r="F187">
        <v>6</v>
      </c>
      <c r="G187">
        <v>2200</v>
      </c>
      <c r="H187">
        <v>66000</v>
      </c>
      <c r="I187">
        <v>12600</v>
      </c>
      <c r="J187">
        <v>53400</v>
      </c>
      <c r="K187" t="s">
        <v>1635</v>
      </c>
      <c r="L187">
        <v>2200</v>
      </c>
      <c r="M187" t="s">
        <v>1635</v>
      </c>
      <c r="N187">
        <v>0</v>
      </c>
    </row>
    <row r="188" spans="1:14">
      <c r="A188">
        <v>1</v>
      </c>
      <c r="B188" t="s">
        <v>15</v>
      </c>
      <c r="C188" t="s">
        <v>385</v>
      </c>
      <c r="D188" t="s">
        <v>386</v>
      </c>
      <c r="E188" s="8">
        <v>45975</v>
      </c>
      <c r="F188">
        <v>6</v>
      </c>
      <c r="G188">
        <v>2914</v>
      </c>
      <c r="H188">
        <v>87624</v>
      </c>
      <c r="I188">
        <v>16450</v>
      </c>
      <c r="J188">
        <v>71174</v>
      </c>
      <c r="K188" t="s">
        <v>1635</v>
      </c>
      <c r="L188">
        <v>2914</v>
      </c>
      <c r="M188" t="s">
        <v>1635</v>
      </c>
      <c r="N188">
        <v>0</v>
      </c>
    </row>
    <row r="189" spans="1:14">
      <c r="A189">
        <v>1</v>
      </c>
      <c r="B189" t="s">
        <v>15</v>
      </c>
      <c r="C189" t="s">
        <v>391</v>
      </c>
      <c r="D189" t="s">
        <v>392</v>
      </c>
      <c r="E189" s="8">
        <v>45982</v>
      </c>
      <c r="F189">
        <v>6</v>
      </c>
      <c r="G189">
        <v>4242.12</v>
      </c>
      <c r="H189">
        <v>124469</v>
      </c>
      <c r="I189">
        <v>24223.199999999899</v>
      </c>
      <c r="J189">
        <v>100245.8</v>
      </c>
      <c r="K189" t="s">
        <v>1635</v>
      </c>
      <c r="L189">
        <v>4242.12</v>
      </c>
      <c r="M189" t="s">
        <v>1635</v>
      </c>
      <c r="N189">
        <v>0</v>
      </c>
    </row>
    <row r="190" spans="1:14">
      <c r="A190">
        <v>1</v>
      </c>
      <c r="B190" t="s">
        <v>15</v>
      </c>
      <c r="C190" t="s">
        <v>403</v>
      </c>
      <c r="D190" t="s">
        <v>404</v>
      </c>
      <c r="E190" s="8">
        <v>45975</v>
      </c>
      <c r="F190">
        <v>6</v>
      </c>
      <c r="G190">
        <v>2990</v>
      </c>
      <c r="H190">
        <v>107000</v>
      </c>
      <c r="I190">
        <v>17550</v>
      </c>
      <c r="J190">
        <v>89450</v>
      </c>
      <c r="K190" t="s">
        <v>1635</v>
      </c>
      <c r="L190">
        <v>2990</v>
      </c>
      <c r="M190" t="s">
        <v>1635</v>
      </c>
      <c r="N190">
        <v>0</v>
      </c>
    </row>
    <row r="191" spans="1:14">
      <c r="A191">
        <v>1</v>
      </c>
      <c r="B191" t="s">
        <v>15</v>
      </c>
      <c r="C191" t="s">
        <v>409</v>
      </c>
      <c r="D191" t="s">
        <v>410</v>
      </c>
      <c r="E191" s="8">
        <v>45982</v>
      </c>
      <c r="F191">
        <v>6</v>
      </c>
      <c r="G191">
        <v>2898</v>
      </c>
      <c r="H191">
        <v>88101</v>
      </c>
      <c r="I191">
        <v>14490</v>
      </c>
      <c r="J191">
        <v>73611</v>
      </c>
      <c r="K191" t="s">
        <v>1635</v>
      </c>
      <c r="L191">
        <v>2898</v>
      </c>
      <c r="M191" t="s">
        <v>1635</v>
      </c>
      <c r="N191">
        <v>0</v>
      </c>
    </row>
    <row r="192" spans="1:14">
      <c r="A192">
        <v>1</v>
      </c>
      <c r="B192" t="s">
        <v>15</v>
      </c>
      <c r="C192" t="s">
        <v>411</v>
      </c>
      <c r="D192" t="s">
        <v>412</v>
      </c>
      <c r="E192" s="8">
        <v>45975</v>
      </c>
      <c r="F192">
        <v>6</v>
      </c>
      <c r="G192">
        <v>368</v>
      </c>
      <c r="H192">
        <v>9216</v>
      </c>
      <c r="I192">
        <v>3220</v>
      </c>
      <c r="J192">
        <v>5996</v>
      </c>
      <c r="K192" t="s">
        <v>1635</v>
      </c>
      <c r="L192">
        <v>368</v>
      </c>
      <c r="M192" t="s">
        <v>1635</v>
      </c>
      <c r="N192">
        <v>0</v>
      </c>
    </row>
    <row r="193" spans="1:14">
      <c r="A193">
        <v>1</v>
      </c>
      <c r="B193" t="s">
        <v>15</v>
      </c>
      <c r="C193" t="s">
        <v>413</v>
      </c>
      <c r="D193" t="s">
        <v>414</v>
      </c>
      <c r="E193" s="8">
        <v>45975</v>
      </c>
      <c r="F193">
        <v>6</v>
      </c>
      <c r="G193">
        <v>1734</v>
      </c>
      <c r="H193">
        <v>50000</v>
      </c>
      <c r="I193">
        <v>10404</v>
      </c>
      <c r="J193">
        <v>39596</v>
      </c>
      <c r="K193" t="s">
        <v>1635</v>
      </c>
      <c r="L193">
        <v>1734</v>
      </c>
      <c r="M193" t="s">
        <v>1635</v>
      </c>
      <c r="N193">
        <v>0</v>
      </c>
    </row>
    <row r="194" spans="1:14">
      <c r="A194">
        <v>1</v>
      </c>
      <c r="B194" t="s">
        <v>15</v>
      </c>
      <c r="C194" t="s">
        <v>419</v>
      </c>
      <c r="D194" t="s">
        <v>420</v>
      </c>
      <c r="E194" s="8">
        <v>45982</v>
      </c>
      <c r="F194">
        <v>6</v>
      </c>
      <c r="G194">
        <v>476</v>
      </c>
      <c r="H194">
        <v>8410</v>
      </c>
      <c r="I194">
        <v>2856</v>
      </c>
      <c r="J194">
        <v>5554</v>
      </c>
      <c r="K194" t="s">
        <v>1635</v>
      </c>
      <c r="L194">
        <v>476</v>
      </c>
      <c r="M194" t="s">
        <v>1635</v>
      </c>
      <c r="N194">
        <v>0</v>
      </c>
    </row>
    <row r="195" spans="1:14">
      <c r="A195">
        <v>1</v>
      </c>
      <c r="B195" t="s">
        <v>15</v>
      </c>
      <c r="C195" t="s">
        <v>423</v>
      </c>
      <c r="D195" t="s">
        <v>424</v>
      </c>
      <c r="E195" s="8">
        <v>45982</v>
      </c>
      <c r="F195">
        <v>6</v>
      </c>
      <c r="G195">
        <v>2160</v>
      </c>
      <c r="H195">
        <v>75570</v>
      </c>
      <c r="I195">
        <v>12795</v>
      </c>
      <c r="J195">
        <v>62775</v>
      </c>
      <c r="K195" t="s">
        <v>1635</v>
      </c>
      <c r="L195">
        <v>2160</v>
      </c>
      <c r="M195" t="s">
        <v>1635</v>
      </c>
      <c r="N195">
        <v>0</v>
      </c>
    </row>
    <row r="196" spans="1:14">
      <c r="A196">
        <v>1</v>
      </c>
      <c r="B196" t="s">
        <v>15</v>
      </c>
      <c r="C196" t="s">
        <v>439</v>
      </c>
      <c r="D196" t="s">
        <v>440</v>
      </c>
      <c r="E196" s="8">
        <v>45982</v>
      </c>
      <c r="F196">
        <v>6</v>
      </c>
      <c r="G196">
        <v>1083</v>
      </c>
      <c r="H196">
        <v>20000</v>
      </c>
      <c r="I196">
        <v>6498</v>
      </c>
      <c r="J196">
        <v>13502</v>
      </c>
      <c r="K196" t="s">
        <v>1635</v>
      </c>
      <c r="L196">
        <v>1083</v>
      </c>
      <c r="M196" t="s">
        <v>1635</v>
      </c>
      <c r="N196">
        <v>0</v>
      </c>
    </row>
    <row r="197" spans="1:14">
      <c r="A197">
        <v>1</v>
      </c>
      <c r="B197" t="s">
        <v>15</v>
      </c>
      <c r="C197" t="s">
        <v>445</v>
      </c>
      <c r="D197" t="s">
        <v>446</v>
      </c>
      <c r="E197" s="8">
        <v>45982</v>
      </c>
      <c r="F197">
        <v>6</v>
      </c>
      <c r="G197">
        <v>2520</v>
      </c>
      <c r="H197">
        <v>76666</v>
      </c>
      <c r="I197">
        <v>14280</v>
      </c>
      <c r="J197">
        <v>62386</v>
      </c>
      <c r="K197" t="s">
        <v>1635</v>
      </c>
      <c r="L197">
        <v>2520</v>
      </c>
      <c r="M197" t="s">
        <v>1635</v>
      </c>
      <c r="N197">
        <v>0</v>
      </c>
    </row>
    <row r="198" spans="1:14">
      <c r="A198">
        <v>1</v>
      </c>
      <c r="B198" t="s">
        <v>15</v>
      </c>
      <c r="C198" t="s">
        <v>457</v>
      </c>
      <c r="D198" t="s">
        <v>458</v>
      </c>
      <c r="E198" s="8">
        <v>45982</v>
      </c>
      <c r="F198">
        <v>6</v>
      </c>
      <c r="G198">
        <v>1763</v>
      </c>
      <c r="H198">
        <v>66238</v>
      </c>
      <c r="I198">
        <v>10355</v>
      </c>
      <c r="J198">
        <v>55883</v>
      </c>
      <c r="K198" t="s">
        <v>1635</v>
      </c>
      <c r="L198">
        <v>1763</v>
      </c>
      <c r="M198" t="s">
        <v>1635</v>
      </c>
      <c r="N198">
        <v>0</v>
      </c>
    </row>
    <row r="199" spans="1:14">
      <c r="A199">
        <v>1</v>
      </c>
      <c r="B199" t="s">
        <v>15</v>
      </c>
      <c r="C199" t="s">
        <v>473</v>
      </c>
      <c r="D199" t="s">
        <v>474</v>
      </c>
      <c r="E199" s="8">
        <v>45982</v>
      </c>
      <c r="F199">
        <v>6</v>
      </c>
      <c r="G199">
        <v>1311</v>
      </c>
      <c r="H199">
        <v>23863</v>
      </c>
      <c r="I199">
        <v>7866</v>
      </c>
      <c r="J199">
        <v>15997</v>
      </c>
      <c r="K199" t="s">
        <v>1635</v>
      </c>
      <c r="L199">
        <v>1311</v>
      </c>
      <c r="M199" t="s">
        <v>1635</v>
      </c>
      <c r="N199">
        <v>0</v>
      </c>
    </row>
    <row r="200" spans="1:14">
      <c r="A200">
        <v>1</v>
      </c>
      <c r="B200" t="s">
        <v>15</v>
      </c>
      <c r="C200" t="s">
        <v>475</v>
      </c>
      <c r="D200" t="s">
        <v>476</v>
      </c>
      <c r="E200" s="8">
        <v>45975</v>
      </c>
      <c r="F200">
        <v>6</v>
      </c>
      <c r="G200">
        <v>1566</v>
      </c>
      <c r="H200">
        <v>29297</v>
      </c>
      <c r="I200">
        <v>8178</v>
      </c>
      <c r="J200">
        <v>21119</v>
      </c>
      <c r="K200" t="s">
        <v>1635</v>
      </c>
      <c r="L200">
        <v>1566</v>
      </c>
      <c r="M200" t="s">
        <v>1635</v>
      </c>
      <c r="N200">
        <v>0</v>
      </c>
    </row>
    <row r="201" spans="1:14">
      <c r="A201">
        <v>1</v>
      </c>
      <c r="B201" t="s">
        <v>15</v>
      </c>
      <c r="C201" t="s">
        <v>533</v>
      </c>
      <c r="D201" t="s">
        <v>534</v>
      </c>
      <c r="E201" s="8">
        <v>45975</v>
      </c>
      <c r="F201">
        <v>6</v>
      </c>
      <c r="G201">
        <v>1250</v>
      </c>
      <c r="H201">
        <v>22478</v>
      </c>
      <c r="I201">
        <v>7500</v>
      </c>
      <c r="J201">
        <v>14978</v>
      </c>
      <c r="K201" t="s">
        <v>1635</v>
      </c>
      <c r="L201">
        <v>1250</v>
      </c>
      <c r="M201" t="s">
        <v>1635</v>
      </c>
      <c r="N201">
        <v>0</v>
      </c>
    </row>
    <row r="202" spans="1:14">
      <c r="A202">
        <v>1</v>
      </c>
      <c r="B202" t="s">
        <v>15</v>
      </c>
      <c r="C202" t="s">
        <v>624</v>
      </c>
      <c r="D202" t="s">
        <v>625</v>
      </c>
      <c r="E202" s="8">
        <v>45975</v>
      </c>
      <c r="F202">
        <v>6</v>
      </c>
      <c r="G202">
        <v>3817.8</v>
      </c>
      <c r="H202">
        <v>109800</v>
      </c>
      <c r="I202">
        <v>17825.2</v>
      </c>
      <c r="J202">
        <v>91974.8</v>
      </c>
      <c r="K202" t="s">
        <v>1635</v>
      </c>
      <c r="L202">
        <v>3817.8</v>
      </c>
      <c r="M202" t="s">
        <v>1635</v>
      </c>
      <c r="N202">
        <v>0</v>
      </c>
    </row>
    <row r="203" spans="1:14">
      <c r="A203">
        <v>1</v>
      </c>
      <c r="B203" t="s">
        <v>15</v>
      </c>
      <c r="C203" t="s">
        <v>626</v>
      </c>
      <c r="D203" t="s">
        <v>627</v>
      </c>
      <c r="E203" s="8">
        <v>45982</v>
      </c>
      <c r="F203">
        <v>6</v>
      </c>
      <c r="G203">
        <v>3262.5</v>
      </c>
      <c r="H203">
        <v>105000</v>
      </c>
      <c r="I203">
        <v>14926</v>
      </c>
      <c r="J203">
        <v>90074</v>
      </c>
      <c r="K203" t="s">
        <v>1635</v>
      </c>
      <c r="L203">
        <v>3262.5</v>
      </c>
      <c r="M203" t="s">
        <v>1635</v>
      </c>
      <c r="N203">
        <v>0</v>
      </c>
    </row>
    <row r="204" spans="1:14">
      <c r="A204">
        <v>1</v>
      </c>
      <c r="B204" t="s">
        <v>15</v>
      </c>
      <c r="C204" t="s">
        <v>647</v>
      </c>
      <c r="D204" t="s">
        <v>648</v>
      </c>
      <c r="E204" s="8">
        <v>45982</v>
      </c>
      <c r="F204">
        <v>6</v>
      </c>
      <c r="G204">
        <v>966</v>
      </c>
      <c r="H204">
        <v>17689</v>
      </c>
      <c r="I204">
        <v>5750</v>
      </c>
      <c r="J204">
        <v>11939</v>
      </c>
      <c r="K204" t="s">
        <v>1635</v>
      </c>
      <c r="L204">
        <v>966</v>
      </c>
      <c r="M204" t="s">
        <v>1635</v>
      </c>
      <c r="N204">
        <v>0</v>
      </c>
    </row>
    <row r="205" spans="1:14">
      <c r="A205">
        <v>1</v>
      </c>
      <c r="B205" t="s">
        <v>15</v>
      </c>
      <c r="C205" t="s">
        <v>682</v>
      </c>
      <c r="D205" t="s">
        <v>683</v>
      </c>
      <c r="E205" s="8">
        <v>45982</v>
      </c>
      <c r="F205">
        <v>6</v>
      </c>
      <c r="G205">
        <v>1339</v>
      </c>
      <c r="H205">
        <v>22342</v>
      </c>
      <c r="I205">
        <v>8034</v>
      </c>
      <c r="J205">
        <v>14308</v>
      </c>
      <c r="K205" t="s">
        <v>1635</v>
      </c>
      <c r="L205">
        <v>1339</v>
      </c>
      <c r="M205" t="s">
        <v>1635</v>
      </c>
      <c r="N205">
        <v>0</v>
      </c>
    </row>
    <row r="206" spans="1:14">
      <c r="A206">
        <v>1</v>
      </c>
      <c r="B206" t="s">
        <v>15</v>
      </c>
      <c r="C206" t="s">
        <v>16</v>
      </c>
      <c r="D206" t="s">
        <v>17</v>
      </c>
      <c r="E206" s="8">
        <v>45982</v>
      </c>
      <c r="F206">
        <v>7</v>
      </c>
      <c r="G206">
        <v>5830</v>
      </c>
      <c r="H206">
        <v>97419</v>
      </c>
      <c r="I206">
        <v>29150</v>
      </c>
      <c r="J206">
        <v>68269</v>
      </c>
      <c r="K206" t="s">
        <v>1635</v>
      </c>
      <c r="L206">
        <v>5830</v>
      </c>
      <c r="M206" t="s">
        <v>1635</v>
      </c>
      <c r="N206">
        <v>0</v>
      </c>
    </row>
    <row r="207" spans="1:14">
      <c r="A207">
        <v>1</v>
      </c>
      <c r="B207" t="s">
        <v>15</v>
      </c>
      <c r="C207" t="s">
        <v>96</v>
      </c>
      <c r="D207" t="s">
        <v>97</v>
      </c>
      <c r="E207" s="8">
        <v>45975</v>
      </c>
      <c r="F207">
        <v>7</v>
      </c>
      <c r="G207">
        <v>5740</v>
      </c>
      <c r="H207">
        <v>105000</v>
      </c>
      <c r="I207">
        <v>37240</v>
      </c>
      <c r="J207">
        <v>67760</v>
      </c>
      <c r="K207" t="s">
        <v>1635</v>
      </c>
      <c r="L207">
        <v>5740</v>
      </c>
      <c r="M207" t="s">
        <v>1635</v>
      </c>
      <c r="N207">
        <v>0</v>
      </c>
    </row>
    <row r="208" spans="1:14">
      <c r="A208">
        <v>1</v>
      </c>
      <c r="B208" t="s">
        <v>15</v>
      </c>
      <c r="C208" t="s">
        <v>98</v>
      </c>
      <c r="D208" t="s">
        <v>99</v>
      </c>
      <c r="E208" s="8">
        <v>45982</v>
      </c>
      <c r="F208">
        <v>7</v>
      </c>
      <c r="G208">
        <v>5214</v>
      </c>
      <c r="H208">
        <v>95275</v>
      </c>
      <c r="I208">
        <v>33924</v>
      </c>
      <c r="J208">
        <v>61351</v>
      </c>
      <c r="K208" t="s">
        <v>1635</v>
      </c>
      <c r="L208">
        <v>5214</v>
      </c>
      <c r="M208" t="s">
        <v>1635</v>
      </c>
      <c r="N208">
        <v>0</v>
      </c>
    </row>
    <row r="209" spans="1:14">
      <c r="A209">
        <v>1</v>
      </c>
      <c r="B209" t="s">
        <v>15</v>
      </c>
      <c r="C209" t="s">
        <v>314</v>
      </c>
      <c r="D209" t="s">
        <v>315</v>
      </c>
      <c r="E209" s="8">
        <v>45982</v>
      </c>
      <c r="F209">
        <v>7</v>
      </c>
      <c r="G209">
        <v>3710</v>
      </c>
      <c r="H209">
        <v>106791.67</v>
      </c>
      <c r="I209">
        <v>22260</v>
      </c>
      <c r="J209">
        <v>84531.67</v>
      </c>
      <c r="K209" t="s">
        <v>1635</v>
      </c>
      <c r="L209">
        <v>3710</v>
      </c>
      <c r="M209" t="s">
        <v>1635</v>
      </c>
      <c r="N209">
        <v>0</v>
      </c>
    </row>
    <row r="210" spans="1:14">
      <c r="A210">
        <v>1</v>
      </c>
      <c r="B210" t="s">
        <v>15</v>
      </c>
      <c r="C210" t="s">
        <v>336</v>
      </c>
      <c r="D210" t="s">
        <v>337</v>
      </c>
      <c r="E210" s="8">
        <v>45975</v>
      </c>
      <c r="F210">
        <v>7</v>
      </c>
      <c r="G210">
        <v>2400</v>
      </c>
      <c r="H210">
        <v>44000</v>
      </c>
      <c r="I210">
        <v>16800</v>
      </c>
      <c r="J210">
        <v>27200</v>
      </c>
      <c r="K210" t="s">
        <v>1635</v>
      </c>
      <c r="L210">
        <v>2400</v>
      </c>
      <c r="M210" t="s">
        <v>1635</v>
      </c>
      <c r="N210">
        <v>0</v>
      </c>
    </row>
    <row r="211" spans="1:14">
      <c r="A211">
        <v>1</v>
      </c>
      <c r="B211" t="s">
        <v>15</v>
      </c>
      <c r="C211" t="s">
        <v>344</v>
      </c>
      <c r="D211" t="s">
        <v>345</v>
      </c>
      <c r="E211" s="8">
        <v>45982</v>
      </c>
      <c r="F211">
        <v>7</v>
      </c>
      <c r="G211">
        <v>4230</v>
      </c>
      <c r="H211">
        <v>119000</v>
      </c>
      <c r="I211">
        <v>27310</v>
      </c>
      <c r="J211">
        <v>91690</v>
      </c>
      <c r="K211" t="s">
        <v>1635</v>
      </c>
      <c r="L211">
        <v>4230</v>
      </c>
      <c r="M211" t="s">
        <v>1635</v>
      </c>
      <c r="N211">
        <v>0</v>
      </c>
    </row>
    <row r="212" spans="1:14">
      <c r="A212">
        <v>1</v>
      </c>
      <c r="B212" t="s">
        <v>15</v>
      </c>
      <c r="C212" t="s">
        <v>481</v>
      </c>
      <c r="D212" t="s">
        <v>482</v>
      </c>
      <c r="E212" s="8">
        <v>45975</v>
      </c>
      <c r="F212">
        <v>7</v>
      </c>
      <c r="G212">
        <v>4636</v>
      </c>
      <c r="H212">
        <v>141000</v>
      </c>
      <c r="I212">
        <v>30156</v>
      </c>
      <c r="J212">
        <v>110844</v>
      </c>
      <c r="K212" t="s">
        <v>1635</v>
      </c>
      <c r="L212">
        <v>4636</v>
      </c>
      <c r="M212" t="s">
        <v>1635</v>
      </c>
      <c r="N212">
        <v>0</v>
      </c>
    </row>
    <row r="213" spans="1:14">
      <c r="A213">
        <v>1</v>
      </c>
      <c r="B213" t="s">
        <v>15</v>
      </c>
      <c r="C213" t="s">
        <v>24</v>
      </c>
      <c r="D213" t="s">
        <v>25</v>
      </c>
      <c r="E213" s="8">
        <v>45975</v>
      </c>
      <c r="F213">
        <v>8</v>
      </c>
      <c r="G213">
        <v>3465</v>
      </c>
      <c r="H213">
        <v>92990</v>
      </c>
      <c r="I213">
        <v>17325</v>
      </c>
      <c r="J213">
        <v>75665</v>
      </c>
      <c r="K213" t="s">
        <v>1635</v>
      </c>
      <c r="L213">
        <v>3465</v>
      </c>
      <c r="M213" t="s">
        <v>1635</v>
      </c>
      <c r="N213">
        <v>0</v>
      </c>
    </row>
    <row r="214" spans="1:14">
      <c r="A214">
        <v>1</v>
      </c>
      <c r="B214" t="s">
        <v>15</v>
      </c>
      <c r="C214" t="s">
        <v>20</v>
      </c>
      <c r="D214" t="s">
        <v>21</v>
      </c>
      <c r="E214" s="8">
        <v>45982</v>
      </c>
      <c r="F214">
        <v>10</v>
      </c>
      <c r="G214">
        <v>6885</v>
      </c>
      <c r="H214">
        <v>94060</v>
      </c>
      <c r="I214">
        <v>34425</v>
      </c>
      <c r="J214">
        <v>59635</v>
      </c>
      <c r="K214" t="s">
        <v>1635</v>
      </c>
      <c r="L214">
        <v>6885</v>
      </c>
      <c r="M214" t="s">
        <v>1635</v>
      </c>
      <c r="N214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DBDD-E24A-4328-878A-BC673B468B5F}">
  <dimension ref="A1:N169"/>
  <sheetViews>
    <sheetView workbookViewId="0">
      <selection activeCell="K2" sqref="K2"/>
    </sheetView>
  </sheetViews>
  <sheetFormatPr baseColWidth="10" defaultColWidth="8.83203125" defaultRowHeight="14"/>
  <cols>
    <col min="2" max="2" width="29.6640625" bestFit="1" customWidth="1"/>
    <col min="3" max="3" width="18.33203125" bestFit="1" customWidth="1"/>
    <col min="4" max="4" width="13.83203125" bestFit="1" customWidth="1"/>
    <col min="5" max="5" width="17.1640625" bestFit="1" customWidth="1"/>
    <col min="11" max="11" width="13" bestFit="1" customWidth="1"/>
    <col min="13" max="13" width="13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304</v>
      </c>
      <c r="D2" t="s">
        <v>305</v>
      </c>
      <c r="E2" s="8">
        <v>45996</v>
      </c>
      <c r="F2">
        <v>3</v>
      </c>
      <c r="G2">
        <v>2470</v>
      </c>
      <c r="H2">
        <v>74000</v>
      </c>
      <c r="I2">
        <v>9880</v>
      </c>
      <c r="J2">
        <v>64120</v>
      </c>
      <c r="K2" t="s">
        <v>1635</v>
      </c>
      <c r="L2">
        <v>2470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28</v>
      </c>
      <c r="D3" t="s">
        <v>29</v>
      </c>
      <c r="E3" s="8">
        <v>45996</v>
      </c>
      <c r="F3">
        <v>4</v>
      </c>
      <c r="G3">
        <v>4160</v>
      </c>
      <c r="H3">
        <v>74642</v>
      </c>
      <c r="I3">
        <v>16640</v>
      </c>
      <c r="J3">
        <v>58002</v>
      </c>
      <c r="K3" t="s">
        <v>1635</v>
      </c>
      <c r="L3">
        <v>4160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30</v>
      </c>
      <c r="D4" t="s">
        <v>31</v>
      </c>
      <c r="E4" s="8">
        <v>45989</v>
      </c>
      <c r="F4">
        <v>4</v>
      </c>
      <c r="G4">
        <v>2835</v>
      </c>
      <c r="H4">
        <v>84000</v>
      </c>
      <c r="I4">
        <v>11340</v>
      </c>
      <c r="J4">
        <v>72660</v>
      </c>
      <c r="K4" t="s">
        <v>1635</v>
      </c>
      <c r="L4">
        <v>2835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36</v>
      </c>
      <c r="D5" t="s">
        <v>37</v>
      </c>
      <c r="E5" s="8">
        <v>45996</v>
      </c>
      <c r="F5">
        <v>4</v>
      </c>
      <c r="G5">
        <v>3200</v>
      </c>
      <c r="H5">
        <v>93677</v>
      </c>
      <c r="I5">
        <v>12800</v>
      </c>
      <c r="J5">
        <v>80877</v>
      </c>
      <c r="K5" t="s">
        <v>1635</v>
      </c>
      <c r="L5">
        <v>3200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48</v>
      </c>
      <c r="D6" t="s">
        <v>49</v>
      </c>
      <c r="E6" s="8">
        <v>45996</v>
      </c>
      <c r="F6">
        <v>4</v>
      </c>
      <c r="G6">
        <v>4625</v>
      </c>
      <c r="H6">
        <v>166113</v>
      </c>
      <c r="I6">
        <v>18500</v>
      </c>
      <c r="J6">
        <v>147613</v>
      </c>
      <c r="K6" t="s">
        <v>1635</v>
      </c>
      <c r="L6">
        <v>4625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50</v>
      </c>
      <c r="D7" t="s">
        <v>1642</v>
      </c>
      <c r="E7" s="8">
        <v>45989</v>
      </c>
      <c r="F7">
        <v>4</v>
      </c>
      <c r="G7">
        <v>4853.33</v>
      </c>
      <c r="H7">
        <v>98000</v>
      </c>
      <c r="I7">
        <v>19413.32</v>
      </c>
      <c r="J7">
        <v>78586.679999999993</v>
      </c>
      <c r="K7" t="s">
        <v>1635</v>
      </c>
      <c r="L7">
        <v>4853.33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51</v>
      </c>
      <c r="D8" t="s">
        <v>52</v>
      </c>
      <c r="E8" s="8">
        <v>45996</v>
      </c>
      <c r="F8">
        <v>4</v>
      </c>
      <c r="G8">
        <v>5035</v>
      </c>
      <c r="H8">
        <v>149000</v>
      </c>
      <c r="I8">
        <v>20140</v>
      </c>
      <c r="J8">
        <v>128860</v>
      </c>
      <c r="K8" t="s">
        <v>1635</v>
      </c>
      <c r="L8">
        <v>5035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223</v>
      </c>
      <c r="D9" t="s">
        <v>224</v>
      </c>
      <c r="E9" s="8">
        <v>45989</v>
      </c>
      <c r="F9">
        <v>4</v>
      </c>
      <c r="G9">
        <v>2800</v>
      </c>
      <c r="H9">
        <v>83560</v>
      </c>
      <c r="I9">
        <v>11200</v>
      </c>
      <c r="J9">
        <v>72360</v>
      </c>
      <c r="K9" t="s">
        <v>1635</v>
      </c>
      <c r="L9">
        <v>2800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264</v>
      </c>
      <c r="D10" t="s">
        <v>265</v>
      </c>
      <c r="E10" s="8">
        <v>45989</v>
      </c>
      <c r="F10">
        <v>4</v>
      </c>
      <c r="G10">
        <v>3850</v>
      </c>
      <c r="H10">
        <v>115960</v>
      </c>
      <c r="I10">
        <v>15400</v>
      </c>
      <c r="J10">
        <v>100560</v>
      </c>
      <c r="K10" t="s">
        <v>1635</v>
      </c>
      <c r="L10">
        <v>3850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479</v>
      </c>
      <c r="D11" t="s">
        <v>480</v>
      </c>
      <c r="E11" s="8">
        <v>45996</v>
      </c>
      <c r="F11">
        <v>4</v>
      </c>
      <c r="G11">
        <v>1118</v>
      </c>
      <c r="H11">
        <v>19456</v>
      </c>
      <c r="I11">
        <v>4472</v>
      </c>
      <c r="J11">
        <v>14984</v>
      </c>
      <c r="K11" t="s">
        <v>1635</v>
      </c>
      <c r="L11">
        <v>1118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529</v>
      </c>
      <c r="D12" t="s">
        <v>530</v>
      </c>
      <c r="E12" s="8">
        <v>45989</v>
      </c>
      <c r="F12">
        <v>4</v>
      </c>
      <c r="G12">
        <v>2970</v>
      </c>
      <c r="H12">
        <v>84000</v>
      </c>
      <c r="I12">
        <v>11880</v>
      </c>
      <c r="J12">
        <v>72120</v>
      </c>
      <c r="K12" t="s">
        <v>1635</v>
      </c>
      <c r="L12">
        <v>2970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537</v>
      </c>
      <c r="D13" t="s">
        <v>538</v>
      </c>
      <c r="E13" s="8">
        <v>45989</v>
      </c>
      <c r="F13">
        <v>4</v>
      </c>
      <c r="G13">
        <v>3472</v>
      </c>
      <c r="H13">
        <v>106500</v>
      </c>
      <c r="I13">
        <v>12846</v>
      </c>
      <c r="J13">
        <v>93654</v>
      </c>
      <c r="K13" t="s">
        <v>1635</v>
      </c>
      <c r="L13">
        <v>3472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588</v>
      </c>
      <c r="D14" t="s">
        <v>589</v>
      </c>
      <c r="E14" s="8">
        <v>45996</v>
      </c>
      <c r="F14">
        <v>4</v>
      </c>
      <c r="G14">
        <v>6624</v>
      </c>
      <c r="H14">
        <v>192989</v>
      </c>
      <c r="I14">
        <v>26496</v>
      </c>
      <c r="J14">
        <v>166493</v>
      </c>
      <c r="K14" t="s">
        <v>1635</v>
      </c>
      <c r="L14">
        <v>6624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592</v>
      </c>
      <c r="D15" t="s">
        <v>593</v>
      </c>
      <c r="E15" s="8">
        <v>45989</v>
      </c>
      <c r="F15">
        <v>4</v>
      </c>
      <c r="G15">
        <v>4466</v>
      </c>
      <c r="H15">
        <v>135000</v>
      </c>
      <c r="I15">
        <v>15468</v>
      </c>
      <c r="J15">
        <v>119532</v>
      </c>
      <c r="K15" t="s">
        <v>1635</v>
      </c>
      <c r="L15">
        <v>4466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642</v>
      </c>
      <c r="D16" t="s">
        <v>643</v>
      </c>
      <c r="E16" s="8">
        <v>45989</v>
      </c>
      <c r="F16">
        <v>4</v>
      </c>
      <c r="G16">
        <v>837</v>
      </c>
      <c r="H16">
        <v>15000</v>
      </c>
      <c r="I16">
        <v>3348</v>
      </c>
      <c r="J16">
        <v>11652</v>
      </c>
      <c r="K16" t="s">
        <v>1635</v>
      </c>
      <c r="L16">
        <v>837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644</v>
      </c>
      <c r="D17" t="s">
        <v>645</v>
      </c>
      <c r="E17" s="8">
        <v>45989</v>
      </c>
      <c r="F17">
        <v>4</v>
      </c>
      <c r="G17">
        <v>864</v>
      </c>
      <c r="H17">
        <v>15000</v>
      </c>
      <c r="I17">
        <v>3456</v>
      </c>
      <c r="J17">
        <v>11544</v>
      </c>
      <c r="K17" t="s">
        <v>1635</v>
      </c>
      <c r="L17">
        <v>864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655</v>
      </c>
      <c r="D18" t="s">
        <v>656</v>
      </c>
      <c r="E18" s="8">
        <v>45989</v>
      </c>
      <c r="F18">
        <v>4</v>
      </c>
      <c r="G18">
        <v>3200</v>
      </c>
      <c r="H18">
        <v>97000</v>
      </c>
      <c r="I18">
        <v>11600</v>
      </c>
      <c r="J18">
        <v>85400</v>
      </c>
      <c r="K18" t="s">
        <v>1635</v>
      </c>
      <c r="L18">
        <v>3200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690</v>
      </c>
      <c r="D19" t="s">
        <v>691</v>
      </c>
      <c r="E19" s="8">
        <v>45989</v>
      </c>
      <c r="F19">
        <v>4</v>
      </c>
      <c r="G19">
        <v>2970</v>
      </c>
      <c r="H19">
        <v>92468</v>
      </c>
      <c r="I19">
        <v>11550</v>
      </c>
      <c r="J19">
        <v>80918</v>
      </c>
      <c r="K19" t="s">
        <v>1635</v>
      </c>
      <c r="L19">
        <v>2970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706</v>
      </c>
      <c r="D20" t="s">
        <v>1654</v>
      </c>
      <c r="E20" s="8">
        <v>45989</v>
      </c>
      <c r="F20">
        <v>4</v>
      </c>
      <c r="G20">
        <v>2784</v>
      </c>
      <c r="H20">
        <v>82721</v>
      </c>
      <c r="I20">
        <v>10272</v>
      </c>
      <c r="J20">
        <v>72449</v>
      </c>
      <c r="K20" t="s">
        <v>1635</v>
      </c>
      <c r="L20">
        <v>2784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721</v>
      </c>
      <c r="D21" t="s">
        <v>722</v>
      </c>
      <c r="E21" s="8">
        <v>45996</v>
      </c>
      <c r="F21">
        <v>4</v>
      </c>
      <c r="G21">
        <v>4263</v>
      </c>
      <c r="H21">
        <v>122888</v>
      </c>
      <c r="I21">
        <v>15904</v>
      </c>
      <c r="J21">
        <v>106984</v>
      </c>
      <c r="K21" t="s">
        <v>1635</v>
      </c>
      <c r="L21">
        <v>4263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747</v>
      </c>
      <c r="D22" t="s">
        <v>748</v>
      </c>
      <c r="E22" s="8">
        <v>45989</v>
      </c>
      <c r="F22">
        <v>4</v>
      </c>
      <c r="G22">
        <v>2610</v>
      </c>
      <c r="H22">
        <v>75000</v>
      </c>
      <c r="I22">
        <v>9705</v>
      </c>
      <c r="J22">
        <v>65295</v>
      </c>
      <c r="K22" t="s">
        <v>1635</v>
      </c>
      <c r="L22">
        <v>2610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753</v>
      </c>
      <c r="D23" t="s">
        <v>754</v>
      </c>
      <c r="E23" s="8">
        <v>45996</v>
      </c>
      <c r="F23">
        <v>4</v>
      </c>
      <c r="G23">
        <v>7150</v>
      </c>
      <c r="H23">
        <v>212390</v>
      </c>
      <c r="I23">
        <v>25850</v>
      </c>
      <c r="J23">
        <v>186540</v>
      </c>
      <c r="K23" t="s">
        <v>1635</v>
      </c>
      <c r="L23">
        <v>7150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755</v>
      </c>
      <c r="D24" t="s">
        <v>756</v>
      </c>
      <c r="E24" s="8">
        <v>45996</v>
      </c>
      <c r="F24">
        <v>4</v>
      </c>
      <c r="G24">
        <v>4346</v>
      </c>
      <c r="H24">
        <v>129820</v>
      </c>
      <c r="I24">
        <v>15208</v>
      </c>
      <c r="J24">
        <v>114612</v>
      </c>
      <c r="K24" t="s">
        <v>1635</v>
      </c>
      <c r="L24">
        <v>4346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759</v>
      </c>
      <c r="D25" t="s">
        <v>760</v>
      </c>
      <c r="E25" s="8">
        <v>45996</v>
      </c>
      <c r="F25">
        <v>4</v>
      </c>
      <c r="G25">
        <v>3075</v>
      </c>
      <c r="H25">
        <v>89698</v>
      </c>
      <c r="I25">
        <v>12300</v>
      </c>
      <c r="J25">
        <v>77398</v>
      </c>
      <c r="K25" t="s">
        <v>1635</v>
      </c>
      <c r="L25">
        <v>3075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763</v>
      </c>
      <c r="D26" t="s">
        <v>764</v>
      </c>
      <c r="E26" s="8">
        <v>45989</v>
      </c>
      <c r="F26">
        <v>4</v>
      </c>
      <c r="G26">
        <v>3402</v>
      </c>
      <c r="H26">
        <v>103000</v>
      </c>
      <c r="I26">
        <v>12366</v>
      </c>
      <c r="J26">
        <v>90634</v>
      </c>
      <c r="K26" t="s">
        <v>1635</v>
      </c>
      <c r="L26">
        <v>3402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767</v>
      </c>
      <c r="D27" t="s">
        <v>768</v>
      </c>
      <c r="E27" s="8">
        <v>45996</v>
      </c>
      <c r="F27">
        <v>4</v>
      </c>
      <c r="G27">
        <v>4576</v>
      </c>
      <c r="H27">
        <v>138000</v>
      </c>
      <c r="I27">
        <v>15808</v>
      </c>
      <c r="J27">
        <v>122192</v>
      </c>
      <c r="K27" t="s">
        <v>1635</v>
      </c>
      <c r="L27">
        <v>4576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782</v>
      </c>
      <c r="D28" t="s">
        <v>783</v>
      </c>
      <c r="E28" s="8">
        <v>45996</v>
      </c>
      <c r="F28">
        <v>4</v>
      </c>
      <c r="G28">
        <v>4400</v>
      </c>
      <c r="H28">
        <v>81000</v>
      </c>
      <c r="I28">
        <v>15200</v>
      </c>
      <c r="J28">
        <v>65800</v>
      </c>
      <c r="K28" t="s">
        <v>1635</v>
      </c>
      <c r="L28">
        <v>4400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786</v>
      </c>
      <c r="D29" t="s">
        <v>787</v>
      </c>
      <c r="E29" s="8">
        <v>45996</v>
      </c>
      <c r="F29">
        <v>4</v>
      </c>
      <c r="G29">
        <v>2790</v>
      </c>
      <c r="H29">
        <v>85000</v>
      </c>
      <c r="I29">
        <v>10170</v>
      </c>
      <c r="J29">
        <v>74830</v>
      </c>
      <c r="K29" t="s">
        <v>1635</v>
      </c>
      <c r="L29">
        <v>2790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788</v>
      </c>
      <c r="D30" t="s">
        <v>789</v>
      </c>
      <c r="E30" s="8">
        <v>45989</v>
      </c>
      <c r="F30">
        <v>4</v>
      </c>
      <c r="G30">
        <v>3010</v>
      </c>
      <c r="H30">
        <v>87928</v>
      </c>
      <c r="I30">
        <v>10800</v>
      </c>
      <c r="J30">
        <v>77128</v>
      </c>
      <c r="K30" t="s">
        <v>1635</v>
      </c>
      <c r="L30">
        <v>3010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800</v>
      </c>
      <c r="D31" t="s">
        <v>801</v>
      </c>
      <c r="E31" s="8">
        <v>45989</v>
      </c>
      <c r="F31">
        <v>4</v>
      </c>
      <c r="G31">
        <v>3960</v>
      </c>
      <c r="H31">
        <v>115000</v>
      </c>
      <c r="I31">
        <v>14380</v>
      </c>
      <c r="J31">
        <v>100620</v>
      </c>
      <c r="K31" t="s">
        <v>1635</v>
      </c>
      <c r="L31">
        <v>3960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804</v>
      </c>
      <c r="D32" t="s">
        <v>805</v>
      </c>
      <c r="E32" s="8">
        <v>45989</v>
      </c>
      <c r="F32">
        <v>4</v>
      </c>
      <c r="G32">
        <v>2806</v>
      </c>
      <c r="H32">
        <v>88000</v>
      </c>
      <c r="I32">
        <v>10258</v>
      </c>
      <c r="J32">
        <v>77742</v>
      </c>
      <c r="K32" t="s">
        <v>1635</v>
      </c>
      <c r="L32">
        <v>2806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808</v>
      </c>
      <c r="D33" t="s">
        <v>809</v>
      </c>
      <c r="E33" s="8">
        <v>45996</v>
      </c>
      <c r="F33">
        <v>4</v>
      </c>
      <c r="G33">
        <v>2772</v>
      </c>
      <c r="H33">
        <v>84000</v>
      </c>
      <c r="I33">
        <v>9996</v>
      </c>
      <c r="J33">
        <v>74004</v>
      </c>
      <c r="K33" t="s">
        <v>1635</v>
      </c>
      <c r="L33">
        <v>2772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810</v>
      </c>
      <c r="D34" t="s">
        <v>811</v>
      </c>
      <c r="E34" s="8">
        <v>45989</v>
      </c>
      <c r="F34">
        <v>4</v>
      </c>
      <c r="G34">
        <v>4503</v>
      </c>
      <c r="H34">
        <v>128888</v>
      </c>
      <c r="I34">
        <v>15889</v>
      </c>
      <c r="J34">
        <v>112999</v>
      </c>
      <c r="K34" t="s">
        <v>1635</v>
      </c>
      <c r="L34">
        <v>4503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812</v>
      </c>
      <c r="D35" t="s">
        <v>813</v>
      </c>
      <c r="E35" s="8">
        <v>45996</v>
      </c>
      <c r="F35">
        <v>4</v>
      </c>
      <c r="G35">
        <v>3960</v>
      </c>
      <c r="H35">
        <v>98000</v>
      </c>
      <c r="I35">
        <v>13640</v>
      </c>
      <c r="J35">
        <v>84360</v>
      </c>
      <c r="K35" t="s">
        <v>1635</v>
      </c>
      <c r="L35">
        <v>3960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46</v>
      </c>
      <c r="D36" t="s">
        <v>47</v>
      </c>
      <c r="E36" s="8">
        <v>45996</v>
      </c>
      <c r="F36">
        <v>5</v>
      </c>
      <c r="G36">
        <v>1334</v>
      </c>
      <c r="H36">
        <v>39593</v>
      </c>
      <c r="I36">
        <v>6670</v>
      </c>
      <c r="J36">
        <v>32923</v>
      </c>
      <c r="K36" t="s">
        <v>1635</v>
      </c>
      <c r="L36">
        <v>1334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59</v>
      </c>
      <c r="D37" t="s">
        <v>60</v>
      </c>
      <c r="E37" s="8">
        <v>45989</v>
      </c>
      <c r="F37">
        <v>5</v>
      </c>
      <c r="G37">
        <v>4897</v>
      </c>
      <c r="H37">
        <v>87339</v>
      </c>
      <c r="I37">
        <v>23528.9899999999</v>
      </c>
      <c r="J37">
        <v>63810.01</v>
      </c>
      <c r="K37" t="s">
        <v>1635</v>
      </c>
      <c r="L37">
        <v>4897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69</v>
      </c>
      <c r="D38" t="s">
        <v>70</v>
      </c>
      <c r="E38" s="8">
        <v>45989</v>
      </c>
      <c r="F38">
        <v>5</v>
      </c>
      <c r="G38">
        <v>2800</v>
      </c>
      <c r="H38">
        <v>95231</v>
      </c>
      <c r="I38">
        <v>13900</v>
      </c>
      <c r="J38">
        <v>81331</v>
      </c>
      <c r="K38" t="s">
        <v>1635</v>
      </c>
      <c r="L38">
        <v>2800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115</v>
      </c>
      <c r="D39" t="s">
        <v>116</v>
      </c>
      <c r="E39" s="8">
        <v>45996</v>
      </c>
      <c r="F39">
        <v>5</v>
      </c>
      <c r="G39">
        <v>4335</v>
      </c>
      <c r="H39">
        <v>80000</v>
      </c>
      <c r="I39">
        <v>20740</v>
      </c>
      <c r="J39">
        <v>59260</v>
      </c>
      <c r="K39" t="s">
        <v>1635</v>
      </c>
      <c r="L39">
        <v>4335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163</v>
      </c>
      <c r="D40" t="s">
        <v>164</v>
      </c>
      <c r="E40" s="8">
        <v>45996</v>
      </c>
      <c r="F40">
        <v>5</v>
      </c>
      <c r="G40">
        <v>2964</v>
      </c>
      <c r="H40">
        <v>97065</v>
      </c>
      <c r="I40">
        <v>14342.67</v>
      </c>
      <c r="J40">
        <v>82722.33</v>
      </c>
      <c r="K40" t="s">
        <v>1635</v>
      </c>
      <c r="L40">
        <v>2964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165</v>
      </c>
      <c r="D41" t="s">
        <v>166</v>
      </c>
      <c r="E41" s="8">
        <v>45996</v>
      </c>
      <c r="F41">
        <v>5</v>
      </c>
      <c r="G41">
        <v>4235</v>
      </c>
      <c r="H41">
        <v>128998</v>
      </c>
      <c r="I41">
        <v>19048.330000000002</v>
      </c>
      <c r="J41">
        <v>109949.67</v>
      </c>
      <c r="K41" t="s">
        <v>1635</v>
      </c>
      <c r="L41">
        <v>4235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181</v>
      </c>
      <c r="D42" t="s">
        <v>182</v>
      </c>
      <c r="E42" s="8">
        <v>45989</v>
      </c>
      <c r="F42">
        <v>5</v>
      </c>
      <c r="G42">
        <v>4600</v>
      </c>
      <c r="H42">
        <v>84886</v>
      </c>
      <c r="I42">
        <v>22400</v>
      </c>
      <c r="J42">
        <v>62486</v>
      </c>
      <c r="K42" t="s">
        <v>1635</v>
      </c>
      <c r="L42">
        <v>4600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189</v>
      </c>
      <c r="D43" t="s">
        <v>190</v>
      </c>
      <c r="E43" s="8">
        <v>45989</v>
      </c>
      <c r="F43">
        <v>5</v>
      </c>
      <c r="G43">
        <v>3750</v>
      </c>
      <c r="H43">
        <v>88000</v>
      </c>
      <c r="I43">
        <v>18750</v>
      </c>
      <c r="J43">
        <v>69250</v>
      </c>
      <c r="K43" t="s">
        <v>1635</v>
      </c>
      <c r="L43">
        <v>3750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205</v>
      </c>
      <c r="D44" t="s">
        <v>206</v>
      </c>
      <c r="E44" s="8">
        <v>45996</v>
      </c>
      <c r="F44">
        <v>5</v>
      </c>
      <c r="G44">
        <v>5805</v>
      </c>
      <c r="H44">
        <v>172980</v>
      </c>
      <c r="I44">
        <v>27420</v>
      </c>
      <c r="J44">
        <v>145560</v>
      </c>
      <c r="K44" t="s">
        <v>1635</v>
      </c>
      <c r="L44">
        <v>5805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207</v>
      </c>
      <c r="D45" t="s">
        <v>208</v>
      </c>
      <c r="E45" s="8">
        <v>45989</v>
      </c>
      <c r="F45">
        <v>5</v>
      </c>
      <c r="G45">
        <v>2360</v>
      </c>
      <c r="H45">
        <v>73000</v>
      </c>
      <c r="I45">
        <v>11503.33</v>
      </c>
      <c r="J45">
        <v>61496.67</v>
      </c>
      <c r="K45" t="s">
        <v>1635</v>
      </c>
      <c r="L45">
        <v>2360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209</v>
      </c>
      <c r="D46" t="s">
        <v>210</v>
      </c>
      <c r="E46" s="8">
        <v>45996</v>
      </c>
      <c r="F46">
        <v>5</v>
      </c>
      <c r="G46">
        <v>5760</v>
      </c>
      <c r="H46">
        <v>187000</v>
      </c>
      <c r="I46">
        <v>28156.67</v>
      </c>
      <c r="J46">
        <v>158843.32999999999</v>
      </c>
      <c r="K46" t="s">
        <v>1635</v>
      </c>
      <c r="L46">
        <v>5760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219</v>
      </c>
      <c r="D47" t="s">
        <v>220</v>
      </c>
      <c r="E47" s="8">
        <v>45989</v>
      </c>
      <c r="F47">
        <v>5</v>
      </c>
      <c r="G47">
        <v>3914</v>
      </c>
      <c r="H47">
        <v>73000</v>
      </c>
      <c r="I47">
        <v>19570</v>
      </c>
      <c r="J47">
        <v>53430</v>
      </c>
      <c r="K47" t="s">
        <v>1635</v>
      </c>
      <c r="L47">
        <v>3914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227</v>
      </c>
      <c r="D48" t="s">
        <v>228</v>
      </c>
      <c r="E48" s="8">
        <v>45989</v>
      </c>
      <c r="F48">
        <v>5</v>
      </c>
      <c r="G48">
        <v>2652</v>
      </c>
      <c r="H48">
        <v>79976</v>
      </c>
      <c r="I48">
        <v>13260</v>
      </c>
      <c r="J48">
        <v>66716</v>
      </c>
      <c r="K48" t="s">
        <v>1635</v>
      </c>
      <c r="L48">
        <v>2652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231</v>
      </c>
      <c r="D49" t="s">
        <v>232</v>
      </c>
      <c r="E49" s="8">
        <v>45996</v>
      </c>
      <c r="F49">
        <v>5</v>
      </c>
      <c r="G49">
        <v>3920</v>
      </c>
      <c r="H49">
        <v>75800</v>
      </c>
      <c r="I49">
        <v>18163.330000000002</v>
      </c>
      <c r="J49">
        <v>57636.67</v>
      </c>
      <c r="K49" t="s">
        <v>1635</v>
      </c>
      <c r="L49">
        <v>3920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233</v>
      </c>
      <c r="D50" t="s">
        <v>1645</v>
      </c>
      <c r="E50" s="8">
        <v>45989</v>
      </c>
      <c r="F50">
        <v>5</v>
      </c>
      <c r="G50">
        <v>4320</v>
      </c>
      <c r="H50">
        <v>80000</v>
      </c>
      <c r="I50">
        <v>19200</v>
      </c>
      <c r="J50">
        <v>60800</v>
      </c>
      <c r="K50" t="s">
        <v>1635</v>
      </c>
      <c r="L50">
        <v>4320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246</v>
      </c>
      <c r="D51" t="s">
        <v>247</v>
      </c>
      <c r="E51" s="8">
        <v>45996</v>
      </c>
      <c r="F51">
        <v>5</v>
      </c>
      <c r="G51">
        <v>2756</v>
      </c>
      <c r="H51">
        <v>83985</v>
      </c>
      <c r="I51">
        <v>12930.67</v>
      </c>
      <c r="J51">
        <v>71054.33</v>
      </c>
      <c r="K51" t="s">
        <v>1635</v>
      </c>
      <c r="L51">
        <v>2756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256</v>
      </c>
      <c r="D52" t="s">
        <v>257</v>
      </c>
      <c r="E52" s="8">
        <v>45996</v>
      </c>
      <c r="F52">
        <v>5</v>
      </c>
      <c r="G52">
        <v>3375</v>
      </c>
      <c r="H52">
        <v>105000</v>
      </c>
      <c r="I52">
        <v>16875</v>
      </c>
      <c r="J52">
        <v>88125</v>
      </c>
      <c r="K52" t="s">
        <v>1635</v>
      </c>
      <c r="L52">
        <v>3375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258</v>
      </c>
      <c r="D53" t="s">
        <v>259</v>
      </c>
      <c r="E53" s="8">
        <v>45989</v>
      </c>
      <c r="F53">
        <v>5</v>
      </c>
      <c r="G53">
        <v>4307</v>
      </c>
      <c r="H53">
        <v>79553</v>
      </c>
      <c r="I53">
        <v>19904.669999999998</v>
      </c>
      <c r="J53">
        <v>59648.33</v>
      </c>
      <c r="K53" t="s">
        <v>1635</v>
      </c>
      <c r="L53">
        <v>4307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268</v>
      </c>
      <c r="D54" t="s">
        <v>269</v>
      </c>
      <c r="E54" s="8">
        <v>45996</v>
      </c>
      <c r="F54">
        <v>5</v>
      </c>
      <c r="G54">
        <v>3990</v>
      </c>
      <c r="H54">
        <v>73000</v>
      </c>
      <c r="I54">
        <v>18643.330000000002</v>
      </c>
      <c r="J54">
        <v>54356.67</v>
      </c>
      <c r="K54" t="s">
        <v>1635</v>
      </c>
      <c r="L54">
        <v>3990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280</v>
      </c>
      <c r="D55" t="s">
        <v>281</v>
      </c>
      <c r="E55" s="8">
        <v>45989</v>
      </c>
      <c r="F55">
        <v>5</v>
      </c>
      <c r="G55">
        <v>3180</v>
      </c>
      <c r="H55">
        <v>95000</v>
      </c>
      <c r="I55">
        <v>14801.67</v>
      </c>
      <c r="J55">
        <v>80198.33</v>
      </c>
      <c r="K55" t="s">
        <v>1635</v>
      </c>
      <c r="L55">
        <v>3180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282</v>
      </c>
      <c r="D56" t="s">
        <v>283</v>
      </c>
      <c r="E56" s="8">
        <v>45996</v>
      </c>
      <c r="F56">
        <v>5</v>
      </c>
      <c r="G56">
        <v>2432</v>
      </c>
      <c r="H56">
        <v>73000</v>
      </c>
      <c r="I56">
        <v>12160</v>
      </c>
      <c r="J56">
        <v>60840</v>
      </c>
      <c r="K56" t="s">
        <v>1635</v>
      </c>
      <c r="L56">
        <v>2432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286</v>
      </c>
      <c r="D57" t="s">
        <v>287</v>
      </c>
      <c r="E57" s="8">
        <v>45996</v>
      </c>
      <c r="F57">
        <v>5</v>
      </c>
      <c r="G57">
        <v>2835</v>
      </c>
      <c r="H57">
        <v>85900</v>
      </c>
      <c r="I57">
        <v>14175</v>
      </c>
      <c r="J57">
        <v>71725</v>
      </c>
      <c r="K57" t="s">
        <v>1635</v>
      </c>
      <c r="L57">
        <v>2835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296</v>
      </c>
      <c r="D58" t="s">
        <v>297</v>
      </c>
      <c r="E58" s="8">
        <v>45996</v>
      </c>
      <c r="F58">
        <v>5</v>
      </c>
      <c r="G58">
        <v>2970</v>
      </c>
      <c r="H58">
        <v>82153</v>
      </c>
      <c r="I58">
        <v>14850</v>
      </c>
      <c r="J58">
        <v>67303</v>
      </c>
      <c r="K58" t="s">
        <v>1635</v>
      </c>
      <c r="L58">
        <v>2970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330</v>
      </c>
      <c r="D59" t="s">
        <v>331</v>
      </c>
      <c r="E59" s="8">
        <v>45989</v>
      </c>
      <c r="F59">
        <v>5</v>
      </c>
      <c r="G59">
        <v>3519</v>
      </c>
      <c r="H59">
        <v>102530</v>
      </c>
      <c r="I59">
        <v>17595</v>
      </c>
      <c r="J59">
        <v>84935</v>
      </c>
      <c r="K59" t="s">
        <v>1635</v>
      </c>
      <c r="L59">
        <v>3519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425</v>
      </c>
      <c r="D60" t="s">
        <v>426</v>
      </c>
      <c r="E60" s="8">
        <v>45996</v>
      </c>
      <c r="F60">
        <v>5</v>
      </c>
      <c r="G60">
        <v>2714</v>
      </c>
      <c r="H60">
        <v>89000</v>
      </c>
      <c r="I60">
        <v>12696</v>
      </c>
      <c r="J60">
        <v>76304</v>
      </c>
      <c r="K60" t="s">
        <v>1635</v>
      </c>
      <c r="L60">
        <v>2714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543</v>
      </c>
      <c r="D61" t="s">
        <v>1647</v>
      </c>
      <c r="E61" s="8">
        <v>45989</v>
      </c>
      <c r="F61">
        <v>5</v>
      </c>
      <c r="G61">
        <v>1428</v>
      </c>
      <c r="H61">
        <v>26555</v>
      </c>
      <c r="I61">
        <v>7140</v>
      </c>
      <c r="J61">
        <v>19415</v>
      </c>
      <c r="K61" t="s">
        <v>1635</v>
      </c>
      <c r="L61">
        <v>1428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556</v>
      </c>
      <c r="D62" t="s">
        <v>557</v>
      </c>
      <c r="E62" s="8">
        <v>45996</v>
      </c>
      <c r="F62">
        <v>5</v>
      </c>
      <c r="G62">
        <v>3050</v>
      </c>
      <c r="H62">
        <v>91016</v>
      </c>
      <c r="I62">
        <v>14200</v>
      </c>
      <c r="J62">
        <v>76816</v>
      </c>
      <c r="K62" t="s">
        <v>1635</v>
      </c>
      <c r="L62">
        <v>3050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564</v>
      </c>
      <c r="D63" t="s">
        <v>565</v>
      </c>
      <c r="E63" s="8">
        <v>45996</v>
      </c>
      <c r="F63">
        <v>5</v>
      </c>
      <c r="G63">
        <v>1560</v>
      </c>
      <c r="H63">
        <v>27722</v>
      </c>
      <c r="I63">
        <v>7800</v>
      </c>
      <c r="J63">
        <v>19922</v>
      </c>
      <c r="K63" t="s">
        <v>1635</v>
      </c>
      <c r="L63">
        <v>1560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569</v>
      </c>
      <c r="D64" t="s">
        <v>570</v>
      </c>
      <c r="E64" s="8">
        <v>45989</v>
      </c>
      <c r="F64">
        <v>5</v>
      </c>
      <c r="G64">
        <v>1440</v>
      </c>
      <c r="H64">
        <v>100000</v>
      </c>
      <c r="I64">
        <v>13095</v>
      </c>
      <c r="J64">
        <v>86905</v>
      </c>
      <c r="K64" t="s">
        <v>1635</v>
      </c>
      <c r="L64">
        <v>1440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602</v>
      </c>
      <c r="D65" t="s">
        <v>603</v>
      </c>
      <c r="E65" s="8">
        <v>45996</v>
      </c>
      <c r="F65">
        <v>5</v>
      </c>
      <c r="G65">
        <v>2814</v>
      </c>
      <c r="H65">
        <v>95414</v>
      </c>
      <c r="I65">
        <v>14070</v>
      </c>
      <c r="J65">
        <v>81344</v>
      </c>
      <c r="K65" t="s">
        <v>1635</v>
      </c>
      <c r="L65">
        <v>2814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611</v>
      </c>
      <c r="D66" t="s">
        <v>612</v>
      </c>
      <c r="E66" s="8">
        <v>45996</v>
      </c>
      <c r="F66">
        <v>5</v>
      </c>
      <c r="G66">
        <v>3034</v>
      </c>
      <c r="H66">
        <v>91593</v>
      </c>
      <c r="I66">
        <v>13776</v>
      </c>
      <c r="J66">
        <v>77817</v>
      </c>
      <c r="K66" t="s">
        <v>1635</v>
      </c>
      <c r="L66">
        <v>3034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613</v>
      </c>
      <c r="D67" t="s">
        <v>614</v>
      </c>
      <c r="E67" s="8">
        <v>45989</v>
      </c>
      <c r="F67">
        <v>5</v>
      </c>
      <c r="G67">
        <v>3278.5</v>
      </c>
      <c r="H67">
        <v>96397</v>
      </c>
      <c r="I67">
        <v>14824</v>
      </c>
      <c r="J67">
        <v>81573</v>
      </c>
      <c r="K67" t="s">
        <v>1635</v>
      </c>
      <c r="L67">
        <v>3278.5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619</v>
      </c>
      <c r="D68" t="s">
        <v>1651</v>
      </c>
      <c r="E68" s="8">
        <v>45989</v>
      </c>
      <c r="F68">
        <v>5</v>
      </c>
      <c r="G68">
        <v>4272</v>
      </c>
      <c r="H68">
        <v>129626</v>
      </c>
      <c r="I68">
        <v>19008</v>
      </c>
      <c r="J68">
        <v>110618</v>
      </c>
      <c r="K68" t="s">
        <v>1635</v>
      </c>
      <c r="L68">
        <v>4272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628</v>
      </c>
      <c r="D69" t="s">
        <v>629</v>
      </c>
      <c r="E69" s="8">
        <v>45989</v>
      </c>
      <c r="F69">
        <v>5</v>
      </c>
      <c r="G69">
        <v>3640</v>
      </c>
      <c r="H69">
        <v>107767</v>
      </c>
      <c r="I69">
        <v>16640</v>
      </c>
      <c r="J69">
        <v>91127</v>
      </c>
      <c r="K69" t="s">
        <v>1635</v>
      </c>
      <c r="L69">
        <v>3640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630</v>
      </c>
      <c r="D70" t="s">
        <v>631</v>
      </c>
      <c r="E70" s="8">
        <v>45989</v>
      </c>
      <c r="F70">
        <v>5</v>
      </c>
      <c r="G70">
        <v>3772</v>
      </c>
      <c r="H70">
        <v>107350</v>
      </c>
      <c r="I70">
        <v>17078</v>
      </c>
      <c r="J70">
        <v>90272</v>
      </c>
      <c r="K70" t="s">
        <v>1635</v>
      </c>
      <c r="L70">
        <v>3772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657</v>
      </c>
      <c r="D71" t="s">
        <v>658</v>
      </c>
      <c r="E71" s="8">
        <v>45996</v>
      </c>
      <c r="F71">
        <v>5</v>
      </c>
      <c r="G71">
        <v>3834</v>
      </c>
      <c r="H71">
        <v>119100</v>
      </c>
      <c r="I71">
        <v>17496</v>
      </c>
      <c r="J71">
        <v>101604</v>
      </c>
      <c r="K71" t="s">
        <v>1635</v>
      </c>
      <c r="L71">
        <v>3834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681</v>
      </c>
      <c r="D72" t="s">
        <v>1653</v>
      </c>
      <c r="E72" s="8">
        <v>45989</v>
      </c>
      <c r="F72">
        <v>5</v>
      </c>
      <c r="G72">
        <v>2496</v>
      </c>
      <c r="H72">
        <v>75452</v>
      </c>
      <c r="I72">
        <v>11904</v>
      </c>
      <c r="J72">
        <v>63548</v>
      </c>
      <c r="K72" t="s">
        <v>1635</v>
      </c>
      <c r="L72">
        <v>2496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696</v>
      </c>
      <c r="D73" t="s">
        <v>697</v>
      </c>
      <c r="E73" s="8">
        <v>45996</v>
      </c>
      <c r="F73">
        <v>5</v>
      </c>
      <c r="G73">
        <v>3116</v>
      </c>
      <c r="H73">
        <v>94000</v>
      </c>
      <c r="I73">
        <v>14104</v>
      </c>
      <c r="J73">
        <v>79896</v>
      </c>
      <c r="K73" t="s">
        <v>1635</v>
      </c>
      <c r="L73">
        <v>3116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702</v>
      </c>
      <c r="D74" t="s">
        <v>703</v>
      </c>
      <c r="E74" s="8">
        <v>45996</v>
      </c>
      <c r="F74">
        <v>5</v>
      </c>
      <c r="G74">
        <v>3486</v>
      </c>
      <c r="H74">
        <v>98800</v>
      </c>
      <c r="I74">
        <v>15724</v>
      </c>
      <c r="J74">
        <v>83076</v>
      </c>
      <c r="K74" t="s">
        <v>1635</v>
      </c>
      <c r="L74">
        <v>3486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711</v>
      </c>
      <c r="D75" t="s">
        <v>712</v>
      </c>
      <c r="E75" s="8">
        <v>45996</v>
      </c>
      <c r="F75">
        <v>5</v>
      </c>
      <c r="G75">
        <v>3432</v>
      </c>
      <c r="H75">
        <v>99877</v>
      </c>
      <c r="I75">
        <v>15588</v>
      </c>
      <c r="J75">
        <v>84289</v>
      </c>
      <c r="K75" t="s">
        <v>1635</v>
      </c>
      <c r="L75">
        <v>3432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717</v>
      </c>
      <c r="D76" t="s">
        <v>718</v>
      </c>
      <c r="E76" s="8">
        <v>45996</v>
      </c>
      <c r="F76">
        <v>5</v>
      </c>
      <c r="G76">
        <v>4785</v>
      </c>
      <c r="H76">
        <v>142410</v>
      </c>
      <c r="I76">
        <v>21340</v>
      </c>
      <c r="J76">
        <v>121070</v>
      </c>
      <c r="K76" t="s">
        <v>1635</v>
      </c>
      <c r="L76">
        <v>4785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741</v>
      </c>
      <c r="D77" t="s">
        <v>742</v>
      </c>
      <c r="E77" s="8">
        <v>45996</v>
      </c>
      <c r="F77">
        <v>5</v>
      </c>
      <c r="G77">
        <v>2982</v>
      </c>
      <c r="H77">
        <v>86000</v>
      </c>
      <c r="I77">
        <v>13708</v>
      </c>
      <c r="J77">
        <v>72292</v>
      </c>
      <c r="K77" t="s">
        <v>1635</v>
      </c>
      <c r="L77">
        <v>2982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773</v>
      </c>
      <c r="D78" t="s">
        <v>1655</v>
      </c>
      <c r="E78" s="8">
        <v>45989</v>
      </c>
      <c r="F78">
        <v>5</v>
      </c>
      <c r="G78">
        <v>1290</v>
      </c>
      <c r="H78">
        <v>22711</v>
      </c>
      <c r="I78">
        <v>6450</v>
      </c>
      <c r="J78">
        <v>16261</v>
      </c>
      <c r="K78" t="s">
        <v>1635</v>
      </c>
      <c r="L78">
        <v>1290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820</v>
      </c>
      <c r="D79" t="s">
        <v>821</v>
      </c>
      <c r="E79" s="8">
        <v>45996</v>
      </c>
      <c r="F79">
        <v>5</v>
      </c>
      <c r="G79">
        <v>1920</v>
      </c>
      <c r="H79">
        <v>34750</v>
      </c>
      <c r="I79">
        <v>9600</v>
      </c>
      <c r="J79">
        <v>25150</v>
      </c>
      <c r="K79" t="s">
        <v>1635</v>
      </c>
      <c r="L79">
        <v>1920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42</v>
      </c>
      <c r="D80" t="s">
        <v>43</v>
      </c>
      <c r="E80" s="8">
        <v>45996</v>
      </c>
      <c r="F80">
        <v>6</v>
      </c>
      <c r="G80">
        <v>2000</v>
      </c>
      <c r="H80">
        <v>55000</v>
      </c>
      <c r="I80">
        <v>12000</v>
      </c>
      <c r="J80">
        <v>43000</v>
      </c>
      <c r="K80" t="s">
        <v>1635</v>
      </c>
      <c r="L80">
        <v>2000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44</v>
      </c>
      <c r="D81" t="s">
        <v>45</v>
      </c>
      <c r="E81" s="8">
        <v>45996</v>
      </c>
      <c r="F81">
        <v>6</v>
      </c>
      <c r="G81">
        <v>1456</v>
      </c>
      <c r="H81">
        <v>43600</v>
      </c>
      <c r="I81">
        <v>8736</v>
      </c>
      <c r="J81">
        <v>34864</v>
      </c>
      <c r="K81" t="s">
        <v>1635</v>
      </c>
      <c r="L81">
        <v>1456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57</v>
      </c>
      <c r="D82" t="s">
        <v>58</v>
      </c>
      <c r="E82" s="8">
        <v>45989</v>
      </c>
      <c r="F82">
        <v>6</v>
      </c>
      <c r="G82">
        <v>5400</v>
      </c>
      <c r="H82">
        <v>160000</v>
      </c>
      <c r="I82">
        <v>32400</v>
      </c>
      <c r="J82">
        <v>127600</v>
      </c>
      <c r="K82" t="s">
        <v>1635</v>
      </c>
      <c r="L82">
        <v>5400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65</v>
      </c>
      <c r="D83" t="s">
        <v>66</v>
      </c>
      <c r="E83" s="8">
        <v>45989</v>
      </c>
      <c r="F83">
        <v>6</v>
      </c>
      <c r="G83">
        <v>3800</v>
      </c>
      <c r="H83">
        <v>106200</v>
      </c>
      <c r="I83">
        <v>19000</v>
      </c>
      <c r="J83">
        <v>87200</v>
      </c>
      <c r="K83" t="s">
        <v>1635</v>
      </c>
      <c r="L83">
        <v>3800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87</v>
      </c>
      <c r="D84" t="s">
        <v>88</v>
      </c>
      <c r="E84" s="8">
        <v>45996</v>
      </c>
      <c r="F84">
        <v>6</v>
      </c>
      <c r="G84">
        <v>2464</v>
      </c>
      <c r="H84">
        <v>76000</v>
      </c>
      <c r="I84">
        <v>14784</v>
      </c>
      <c r="J84">
        <v>61216</v>
      </c>
      <c r="K84" t="s">
        <v>1635</v>
      </c>
      <c r="L84">
        <v>2464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95</v>
      </c>
      <c r="D85" t="s">
        <v>1643</v>
      </c>
      <c r="E85" s="8">
        <v>45989</v>
      </c>
      <c r="F85">
        <v>6</v>
      </c>
      <c r="G85">
        <v>2700</v>
      </c>
      <c r="H85">
        <v>80000</v>
      </c>
      <c r="I85">
        <v>16200</v>
      </c>
      <c r="J85">
        <v>63800</v>
      </c>
      <c r="K85" t="s">
        <v>1635</v>
      </c>
      <c r="L85">
        <v>2700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104</v>
      </c>
      <c r="D86" t="s">
        <v>105</v>
      </c>
      <c r="E86" s="8">
        <v>45996</v>
      </c>
      <c r="F86">
        <v>6</v>
      </c>
      <c r="G86">
        <v>4150</v>
      </c>
      <c r="H86">
        <v>75285</v>
      </c>
      <c r="I86">
        <v>24900</v>
      </c>
      <c r="J86">
        <v>50385</v>
      </c>
      <c r="K86" t="s">
        <v>1635</v>
      </c>
      <c r="L86">
        <v>4150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110</v>
      </c>
      <c r="D87" t="s">
        <v>1644</v>
      </c>
      <c r="E87" s="8">
        <v>45989</v>
      </c>
      <c r="F87">
        <v>6</v>
      </c>
      <c r="G87">
        <v>3901</v>
      </c>
      <c r="H87">
        <v>73000</v>
      </c>
      <c r="I87">
        <v>22725</v>
      </c>
      <c r="J87">
        <v>50275</v>
      </c>
      <c r="K87" t="s">
        <v>1635</v>
      </c>
      <c r="L87">
        <v>3901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111</v>
      </c>
      <c r="D88" t="s">
        <v>112</v>
      </c>
      <c r="E88" s="8">
        <v>45996</v>
      </c>
      <c r="F88">
        <v>6</v>
      </c>
      <c r="G88">
        <v>2210</v>
      </c>
      <c r="H88">
        <v>78900</v>
      </c>
      <c r="I88">
        <v>13260</v>
      </c>
      <c r="J88">
        <v>65640</v>
      </c>
      <c r="K88" t="s">
        <v>1635</v>
      </c>
      <c r="L88">
        <v>2210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119</v>
      </c>
      <c r="D89" t="s">
        <v>120</v>
      </c>
      <c r="E89" s="8">
        <v>45989</v>
      </c>
      <c r="F89">
        <v>6</v>
      </c>
      <c r="G89">
        <v>3280</v>
      </c>
      <c r="H89">
        <v>95000</v>
      </c>
      <c r="I89">
        <v>19680</v>
      </c>
      <c r="J89">
        <v>75320</v>
      </c>
      <c r="K89" t="s">
        <v>1635</v>
      </c>
      <c r="L89">
        <v>3280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121</v>
      </c>
      <c r="D90" t="s">
        <v>122</v>
      </c>
      <c r="E90" s="8">
        <v>45989</v>
      </c>
      <c r="F90">
        <v>6</v>
      </c>
      <c r="G90">
        <v>3995</v>
      </c>
      <c r="H90">
        <v>73818</v>
      </c>
      <c r="I90">
        <v>23091.67</v>
      </c>
      <c r="J90">
        <v>50726.33</v>
      </c>
      <c r="K90" t="s">
        <v>1635</v>
      </c>
      <c r="L90">
        <v>3995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127</v>
      </c>
      <c r="D91" t="s">
        <v>128</v>
      </c>
      <c r="E91" s="8">
        <v>45996</v>
      </c>
      <c r="F91">
        <v>6</v>
      </c>
      <c r="G91">
        <v>3000</v>
      </c>
      <c r="H91">
        <v>89318</v>
      </c>
      <c r="I91">
        <v>17750</v>
      </c>
      <c r="J91">
        <v>71568</v>
      </c>
      <c r="K91" t="s">
        <v>1635</v>
      </c>
      <c r="L91">
        <v>3000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135</v>
      </c>
      <c r="D92" t="s">
        <v>136</v>
      </c>
      <c r="E92" s="8">
        <v>45989</v>
      </c>
      <c r="F92">
        <v>6</v>
      </c>
      <c r="G92">
        <v>5244</v>
      </c>
      <c r="H92">
        <v>98888</v>
      </c>
      <c r="I92">
        <v>28906.67</v>
      </c>
      <c r="J92">
        <v>69981.33</v>
      </c>
      <c r="K92" t="s">
        <v>1635</v>
      </c>
      <c r="L92">
        <v>5244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137</v>
      </c>
      <c r="D93" t="s">
        <v>138</v>
      </c>
      <c r="E93" s="8">
        <v>45996</v>
      </c>
      <c r="F93">
        <v>6</v>
      </c>
      <c r="G93">
        <v>4664</v>
      </c>
      <c r="H93">
        <v>140559</v>
      </c>
      <c r="I93">
        <v>26840</v>
      </c>
      <c r="J93">
        <v>113719</v>
      </c>
      <c r="K93" t="s">
        <v>1635</v>
      </c>
      <c r="L93">
        <v>4664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139</v>
      </c>
      <c r="D94" t="s">
        <v>140</v>
      </c>
      <c r="E94" s="8">
        <v>45996</v>
      </c>
      <c r="F94">
        <v>6</v>
      </c>
      <c r="G94">
        <v>5382</v>
      </c>
      <c r="H94">
        <v>98888</v>
      </c>
      <c r="I94">
        <v>29770</v>
      </c>
      <c r="J94">
        <v>69118</v>
      </c>
      <c r="K94" t="s">
        <v>1635</v>
      </c>
      <c r="L94">
        <v>5382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141</v>
      </c>
      <c r="D95" t="s">
        <v>142</v>
      </c>
      <c r="E95" s="8">
        <v>45996</v>
      </c>
      <c r="F95">
        <v>6</v>
      </c>
      <c r="G95">
        <v>5382</v>
      </c>
      <c r="H95">
        <v>98888</v>
      </c>
      <c r="I95">
        <v>29770</v>
      </c>
      <c r="J95">
        <v>69118</v>
      </c>
      <c r="K95" t="s">
        <v>1635</v>
      </c>
      <c r="L95">
        <v>5382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143</v>
      </c>
      <c r="D96" t="s">
        <v>144</v>
      </c>
      <c r="E96" s="8">
        <v>45996</v>
      </c>
      <c r="F96">
        <v>6</v>
      </c>
      <c r="G96">
        <v>5704</v>
      </c>
      <c r="H96">
        <v>108000</v>
      </c>
      <c r="I96">
        <v>31896.67</v>
      </c>
      <c r="J96">
        <v>76103.33</v>
      </c>
      <c r="K96" t="s">
        <v>1635</v>
      </c>
      <c r="L96">
        <v>5704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151</v>
      </c>
      <c r="D97" t="s">
        <v>152</v>
      </c>
      <c r="E97" s="8">
        <v>45996</v>
      </c>
      <c r="F97">
        <v>6</v>
      </c>
      <c r="G97">
        <v>4288</v>
      </c>
      <c r="H97">
        <v>79477</v>
      </c>
      <c r="I97">
        <v>23846.67</v>
      </c>
      <c r="J97">
        <v>55630.33</v>
      </c>
      <c r="K97" t="s">
        <v>1635</v>
      </c>
      <c r="L97">
        <v>4288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157</v>
      </c>
      <c r="D98" t="s">
        <v>158</v>
      </c>
      <c r="E98" s="8">
        <v>45996</v>
      </c>
      <c r="F98">
        <v>6</v>
      </c>
      <c r="G98">
        <v>2970</v>
      </c>
      <c r="H98">
        <v>89244</v>
      </c>
      <c r="I98">
        <v>17820</v>
      </c>
      <c r="J98">
        <v>71424</v>
      </c>
      <c r="K98" t="s">
        <v>1635</v>
      </c>
      <c r="L98">
        <v>2970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171</v>
      </c>
      <c r="D99" t="s">
        <v>172</v>
      </c>
      <c r="E99" s="8">
        <v>45996</v>
      </c>
      <c r="F99">
        <v>6</v>
      </c>
      <c r="G99">
        <v>5635</v>
      </c>
      <c r="H99">
        <v>169978</v>
      </c>
      <c r="I99">
        <v>32391.67</v>
      </c>
      <c r="J99">
        <v>137586.32999999999</v>
      </c>
      <c r="K99" t="s">
        <v>1635</v>
      </c>
      <c r="L99">
        <v>5635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173</v>
      </c>
      <c r="D100" t="s">
        <v>174</v>
      </c>
      <c r="E100" s="8">
        <v>45996</v>
      </c>
      <c r="F100">
        <v>6</v>
      </c>
      <c r="G100">
        <v>3024</v>
      </c>
      <c r="H100">
        <v>94861</v>
      </c>
      <c r="I100">
        <v>16940</v>
      </c>
      <c r="J100">
        <v>77921</v>
      </c>
      <c r="K100" t="s">
        <v>1635</v>
      </c>
      <c r="L100">
        <v>3024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185</v>
      </c>
      <c r="D101" t="s">
        <v>186</v>
      </c>
      <c r="E101" s="8">
        <v>45996</v>
      </c>
      <c r="F101">
        <v>6</v>
      </c>
      <c r="G101">
        <v>5616</v>
      </c>
      <c r="H101">
        <v>106000</v>
      </c>
      <c r="I101">
        <v>32610</v>
      </c>
      <c r="J101">
        <v>73390</v>
      </c>
      <c r="K101" t="s">
        <v>1635</v>
      </c>
      <c r="L101">
        <v>5616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187</v>
      </c>
      <c r="D102" t="s">
        <v>188</v>
      </c>
      <c r="E102" s="8">
        <v>45996</v>
      </c>
      <c r="F102">
        <v>6</v>
      </c>
      <c r="G102">
        <v>2263</v>
      </c>
      <c r="H102">
        <v>73000</v>
      </c>
      <c r="I102">
        <v>10843</v>
      </c>
      <c r="J102">
        <v>62157</v>
      </c>
      <c r="K102" t="s">
        <v>1635</v>
      </c>
      <c r="L102">
        <v>2263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195</v>
      </c>
      <c r="D103" t="s">
        <v>196</v>
      </c>
      <c r="E103" s="8">
        <v>45996</v>
      </c>
      <c r="F103">
        <v>6</v>
      </c>
      <c r="G103">
        <v>2340</v>
      </c>
      <c r="H103">
        <v>69800</v>
      </c>
      <c r="I103">
        <v>14040</v>
      </c>
      <c r="J103">
        <v>55760</v>
      </c>
      <c r="K103" t="s">
        <v>1635</v>
      </c>
      <c r="L103">
        <v>2340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201</v>
      </c>
      <c r="D104" t="s">
        <v>202</v>
      </c>
      <c r="E104" s="8">
        <v>45996</v>
      </c>
      <c r="F104">
        <v>6</v>
      </c>
      <c r="G104">
        <v>2814</v>
      </c>
      <c r="H104">
        <v>81975</v>
      </c>
      <c r="I104">
        <v>16626.669999999998</v>
      </c>
      <c r="J104">
        <v>65348.33</v>
      </c>
      <c r="K104" t="s">
        <v>1635</v>
      </c>
      <c r="L104">
        <v>2814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213</v>
      </c>
      <c r="D105" t="s">
        <v>214</v>
      </c>
      <c r="E105" s="8">
        <v>45996</v>
      </c>
      <c r="F105">
        <v>6</v>
      </c>
      <c r="G105">
        <v>2940</v>
      </c>
      <c r="H105">
        <v>86200</v>
      </c>
      <c r="I105">
        <v>17640</v>
      </c>
      <c r="J105">
        <v>68560</v>
      </c>
      <c r="K105" t="s">
        <v>1635</v>
      </c>
      <c r="L105">
        <v>2940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225</v>
      </c>
      <c r="D106" t="s">
        <v>226</v>
      </c>
      <c r="E106" s="8">
        <v>45996</v>
      </c>
      <c r="F106">
        <v>6</v>
      </c>
      <c r="G106">
        <v>4860</v>
      </c>
      <c r="H106">
        <v>92000</v>
      </c>
      <c r="I106">
        <v>26510</v>
      </c>
      <c r="J106">
        <v>65490</v>
      </c>
      <c r="K106" t="s">
        <v>1635</v>
      </c>
      <c r="L106">
        <v>4860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229</v>
      </c>
      <c r="D107" t="s">
        <v>230</v>
      </c>
      <c r="E107" s="8">
        <v>45996</v>
      </c>
      <c r="F107">
        <v>6</v>
      </c>
      <c r="G107">
        <v>4200</v>
      </c>
      <c r="H107">
        <v>77000</v>
      </c>
      <c r="I107">
        <v>23300</v>
      </c>
      <c r="J107">
        <v>53700</v>
      </c>
      <c r="K107" t="s">
        <v>1635</v>
      </c>
      <c r="L107">
        <v>4200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308</v>
      </c>
      <c r="D108" t="s">
        <v>309</v>
      </c>
      <c r="E108" s="8">
        <v>45989</v>
      </c>
      <c r="F108">
        <v>6</v>
      </c>
      <c r="G108">
        <v>2808</v>
      </c>
      <c r="H108">
        <v>88414</v>
      </c>
      <c r="I108">
        <v>16120</v>
      </c>
      <c r="J108">
        <v>72294</v>
      </c>
      <c r="K108" t="s">
        <v>1635</v>
      </c>
      <c r="L108">
        <v>2808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318</v>
      </c>
      <c r="D109" t="s">
        <v>319</v>
      </c>
      <c r="E109" s="8">
        <v>45996</v>
      </c>
      <c r="F109">
        <v>6</v>
      </c>
      <c r="G109">
        <v>3330</v>
      </c>
      <c r="H109">
        <v>80000</v>
      </c>
      <c r="I109">
        <v>18130</v>
      </c>
      <c r="J109">
        <v>61870</v>
      </c>
      <c r="K109" t="s">
        <v>1635</v>
      </c>
      <c r="L109">
        <v>3330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332</v>
      </c>
      <c r="D110" t="s">
        <v>333</v>
      </c>
      <c r="E110" s="8">
        <v>45996</v>
      </c>
      <c r="F110">
        <v>6</v>
      </c>
      <c r="G110">
        <v>3840</v>
      </c>
      <c r="H110">
        <v>130500</v>
      </c>
      <c r="I110">
        <v>20710</v>
      </c>
      <c r="J110">
        <v>109790</v>
      </c>
      <c r="K110" t="s">
        <v>1635</v>
      </c>
      <c r="L110">
        <v>3840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338</v>
      </c>
      <c r="D111" t="s">
        <v>339</v>
      </c>
      <c r="E111" s="8">
        <v>45996</v>
      </c>
      <c r="F111">
        <v>6</v>
      </c>
      <c r="G111">
        <v>3060</v>
      </c>
      <c r="H111">
        <v>92000</v>
      </c>
      <c r="I111">
        <v>18360</v>
      </c>
      <c r="J111">
        <v>73640</v>
      </c>
      <c r="K111" t="s">
        <v>1635</v>
      </c>
      <c r="L111">
        <v>3060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372</v>
      </c>
      <c r="D112" t="s">
        <v>1646</v>
      </c>
      <c r="E112" s="8">
        <v>45989</v>
      </c>
      <c r="F112">
        <v>6</v>
      </c>
      <c r="G112">
        <v>4015</v>
      </c>
      <c r="H112">
        <v>121169</v>
      </c>
      <c r="I112">
        <v>22275</v>
      </c>
      <c r="J112">
        <v>98894</v>
      </c>
      <c r="K112" t="s">
        <v>1635</v>
      </c>
      <c r="L112">
        <v>4015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375</v>
      </c>
      <c r="D113" t="s">
        <v>376</v>
      </c>
      <c r="E113" s="8">
        <v>45989</v>
      </c>
      <c r="F113">
        <v>6</v>
      </c>
      <c r="G113">
        <v>2652</v>
      </c>
      <c r="H113">
        <v>77033</v>
      </c>
      <c r="I113">
        <v>15912</v>
      </c>
      <c r="J113">
        <v>61121</v>
      </c>
      <c r="K113" t="s">
        <v>1635</v>
      </c>
      <c r="L113">
        <v>2652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379</v>
      </c>
      <c r="D114" t="s">
        <v>380</v>
      </c>
      <c r="E114" s="8">
        <v>45996</v>
      </c>
      <c r="F114">
        <v>6</v>
      </c>
      <c r="G114">
        <v>2000</v>
      </c>
      <c r="H114">
        <v>33828</v>
      </c>
      <c r="I114">
        <v>10000</v>
      </c>
      <c r="J114">
        <v>23828</v>
      </c>
      <c r="K114" t="s">
        <v>1635</v>
      </c>
      <c r="L114">
        <v>2000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393</v>
      </c>
      <c r="D115" t="s">
        <v>394</v>
      </c>
      <c r="E115" s="8">
        <v>45996</v>
      </c>
      <c r="F115">
        <v>6</v>
      </c>
      <c r="G115">
        <v>2585</v>
      </c>
      <c r="H115">
        <v>93000</v>
      </c>
      <c r="I115">
        <v>15125</v>
      </c>
      <c r="J115">
        <v>77875</v>
      </c>
      <c r="K115" t="s">
        <v>1635</v>
      </c>
      <c r="L115">
        <v>2585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395</v>
      </c>
      <c r="D116" t="s">
        <v>396</v>
      </c>
      <c r="E116" s="8">
        <v>45996</v>
      </c>
      <c r="F116">
        <v>6</v>
      </c>
      <c r="G116">
        <v>1512</v>
      </c>
      <c r="H116">
        <v>27000</v>
      </c>
      <c r="I116">
        <v>9072</v>
      </c>
      <c r="J116">
        <v>17928</v>
      </c>
      <c r="K116" t="s">
        <v>1635</v>
      </c>
      <c r="L116">
        <v>1512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397</v>
      </c>
      <c r="D117" t="s">
        <v>398</v>
      </c>
      <c r="E117" s="8">
        <v>45996</v>
      </c>
      <c r="F117">
        <v>6</v>
      </c>
      <c r="G117">
        <v>2800</v>
      </c>
      <c r="H117">
        <v>84713</v>
      </c>
      <c r="I117">
        <v>15600</v>
      </c>
      <c r="J117">
        <v>69113</v>
      </c>
      <c r="K117" t="s">
        <v>1635</v>
      </c>
      <c r="L117">
        <v>2800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399</v>
      </c>
      <c r="D118" t="s">
        <v>400</v>
      </c>
      <c r="E118" s="8">
        <v>45996</v>
      </c>
      <c r="F118">
        <v>6</v>
      </c>
      <c r="G118">
        <v>3080</v>
      </c>
      <c r="H118">
        <v>91000</v>
      </c>
      <c r="I118">
        <v>18480</v>
      </c>
      <c r="J118">
        <v>72520</v>
      </c>
      <c r="K118" t="s">
        <v>1635</v>
      </c>
      <c r="L118">
        <v>3080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417</v>
      </c>
      <c r="D119" t="s">
        <v>418</v>
      </c>
      <c r="E119" s="8">
        <v>45996</v>
      </c>
      <c r="F119">
        <v>6</v>
      </c>
      <c r="G119">
        <v>1500</v>
      </c>
      <c r="H119">
        <v>26749</v>
      </c>
      <c r="I119">
        <v>9000</v>
      </c>
      <c r="J119">
        <v>17749</v>
      </c>
      <c r="K119" t="s">
        <v>1635</v>
      </c>
      <c r="L119">
        <v>1500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421</v>
      </c>
      <c r="D120" t="s">
        <v>422</v>
      </c>
      <c r="E120" s="8">
        <v>45996</v>
      </c>
      <c r="F120">
        <v>6</v>
      </c>
      <c r="G120">
        <v>4100</v>
      </c>
      <c r="H120">
        <v>70000</v>
      </c>
      <c r="I120">
        <v>22559</v>
      </c>
      <c r="J120">
        <v>47441</v>
      </c>
      <c r="K120" t="s">
        <v>1635</v>
      </c>
      <c r="L120">
        <v>4100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435</v>
      </c>
      <c r="D121" t="s">
        <v>436</v>
      </c>
      <c r="E121" s="8">
        <v>45996</v>
      </c>
      <c r="F121">
        <v>6</v>
      </c>
      <c r="G121">
        <v>826</v>
      </c>
      <c r="H121">
        <v>22053</v>
      </c>
      <c r="I121">
        <v>4956</v>
      </c>
      <c r="J121">
        <v>17097</v>
      </c>
      <c r="K121" t="s">
        <v>1635</v>
      </c>
      <c r="L121">
        <v>826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437</v>
      </c>
      <c r="D122" t="s">
        <v>438</v>
      </c>
      <c r="E122" s="8">
        <v>45989</v>
      </c>
      <c r="F122">
        <v>6</v>
      </c>
      <c r="G122">
        <v>3525</v>
      </c>
      <c r="H122">
        <v>105878</v>
      </c>
      <c r="I122">
        <v>20625</v>
      </c>
      <c r="J122">
        <v>85253</v>
      </c>
      <c r="K122" t="s">
        <v>1635</v>
      </c>
      <c r="L122">
        <v>3525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441</v>
      </c>
      <c r="D123" t="s">
        <v>442</v>
      </c>
      <c r="E123" s="8">
        <v>45996</v>
      </c>
      <c r="F123">
        <v>6</v>
      </c>
      <c r="G123">
        <v>2448</v>
      </c>
      <c r="H123">
        <v>79554</v>
      </c>
      <c r="I123">
        <v>14060</v>
      </c>
      <c r="J123">
        <v>65494</v>
      </c>
      <c r="K123" t="s">
        <v>1635</v>
      </c>
      <c r="L123">
        <v>2448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447</v>
      </c>
      <c r="D124" t="s">
        <v>448</v>
      </c>
      <c r="E124" s="8">
        <v>45989</v>
      </c>
      <c r="F124">
        <v>6</v>
      </c>
      <c r="G124">
        <v>2385</v>
      </c>
      <c r="H124">
        <v>71000</v>
      </c>
      <c r="I124">
        <v>14095</v>
      </c>
      <c r="J124">
        <v>56905</v>
      </c>
      <c r="K124" t="s">
        <v>1635</v>
      </c>
      <c r="L124">
        <v>2385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449</v>
      </c>
      <c r="D125" t="s">
        <v>450</v>
      </c>
      <c r="E125" s="8">
        <v>45996</v>
      </c>
      <c r="F125">
        <v>6</v>
      </c>
      <c r="G125">
        <v>1920</v>
      </c>
      <c r="H125">
        <v>69900</v>
      </c>
      <c r="I125">
        <v>11200</v>
      </c>
      <c r="J125">
        <v>58700</v>
      </c>
      <c r="K125" t="s">
        <v>1635</v>
      </c>
      <c r="L125">
        <v>1920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451</v>
      </c>
      <c r="D126" t="s">
        <v>452</v>
      </c>
      <c r="E126" s="8">
        <v>45989</v>
      </c>
      <c r="F126">
        <v>6</v>
      </c>
      <c r="G126">
        <v>2960</v>
      </c>
      <c r="H126">
        <v>106836</v>
      </c>
      <c r="I126">
        <v>14760</v>
      </c>
      <c r="J126">
        <v>92076</v>
      </c>
      <c r="K126" t="s">
        <v>1635</v>
      </c>
      <c r="L126">
        <v>2960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461</v>
      </c>
      <c r="D127" t="s">
        <v>462</v>
      </c>
      <c r="E127" s="8">
        <v>45989</v>
      </c>
      <c r="F127">
        <v>6</v>
      </c>
      <c r="G127">
        <v>2700</v>
      </c>
      <c r="H127">
        <v>78259</v>
      </c>
      <c r="I127">
        <v>15760</v>
      </c>
      <c r="J127">
        <v>62499</v>
      </c>
      <c r="K127" t="s">
        <v>1635</v>
      </c>
      <c r="L127">
        <v>2700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463</v>
      </c>
      <c r="D128" t="s">
        <v>464</v>
      </c>
      <c r="E128" s="8">
        <v>45989</v>
      </c>
      <c r="F128">
        <v>6</v>
      </c>
      <c r="G128">
        <v>3692</v>
      </c>
      <c r="H128">
        <v>112197</v>
      </c>
      <c r="I128">
        <v>20540</v>
      </c>
      <c r="J128">
        <v>91657</v>
      </c>
      <c r="K128" t="s">
        <v>1635</v>
      </c>
      <c r="L128">
        <v>3692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465</v>
      </c>
      <c r="D129" t="s">
        <v>466</v>
      </c>
      <c r="E129" s="8">
        <v>45996</v>
      </c>
      <c r="F129">
        <v>6</v>
      </c>
      <c r="G129">
        <v>3705</v>
      </c>
      <c r="H129">
        <v>112715</v>
      </c>
      <c r="I129">
        <v>21125</v>
      </c>
      <c r="J129">
        <v>91590</v>
      </c>
      <c r="K129" t="s">
        <v>1635</v>
      </c>
      <c r="L129">
        <v>3705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471</v>
      </c>
      <c r="D130" t="s">
        <v>472</v>
      </c>
      <c r="E130" s="8">
        <v>45989</v>
      </c>
      <c r="F130">
        <v>6</v>
      </c>
      <c r="G130">
        <v>3870</v>
      </c>
      <c r="H130">
        <v>118000</v>
      </c>
      <c r="I130">
        <v>21150</v>
      </c>
      <c r="J130">
        <v>96850</v>
      </c>
      <c r="K130" t="s">
        <v>1635</v>
      </c>
      <c r="L130">
        <v>3870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483</v>
      </c>
      <c r="D131" t="s">
        <v>484</v>
      </c>
      <c r="E131" s="8">
        <v>45996</v>
      </c>
      <c r="F131">
        <v>6</v>
      </c>
      <c r="G131">
        <v>4120</v>
      </c>
      <c r="H131">
        <v>137380</v>
      </c>
      <c r="I131">
        <v>21443</v>
      </c>
      <c r="J131">
        <v>115937</v>
      </c>
      <c r="K131" t="s">
        <v>1635</v>
      </c>
      <c r="L131">
        <v>4120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495</v>
      </c>
      <c r="D132" t="s">
        <v>496</v>
      </c>
      <c r="E132" s="8">
        <v>45996</v>
      </c>
      <c r="F132">
        <v>6</v>
      </c>
      <c r="G132">
        <v>1365</v>
      </c>
      <c r="H132">
        <v>24963</v>
      </c>
      <c r="I132">
        <v>8190</v>
      </c>
      <c r="J132">
        <v>16773</v>
      </c>
      <c r="K132" t="s">
        <v>1635</v>
      </c>
      <c r="L132">
        <v>1365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501</v>
      </c>
      <c r="D133" t="s">
        <v>502</v>
      </c>
      <c r="E133" s="8">
        <v>45996</v>
      </c>
      <c r="F133">
        <v>6</v>
      </c>
      <c r="G133">
        <v>3300</v>
      </c>
      <c r="H133">
        <v>99900</v>
      </c>
      <c r="I133">
        <v>18900</v>
      </c>
      <c r="J133">
        <v>81000</v>
      </c>
      <c r="K133" t="s">
        <v>1635</v>
      </c>
      <c r="L133">
        <v>3300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511</v>
      </c>
      <c r="D134" t="s">
        <v>512</v>
      </c>
      <c r="E134" s="8">
        <v>45996</v>
      </c>
      <c r="F134">
        <v>6</v>
      </c>
      <c r="G134">
        <v>2967</v>
      </c>
      <c r="H134">
        <v>90192</v>
      </c>
      <c r="I134">
        <v>16555</v>
      </c>
      <c r="J134">
        <v>73637</v>
      </c>
      <c r="K134" t="s">
        <v>1635</v>
      </c>
      <c r="L134">
        <v>2967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515</v>
      </c>
      <c r="D135" t="s">
        <v>516</v>
      </c>
      <c r="E135" s="8">
        <v>45989</v>
      </c>
      <c r="F135">
        <v>6</v>
      </c>
      <c r="G135">
        <v>2800</v>
      </c>
      <c r="H135">
        <v>50038</v>
      </c>
      <c r="I135">
        <v>16800</v>
      </c>
      <c r="J135">
        <v>33238</v>
      </c>
      <c r="K135" t="s">
        <v>1635</v>
      </c>
      <c r="L135">
        <v>2800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517</v>
      </c>
      <c r="D136" t="s">
        <v>518</v>
      </c>
      <c r="E136" s="8">
        <v>45989</v>
      </c>
      <c r="F136">
        <v>6</v>
      </c>
      <c r="G136">
        <v>2500</v>
      </c>
      <c r="H136">
        <v>44480</v>
      </c>
      <c r="I136">
        <v>12500</v>
      </c>
      <c r="J136">
        <v>31980</v>
      </c>
      <c r="K136" t="s">
        <v>1635</v>
      </c>
      <c r="L136">
        <v>2500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521</v>
      </c>
      <c r="D137" t="s">
        <v>522</v>
      </c>
      <c r="E137" s="8">
        <v>45996</v>
      </c>
      <c r="F137">
        <v>6</v>
      </c>
      <c r="G137">
        <v>1302</v>
      </c>
      <c r="H137">
        <v>23001</v>
      </c>
      <c r="I137">
        <v>7812</v>
      </c>
      <c r="J137">
        <v>15189</v>
      </c>
      <c r="K137" t="s">
        <v>1635</v>
      </c>
      <c r="L137">
        <v>1302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525</v>
      </c>
      <c r="D138" t="s">
        <v>526</v>
      </c>
      <c r="E138" s="8">
        <v>45989</v>
      </c>
      <c r="F138">
        <v>6</v>
      </c>
      <c r="G138">
        <v>1540</v>
      </c>
      <c r="H138">
        <v>27578</v>
      </c>
      <c r="I138">
        <v>9240</v>
      </c>
      <c r="J138">
        <v>18338</v>
      </c>
      <c r="K138" t="s">
        <v>1635</v>
      </c>
      <c r="L138">
        <v>1540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535</v>
      </c>
      <c r="D139" t="s">
        <v>536</v>
      </c>
      <c r="E139" s="8">
        <v>45989</v>
      </c>
      <c r="F139">
        <v>6</v>
      </c>
      <c r="G139">
        <v>3256</v>
      </c>
      <c r="H139">
        <v>98799</v>
      </c>
      <c r="I139">
        <v>17760</v>
      </c>
      <c r="J139">
        <v>81039</v>
      </c>
      <c r="K139" t="s">
        <v>1635</v>
      </c>
      <c r="L139">
        <v>3256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596</v>
      </c>
      <c r="D140" t="s">
        <v>597</v>
      </c>
      <c r="E140" s="8">
        <v>45996</v>
      </c>
      <c r="F140">
        <v>6</v>
      </c>
      <c r="G140">
        <v>3567</v>
      </c>
      <c r="H140">
        <v>107595</v>
      </c>
      <c r="I140">
        <v>19525</v>
      </c>
      <c r="J140">
        <v>88070</v>
      </c>
      <c r="K140" t="s">
        <v>1635</v>
      </c>
      <c r="L140">
        <v>3567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606</v>
      </c>
      <c r="D141" t="s">
        <v>1650</v>
      </c>
      <c r="E141" s="8">
        <v>45989</v>
      </c>
      <c r="F141">
        <v>6</v>
      </c>
      <c r="G141">
        <v>1080</v>
      </c>
      <c r="H141">
        <v>19087</v>
      </c>
      <c r="I141">
        <v>6480</v>
      </c>
      <c r="J141">
        <v>12607</v>
      </c>
      <c r="K141" t="s">
        <v>1635</v>
      </c>
      <c r="L141">
        <v>1080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609</v>
      </c>
      <c r="D142" t="s">
        <v>610</v>
      </c>
      <c r="E142" s="8">
        <v>45996</v>
      </c>
      <c r="F142">
        <v>6</v>
      </c>
      <c r="G142">
        <v>891</v>
      </c>
      <c r="H142">
        <v>77000</v>
      </c>
      <c r="I142">
        <v>12375</v>
      </c>
      <c r="J142">
        <v>64625</v>
      </c>
      <c r="K142" t="s">
        <v>1635</v>
      </c>
      <c r="L142">
        <v>891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620</v>
      </c>
      <c r="D143" t="s">
        <v>621</v>
      </c>
      <c r="E143" s="8">
        <v>45996</v>
      </c>
      <c r="F143">
        <v>6</v>
      </c>
      <c r="G143">
        <v>1350</v>
      </c>
      <c r="H143">
        <v>24498</v>
      </c>
      <c r="I143">
        <v>8100</v>
      </c>
      <c r="J143">
        <v>16398</v>
      </c>
      <c r="K143" t="s">
        <v>1635</v>
      </c>
      <c r="L143">
        <v>1350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646</v>
      </c>
      <c r="D144" t="s">
        <v>1652</v>
      </c>
      <c r="E144" s="8">
        <v>45996</v>
      </c>
      <c r="F144">
        <v>6</v>
      </c>
      <c r="G144">
        <v>2870</v>
      </c>
      <c r="H144">
        <v>83705</v>
      </c>
      <c r="I144">
        <v>13293</v>
      </c>
      <c r="J144">
        <v>70412</v>
      </c>
      <c r="K144" t="s">
        <v>1635</v>
      </c>
      <c r="L144">
        <v>2870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659</v>
      </c>
      <c r="D145" t="s">
        <v>660</v>
      </c>
      <c r="E145" s="8">
        <v>45996</v>
      </c>
      <c r="F145">
        <v>6</v>
      </c>
      <c r="G145">
        <v>1360</v>
      </c>
      <c r="H145">
        <v>24696</v>
      </c>
      <c r="I145">
        <v>8160</v>
      </c>
      <c r="J145">
        <v>16536</v>
      </c>
      <c r="K145" t="s">
        <v>1635</v>
      </c>
      <c r="L145">
        <v>1360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671</v>
      </c>
      <c r="D146" t="s">
        <v>672</v>
      </c>
      <c r="E146" s="8">
        <v>45996</v>
      </c>
      <c r="F146">
        <v>6</v>
      </c>
      <c r="G146">
        <v>3360</v>
      </c>
      <c r="H146">
        <v>100000</v>
      </c>
      <c r="I146">
        <v>20160</v>
      </c>
      <c r="J146">
        <v>79840</v>
      </c>
      <c r="K146" t="s">
        <v>1635</v>
      </c>
      <c r="L146">
        <v>3360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675</v>
      </c>
      <c r="D147" t="s">
        <v>676</v>
      </c>
      <c r="E147" s="8">
        <v>45996</v>
      </c>
      <c r="F147">
        <v>6</v>
      </c>
      <c r="G147">
        <v>2037</v>
      </c>
      <c r="H147">
        <v>36749</v>
      </c>
      <c r="I147">
        <v>12243</v>
      </c>
      <c r="J147">
        <v>24506</v>
      </c>
      <c r="K147" t="s">
        <v>1635</v>
      </c>
      <c r="L147">
        <v>2037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679</v>
      </c>
      <c r="D148" t="s">
        <v>680</v>
      </c>
      <c r="E148" s="8">
        <v>45996</v>
      </c>
      <c r="F148">
        <v>6</v>
      </c>
      <c r="G148">
        <v>1290</v>
      </c>
      <c r="H148">
        <v>80999</v>
      </c>
      <c r="I148">
        <v>13170</v>
      </c>
      <c r="J148">
        <v>67829</v>
      </c>
      <c r="K148" t="s">
        <v>1635</v>
      </c>
      <c r="L148">
        <v>1290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704</v>
      </c>
      <c r="D149" t="s">
        <v>705</v>
      </c>
      <c r="E149" s="8">
        <v>45996</v>
      </c>
      <c r="F149">
        <v>6</v>
      </c>
      <c r="G149">
        <v>2520</v>
      </c>
      <c r="H149">
        <v>76656</v>
      </c>
      <c r="I149">
        <v>12015</v>
      </c>
      <c r="J149">
        <v>64641</v>
      </c>
      <c r="K149" t="s">
        <v>1635</v>
      </c>
      <c r="L149">
        <v>2520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790</v>
      </c>
      <c r="D150" t="s">
        <v>791</v>
      </c>
      <c r="E150" s="8">
        <v>45996</v>
      </c>
      <c r="F150">
        <v>6</v>
      </c>
      <c r="G150">
        <v>3780</v>
      </c>
      <c r="H150">
        <v>115818</v>
      </c>
      <c r="I150">
        <v>21300</v>
      </c>
      <c r="J150">
        <v>94518</v>
      </c>
      <c r="K150" t="s">
        <v>1635</v>
      </c>
      <c r="L150">
        <v>3780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61</v>
      </c>
      <c r="D151" t="s">
        <v>62</v>
      </c>
      <c r="E151" s="8">
        <v>45996</v>
      </c>
      <c r="F151">
        <v>7</v>
      </c>
      <c r="G151">
        <v>2992</v>
      </c>
      <c r="H151">
        <v>93250</v>
      </c>
      <c r="I151">
        <v>20345.330000000002</v>
      </c>
      <c r="J151">
        <v>72904.67</v>
      </c>
      <c r="K151" t="s">
        <v>1635</v>
      </c>
      <c r="L151">
        <v>2992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71</v>
      </c>
      <c r="D152" t="s">
        <v>72</v>
      </c>
      <c r="E152" s="8">
        <v>45996</v>
      </c>
      <c r="F152">
        <v>7</v>
      </c>
      <c r="G152">
        <v>2415</v>
      </c>
      <c r="H152">
        <v>74625</v>
      </c>
      <c r="I152">
        <v>16502.5</v>
      </c>
      <c r="J152">
        <v>58122.5</v>
      </c>
      <c r="K152" t="s">
        <v>1635</v>
      </c>
      <c r="L152">
        <v>2415</v>
      </c>
      <c r="M152" t="s">
        <v>1635</v>
      </c>
      <c r="N152">
        <v>0</v>
      </c>
    </row>
    <row r="153" spans="1:14">
      <c r="A153">
        <v>1</v>
      </c>
      <c r="B153" t="s">
        <v>15</v>
      </c>
      <c r="C153" t="s">
        <v>106</v>
      </c>
      <c r="D153" t="s">
        <v>107</v>
      </c>
      <c r="E153" s="8">
        <v>45996</v>
      </c>
      <c r="F153">
        <v>7</v>
      </c>
      <c r="G153">
        <v>2926</v>
      </c>
      <c r="H153">
        <v>91996</v>
      </c>
      <c r="I153">
        <v>20482</v>
      </c>
      <c r="J153">
        <v>71514</v>
      </c>
      <c r="K153" t="s">
        <v>1635</v>
      </c>
      <c r="L153">
        <v>2926</v>
      </c>
      <c r="M153" t="s">
        <v>1635</v>
      </c>
      <c r="N153">
        <v>0</v>
      </c>
    </row>
    <row r="154" spans="1:14">
      <c r="A154">
        <v>1</v>
      </c>
      <c r="B154" t="s">
        <v>15</v>
      </c>
      <c r="C154" t="s">
        <v>108</v>
      </c>
      <c r="D154" t="s">
        <v>109</v>
      </c>
      <c r="E154" s="8">
        <v>45996</v>
      </c>
      <c r="F154">
        <v>7</v>
      </c>
      <c r="G154">
        <v>2709</v>
      </c>
      <c r="H154">
        <v>85845</v>
      </c>
      <c r="I154">
        <v>18624</v>
      </c>
      <c r="J154">
        <v>67221</v>
      </c>
      <c r="K154" t="s">
        <v>1635</v>
      </c>
      <c r="L154">
        <v>2709</v>
      </c>
      <c r="M154" t="s">
        <v>1635</v>
      </c>
      <c r="N154">
        <v>0</v>
      </c>
    </row>
    <row r="155" spans="1:14">
      <c r="A155">
        <v>1</v>
      </c>
      <c r="B155" t="s">
        <v>15</v>
      </c>
      <c r="C155" t="s">
        <v>123</v>
      </c>
      <c r="D155" t="s">
        <v>124</v>
      </c>
      <c r="E155" s="8">
        <v>45996</v>
      </c>
      <c r="F155">
        <v>7</v>
      </c>
      <c r="G155">
        <v>2700</v>
      </c>
      <c r="H155">
        <v>78148</v>
      </c>
      <c r="I155">
        <v>17775</v>
      </c>
      <c r="J155">
        <v>60373</v>
      </c>
      <c r="K155" t="s">
        <v>1635</v>
      </c>
      <c r="L155">
        <v>2700</v>
      </c>
      <c r="M155" t="s">
        <v>1635</v>
      </c>
      <c r="N155">
        <v>0</v>
      </c>
    </row>
    <row r="156" spans="1:14">
      <c r="A156">
        <v>1</v>
      </c>
      <c r="B156" t="s">
        <v>15</v>
      </c>
      <c r="C156" t="s">
        <v>125</v>
      </c>
      <c r="D156" t="s">
        <v>126</v>
      </c>
      <c r="E156" s="8">
        <v>45989</v>
      </c>
      <c r="F156">
        <v>7</v>
      </c>
      <c r="G156">
        <v>2774</v>
      </c>
      <c r="H156">
        <v>84023</v>
      </c>
      <c r="I156">
        <v>19320.669999999998</v>
      </c>
      <c r="J156">
        <v>64702.33</v>
      </c>
      <c r="K156" t="s">
        <v>1635</v>
      </c>
      <c r="L156">
        <v>2774</v>
      </c>
      <c r="M156" t="s">
        <v>1635</v>
      </c>
      <c r="N156">
        <v>0</v>
      </c>
    </row>
    <row r="157" spans="1:14">
      <c r="A157">
        <v>1</v>
      </c>
      <c r="B157" t="s">
        <v>15</v>
      </c>
      <c r="C157" t="s">
        <v>133</v>
      </c>
      <c r="D157" t="s">
        <v>134</v>
      </c>
      <c r="E157" s="8">
        <v>45989</v>
      </c>
      <c r="F157">
        <v>7</v>
      </c>
      <c r="G157">
        <v>3150</v>
      </c>
      <c r="H157">
        <v>93833</v>
      </c>
      <c r="I157">
        <v>21466.67</v>
      </c>
      <c r="J157">
        <v>72366.33</v>
      </c>
      <c r="K157" t="s">
        <v>1635</v>
      </c>
      <c r="L157">
        <v>3150</v>
      </c>
      <c r="M157" t="s">
        <v>1635</v>
      </c>
      <c r="N157">
        <v>0</v>
      </c>
    </row>
    <row r="158" spans="1:14">
      <c r="A158">
        <v>1</v>
      </c>
      <c r="B158" t="s">
        <v>15</v>
      </c>
      <c r="C158" t="s">
        <v>145</v>
      </c>
      <c r="D158" t="s">
        <v>146</v>
      </c>
      <c r="E158" s="8">
        <v>45996</v>
      </c>
      <c r="F158">
        <v>7</v>
      </c>
      <c r="G158">
        <v>2237.1999999999998</v>
      </c>
      <c r="H158">
        <v>78000</v>
      </c>
      <c r="I158">
        <v>15660.4</v>
      </c>
      <c r="J158">
        <v>62339.6</v>
      </c>
      <c r="K158" t="s">
        <v>1635</v>
      </c>
      <c r="L158">
        <v>2237.1999999999998</v>
      </c>
      <c r="M158" t="s">
        <v>1635</v>
      </c>
      <c r="N158">
        <v>0</v>
      </c>
    </row>
    <row r="159" spans="1:14">
      <c r="A159">
        <v>1</v>
      </c>
      <c r="B159" t="s">
        <v>15</v>
      </c>
      <c r="C159" t="s">
        <v>250</v>
      </c>
      <c r="D159" t="s">
        <v>251</v>
      </c>
      <c r="E159" s="8">
        <v>45989</v>
      </c>
      <c r="F159">
        <v>7</v>
      </c>
      <c r="G159">
        <v>3432</v>
      </c>
      <c r="H159">
        <v>120000</v>
      </c>
      <c r="I159">
        <v>23862</v>
      </c>
      <c r="J159">
        <v>96138</v>
      </c>
      <c r="K159" t="s">
        <v>1635</v>
      </c>
      <c r="L159">
        <v>3432</v>
      </c>
      <c r="M159" t="s">
        <v>1635</v>
      </c>
      <c r="N159">
        <v>0</v>
      </c>
    </row>
    <row r="160" spans="1:14">
      <c r="A160">
        <v>1</v>
      </c>
      <c r="B160" t="s">
        <v>15</v>
      </c>
      <c r="C160" t="s">
        <v>362</v>
      </c>
      <c r="D160" t="s">
        <v>363</v>
      </c>
      <c r="E160" s="8">
        <v>45996</v>
      </c>
      <c r="F160">
        <v>7</v>
      </c>
      <c r="G160">
        <v>2035.5</v>
      </c>
      <c r="H160">
        <v>59000</v>
      </c>
      <c r="I160">
        <v>13668</v>
      </c>
      <c r="J160">
        <v>45332</v>
      </c>
      <c r="K160" t="s">
        <v>1635</v>
      </c>
      <c r="L160">
        <v>2035.5</v>
      </c>
      <c r="M160" t="s">
        <v>1635</v>
      </c>
      <c r="N160">
        <v>0</v>
      </c>
    </row>
    <row r="161" spans="1:14">
      <c r="A161">
        <v>1</v>
      </c>
      <c r="B161" t="s">
        <v>15</v>
      </c>
      <c r="C161" t="s">
        <v>383</v>
      </c>
      <c r="D161" t="s">
        <v>384</v>
      </c>
      <c r="E161" s="8">
        <v>45996</v>
      </c>
      <c r="F161">
        <v>7</v>
      </c>
      <c r="G161">
        <v>1540</v>
      </c>
      <c r="H161">
        <v>44340</v>
      </c>
      <c r="I161">
        <v>9240</v>
      </c>
      <c r="J161">
        <v>35100</v>
      </c>
      <c r="K161" t="s">
        <v>1635</v>
      </c>
      <c r="L161">
        <v>1540</v>
      </c>
      <c r="M161" t="s">
        <v>1635</v>
      </c>
      <c r="N161">
        <v>0</v>
      </c>
    </row>
    <row r="162" spans="1:14">
      <c r="A162">
        <v>1</v>
      </c>
      <c r="B162" t="s">
        <v>15</v>
      </c>
      <c r="C162" t="s">
        <v>389</v>
      </c>
      <c r="D162" t="s">
        <v>390</v>
      </c>
      <c r="E162" s="8">
        <v>45996</v>
      </c>
      <c r="F162">
        <v>7</v>
      </c>
      <c r="G162">
        <v>2397</v>
      </c>
      <c r="H162">
        <v>86683</v>
      </c>
      <c r="I162">
        <v>14006</v>
      </c>
      <c r="J162">
        <v>72677</v>
      </c>
      <c r="K162" t="s">
        <v>1635</v>
      </c>
      <c r="L162">
        <v>2397</v>
      </c>
      <c r="M162" t="s">
        <v>1635</v>
      </c>
      <c r="N162">
        <v>0</v>
      </c>
    </row>
    <row r="163" spans="1:14">
      <c r="A163">
        <v>1</v>
      </c>
      <c r="B163" t="s">
        <v>15</v>
      </c>
      <c r="C163" t="s">
        <v>407</v>
      </c>
      <c r="D163" t="s">
        <v>408</v>
      </c>
      <c r="E163" s="8">
        <v>45996</v>
      </c>
      <c r="F163">
        <v>7</v>
      </c>
      <c r="G163">
        <v>3375</v>
      </c>
      <c r="H163">
        <v>98000</v>
      </c>
      <c r="I163">
        <v>19180</v>
      </c>
      <c r="J163">
        <v>78820</v>
      </c>
      <c r="K163" t="s">
        <v>1635</v>
      </c>
      <c r="L163">
        <v>3375</v>
      </c>
      <c r="M163" t="s">
        <v>1635</v>
      </c>
      <c r="N163">
        <v>0</v>
      </c>
    </row>
    <row r="164" spans="1:14">
      <c r="A164">
        <v>1</v>
      </c>
      <c r="B164" t="s">
        <v>15</v>
      </c>
      <c r="C164" t="s">
        <v>433</v>
      </c>
      <c r="D164" t="s">
        <v>434</v>
      </c>
      <c r="E164" s="8">
        <v>45996</v>
      </c>
      <c r="F164">
        <v>7</v>
      </c>
      <c r="G164">
        <v>2460</v>
      </c>
      <c r="H164">
        <v>76000</v>
      </c>
      <c r="I164">
        <v>17426</v>
      </c>
      <c r="J164">
        <v>58574</v>
      </c>
      <c r="K164" t="s">
        <v>1635</v>
      </c>
      <c r="L164">
        <v>2460</v>
      </c>
      <c r="M164" t="s">
        <v>1635</v>
      </c>
      <c r="N164">
        <v>0</v>
      </c>
    </row>
    <row r="165" spans="1:14">
      <c r="A165">
        <v>1</v>
      </c>
      <c r="B165" t="s">
        <v>15</v>
      </c>
      <c r="C165" t="s">
        <v>546</v>
      </c>
      <c r="D165" t="s">
        <v>547</v>
      </c>
      <c r="E165" s="8">
        <v>45996</v>
      </c>
      <c r="F165">
        <v>7</v>
      </c>
      <c r="G165">
        <v>1638</v>
      </c>
      <c r="H165">
        <v>27862</v>
      </c>
      <c r="I165">
        <v>9275</v>
      </c>
      <c r="J165">
        <v>18587</v>
      </c>
      <c r="K165" t="s">
        <v>1635</v>
      </c>
      <c r="L165">
        <v>1638</v>
      </c>
      <c r="M165" t="s">
        <v>1635</v>
      </c>
      <c r="N165">
        <v>0</v>
      </c>
    </row>
    <row r="166" spans="1:14">
      <c r="A166">
        <v>1</v>
      </c>
      <c r="B166" t="s">
        <v>15</v>
      </c>
      <c r="C166" t="s">
        <v>26</v>
      </c>
      <c r="D166" t="s">
        <v>27</v>
      </c>
      <c r="E166" s="8">
        <v>45989</v>
      </c>
      <c r="F166">
        <v>8</v>
      </c>
      <c r="G166">
        <v>2314</v>
      </c>
      <c r="H166">
        <v>61372</v>
      </c>
      <c r="I166">
        <v>13884</v>
      </c>
      <c r="J166">
        <v>47488</v>
      </c>
      <c r="K166" t="s">
        <v>1635</v>
      </c>
      <c r="L166">
        <v>2314</v>
      </c>
      <c r="M166" t="s">
        <v>1635</v>
      </c>
      <c r="N166">
        <v>0</v>
      </c>
    </row>
    <row r="167" spans="1:14">
      <c r="A167">
        <v>1</v>
      </c>
      <c r="B167" t="s">
        <v>15</v>
      </c>
      <c r="C167" t="s">
        <v>34</v>
      </c>
      <c r="D167" t="s">
        <v>35</v>
      </c>
      <c r="E167" s="8">
        <v>45989</v>
      </c>
      <c r="F167">
        <v>8</v>
      </c>
      <c r="G167">
        <v>3709.8</v>
      </c>
      <c r="H167">
        <v>109806</v>
      </c>
      <c r="I167">
        <v>27687.929999999898</v>
      </c>
      <c r="J167">
        <v>82118.070000000007</v>
      </c>
      <c r="K167" t="s">
        <v>1635</v>
      </c>
      <c r="L167">
        <v>3709.8</v>
      </c>
      <c r="M167" t="s">
        <v>1635</v>
      </c>
      <c r="N167">
        <v>0</v>
      </c>
    </row>
    <row r="168" spans="1:14">
      <c r="A168">
        <v>1</v>
      </c>
      <c r="B168" t="s">
        <v>15</v>
      </c>
      <c r="C168" t="s">
        <v>77</v>
      </c>
      <c r="D168" t="s">
        <v>78</v>
      </c>
      <c r="E168" s="8">
        <v>45996</v>
      </c>
      <c r="F168">
        <v>8</v>
      </c>
      <c r="G168">
        <v>4165</v>
      </c>
      <c r="H168">
        <v>78585</v>
      </c>
      <c r="I168">
        <v>28223</v>
      </c>
      <c r="J168">
        <v>50362</v>
      </c>
      <c r="K168" t="s">
        <v>1635</v>
      </c>
      <c r="L168">
        <v>4165</v>
      </c>
      <c r="M168" t="s">
        <v>1635</v>
      </c>
      <c r="N168">
        <v>0</v>
      </c>
    </row>
    <row r="169" spans="1:14">
      <c r="A169">
        <v>1</v>
      </c>
      <c r="B169" t="s">
        <v>15</v>
      </c>
      <c r="C169" t="s">
        <v>316</v>
      </c>
      <c r="D169" t="s">
        <v>317</v>
      </c>
      <c r="E169" s="8">
        <v>45996</v>
      </c>
      <c r="F169">
        <v>9</v>
      </c>
      <c r="G169">
        <v>2790</v>
      </c>
      <c r="H169">
        <v>77507.5</v>
      </c>
      <c r="I169">
        <v>16740</v>
      </c>
      <c r="J169">
        <v>60767.5</v>
      </c>
      <c r="K169" t="s">
        <v>1635</v>
      </c>
      <c r="L169">
        <v>2790</v>
      </c>
      <c r="M169" t="s">
        <v>1635</v>
      </c>
      <c r="N169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5FFB-821E-4E3C-91D1-248A18F6F947}">
  <dimension ref="A1:N219"/>
  <sheetViews>
    <sheetView topLeftCell="A51" workbookViewId="0">
      <selection activeCell="E61" sqref="E61"/>
    </sheetView>
  </sheetViews>
  <sheetFormatPr baseColWidth="10" defaultColWidth="8.83203125" defaultRowHeight="14"/>
  <cols>
    <col min="2" max="2" width="31.5" bestFit="1" customWidth="1"/>
    <col min="5" max="5" width="18.33203125" bestFit="1" customWidth="1"/>
    <col min="11" max="11" width="13.83203125" bestFit="1" customWidth="1"/>
    <col min="12" max="12" width="18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32</v>
      </c>
      <c r="D2" t="s">
        <v>33</v>
      </c>
      <c r="E2" s="8">
        <v>46003</v>
      </c>
      <c r="F2">
        <v>4</v>
      </c>
      <c r="G2">
        <v>9263</v>
      </c>
      <c r="H2">
        <v>164000</v>
      </c>
      <c r="I2">
        <v>37052</v>
      </c>
      <c r="J2">
        <v>126948</v>
      </c>
      <c r="K2" t="s">
        <v>1635</v>
      </c>
      <c r="L2">
        <v>9263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453</v>
      </c>
      <c r="D3" t="s">
        <v>454</v>
      </c>
      <c r="E3" s="8">
        <v>46003</v>
      </c>
      <c r="F3">
        <v>4</v>
      </c>
      <c r="G3">
        <v>1155</v>
      </c>
      <c r="H3">
        <v>20000</v>
      </c>
      <c r="I3">
        <v>4620</v>
      </c>
      <c r="J3">
        <v>15380</v>
      </c>
      <c r="K3" t="s">
        <v>1635</v>
      </c>
      <c r="L3">
        <v>1155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566</v>
      </c>
      <c r="D4" t="s">
        <v>567</v>
      </c>
      <c r="E4" s="8">
        <v>46003</v>
      </c>
      <c r="F4">
        <v>4</v>
      </c>
      <c r="G4">
        <v>3822</v>
      </c>
      <c r="H4">
        <v>110923</v>
      </c>
      <c r="I4">
        <v>15288</v>
      </c>
      <c r="J4">
        <v>95635</v>
      </c>
      <c r="K4" t="s">
        <v>1635</v>
      </c>
      <c r="L4">
        <v>3822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636</v>
      </c>
      <c r="D5" t="s">
        <v>637</v>
      </c>
      <c r="E5" s="8">
        <v>46003</v>
      </c>
      <c r="F5">
        <v>4</v>
      </c>
      <c r="G5">
        <v>1300</v>
      </c>
      <c r="H5">
        <v>23000</v>
      </c>
      <c r="I5">
        <v>5200</v>
      </c>
      <c r="J5">
        <v>17800</v>
      </c>
      <c r="K5" t="s">
        <v>1635</v>
      </c>
      <c r="L5">
        <v>1300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667</v>
      </c>
      <c r="D6" t="s">
        <v>668</v>
      </c>
      <c r="E6" s="8">
        <v>46010</v>
      </c>
      <c r="F6">
        <v>4</v>
      </c>
      <c r="G6">
        <v>2923</v>
      </c>
      <c r="H6">
        <v>84279</v>
      </c>
      <c r="I6">
        <v>11692</v>
      </c>
      <c r="J6">
        <v>72587</v>
      </c>
      <c r="K6" t="s">
        <v>1635</v>
      </c>
      <c r="L6">
        <v>2923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673</v>
      </c>
      <c r="D7" t="s">
        <v>674</v>
      </c>
      <c r="E7" s="8">
        <v>46003</v>
      </c>
      <c r="F7">
        <v>4</v>
      </c>
      <c r="G7">
        <v>5292</v>
      </c>
      <c r="H7">
        <v>161888</v>
      </c>
      <c r="I7">
        <v>19696</v>
      </c>
      <c r="J7">
        <v>142192</v>
      </c>
      <c r="K7" t="s">
        <v>1635</v>
      </c>
      <c r="L7">
        <v>5292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684</v>
      </c>
      <c r="D8" t="s">
        <v>685</v>
      </c>
      <c r="E8" s="8">
        <v>46003</v>
      </c>
      <c r="F8">
        <v>4</v>
      </c>
      <c r="G8">
        <v>2225</v>
      </c>
      <c r="H8">
        <v>67500</v>
      </c>
      <c r="I8">
        <v>7675</v>
      </c>
      <c r="J8">
        <v>59825</v>
      </c>
      <c r="K8" t="s">
        <v>1635</v>
      </c>
      <c r="L8">
        <v>2225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761</v>
      </c>
      <c r="D9" t="s">
        <v>762</v>
      </c>
      <c r="E9" s="8">
        <v>46003</v>
      </c>
      <c r="F9">
        <v>4</v>
      </c>
      <c r="G9">
        <v>3550</v>
      </c>
      <c r="H9">
        <v>105700</v>
      </c>
      <c r="I9">
        <v>12650</v>
      </c>
      <c r="J9">
        <v>93050</v>
      </c>
      <c r="K9" t="s">
        <v>1635</v>
      </c>
      <c r="L9">
        <v>3550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792</v>
      </c>
      <c r="D10" t="s">
        <v>793</v>
      </c>
      <c r="E10" s="8">
        <v>46010</v>
      </c>
      <c r="F10">
        <v>4</v>
      </c>
      <c r="G10">
        <v>4620</v>
      </c>
      <c r="H10">
        <v>137000</v>
      </c>
      <c r="I10">
        <v>16660</v>
      </c>
      <c r="J10">
        <v>120340</v>
      </c>
      <c r="K10" t="s">
        <v>1635</v>
      </c>
      <c r="L10">
        <v>4620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199</v>
      </c>
      <c r="D11" t="s">
        <v>200</v>
      </c>
      <c r="E11" s="8">
        <v>46003</v>
      </c>
      <c r="F11">
        <v>5</v>
      </c>
      <c r="G11">
        <v>4080</v>
      </c>
      <c r="H11">
        <v>79275</v>
      </c>
      <c r="I11">
        <v>19270</v>
      </c>
      <c r="J11">
        <v>60005</v>
      </c>
      <c r="K11" t="s">
        <v>1635</v>
      </c>
      <c r="L11">
        <v>4080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234</v>
      </c>
      <c r="D12" t="s">
        <v>235</v>
      </c>
      <c r="E12" s="8">
        <v>46003</v>
      </c>
      <c r="F12">
        <v>5</v>
      </c>
      <c r="G12">
        <v>2850</v>
      </c>
      <c r="H12">
        <v>85800</v>
      </c>
      <c r="I12">
        <v>14150</v>
      </c>
      <c r="J12">
        <v>71650</v>
      </c>
      <c r="K12" t="s">
        <v>1635</v>
      </c>
      <c r="L12">
        <v>2850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244</v>
      </c>
      <c r="D13" t="s">
        <v>245</v>
      </c>
      <c r="E13" s="8">
        <v>46003</v>
      </c>
      <c r="F13">
        <v>5</v>
      </c>
      <c r="G13">
        <v>6952</v>
      </c>
      <c r="H13">
        <v>120000</v>
      </c>
      <c r="I13">
        <v>31478</v>
      </c>
      <c r="J13">
        <v>88522</v>
      </c>
      <c r="K13" t="s">
        <v>1635</v>
      </c>
      <c r="L13">
        <v>6952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248</v>
      </c>
      <c r="D14" t="s">
        <v>249</v>
      </c>
      <c r="E14" s="8">
        <v>46010</v>
      </c>
      <c r="F14">
        <v>5</v>
      </c>
      <c r="G14">
        <v>2940</v>
      </c>
      <c r="H14">
        <v>77000</v>
      </c>
      <c r="I14">
        <v>13290</v>
      </c>
      <c r="J14">
        <v>63710</v>
      </c>
      <c r="K14" t="s">
        <v>1635</v>
      </c>
      <c r="L14">
        <v>2940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252</v>
      </c>
      <c r="D15" t="s">
        <v>253</v>
      </c>
      <c r="E15" s="8">
        <v>46010</v>
      </c>
      <c r="F15">
        <v>5</v>
      </c>
      <c r="G15">
        <v>2409</v>
      </c>
      <c r="H15">
        <v>74625</v>
      </c>
      <c r="I15">
        <v>12045</v>
      </c>
      <c r="J15">
        <v>62580</v>
      </c>
      <c r="K15" t="s">
        <v>1635</v>
      </c>
      <c r="L15">
        <v>2409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254</v>
      </c>
      <c r="D16" t="s">
        <v>255</v>
      </c>
      <c r="E16" s="8">
        <v>46010</v>
      </c>
      <c r="F16">
        <v>5</v>
      </c>
      <c r="G16">
        <v>3840</v>
      </c>
      <c r="H16">
        <v>115413</v>
      </c>
      <c r="I16">
        <v>19200</v>
      </c>
      <c r="J16">
        <v>96213</v>
      </c>
      <c r="K16" t="s">
        <v>1635</v>
      </c>
      <c r="L16">
        <v>3840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260</v>
      </c>
      <c r="D17" t="s">
        <v>261</v>
      </c>
      <c r="E17" s="8">
        <v>46010</v>
      </c>
      <c r="F17">
        <v>5</v>
      </c>
      <c r="G17">
        <v>2660</v>
      </c>
      <c r="H17">
        <v>78299</v>
      </c>
      <c r="I17">
        <v>13300</v>
      </c>
      <c r="J17">
        <v>64999</v>
      </c>
      <c r="K17" t="s">
        <v>1635</v>
      </c>
      <c r="L17">
        <v>2660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266</v>
      </c>
      <c r="D18" t="s">
        <v>267</v>
      </c>
      <c r="E18" s="8">
        <v>46003</v>
      </c>
      <c r="F18">
        <v>5</v>
      </c>
      <c r="G18">
        <v>2300</v>
      </c>
      <c r="H18">
        <v>43500</v>
      </c>
      <c r="I18">
        <v>11090</v>
      </c>
      <c r="J18">
        <v>32410</v>
      </c>
      <c r="K18" t="s">
        <v>1635</v>
      </c>
      <c r="L18">
        <v>2300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270</v>
      </c>
      <c r="D19" t="s">
        <v>271</v>
      </c>
      <c r="E19" s="8">
        <v>46003</v>
      </c>
      <c r="F19">
        <v>5</v>
      </c>
      <c r="G19">
        <v>4872</v>
      </c>
      <c r="H19">
        <v>121733</v>
      </c>
      <c r="I19">
        <v>22968</v>
      </c>
      <c r="J19">
        <v>98765</v>
      </c>
      <c r="K19" t="s">
        <v>1635</v>
      </c>
      <c r="L19">
        <v>4872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276</v>
      </c>
      <c r="D20" t="s">
        <v>277</v>
      </c>
      <c r="E20" s="8">
        <v>46003</v>
      </c>
      <c r="F20">
        <v>5</v>
      </c>
      <c r="G20">
        <v>2960</v>
      </c>
      <c r="H20">
        <v>82751</v>
      </c>
      <c r="I20">
        <v>14800</v>
      </c>
      <c r="J20">
        <v>67951</v>
      </c>
      <c r="K20" t="s">
        <v>1635</v>
      </c>
      <c r="L20">
        <v>2960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278</v>
      </c>
      <c r="D21" t="s">
        <v>279</v>
      </c>
      <c r="E21" s="8">
        <v>46010</v>
      </c>
      <c r="F21">
        <v>5</v>
      </c>
      <c r="G21">
        <v>4608</v>
      </c>
      <c r="H21">
        <v>84625</v>
      </c>
      <c r="I21">
        <v>21072</v>
      </c>
      <c r="J21">
        <v>63553</v>
      </c>
      <c r="K21" t="s">
        <v>1635</v>
      </c>
      <c r="L21">
        <v>4608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284</v>
      </c>
      <c r="D22" t="s">
        <v>285</v>
      </c>
      <c r="E22" s="8">
        <v>46010</v>
      </c>
      <c r="F22">
        <v>5</v>
      </c>
      <c r="G22">
        <v>6020</v>
      </c>
      <c r="H22">
        <v>111290</v>
      </c>
      <c r="I22">
        <v>29446.67</v>
      </c>
      <c r="J22">
        <v>81843.33</v>
      </c>
      <c r="K22" t="s">
        <v>1635</v>
      </c>
      <c r="L22">
        <v>6020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290</v>
      </c>
      <c r="D23" t="s">
        <v>291</v>
      </c>
      <c r="E23" s="8">
        <v>46003</v>
      </c>
      <c r="F23">
        <v>5</v>
      </c>
      <c r="G23">
        <v>2520</v>
      </c>
      <c r="H23">
        <v>79600</v>
      </c>
      <c r="I23">
        <v>11880</v>
      </c>
      <c r="J23">
        <v>67720</v>
      </c>
      <c r="K23" t="s">
        <v>1635</v>
      </c>
      <c r="L23">
        <v>2520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292</v>
      </c>
      <c r="D24" t="s">
        <v>293</v>
      </c>
      <c r="E24" s="8">
        <v>46010</v>
      </c>
      <c r="F24">
        <v>5</v>
      </c>
      <c r="G24">
        <v>2250</v>
      </c>
      <c r="H24">
        <v>78580</v>
      </c>
      <c r="I24">
        <v>11250</v>
      </c>
      <c r="J24">
        <v>67330</v>
      </c>
      <c r="K24" t="s">
        <v>1635</v>
      </c>
      <c r="L24">
        <v>2250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294</v>
      </c>
      <c r="D25" t="s">
        <v>295</v>
      </c>
      <c r="E25" s="8">
        <v>46003</v>
      </c>
      <c r="F25">
        <v>5</v>
      </c>
      <c r="G25">
        <v>4824</v>
      </c>
      <c r="H25">
        <v>89000</v>
      </c>
      <c r="I25">
        <v>22056</v>
      </c>
      <c r="J25">
        <v>66944</v>
      </c>
      <c r="K25" t="s">
        <v>1635</v>
      </c>
      <c r="L25">
        <v>4824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300</v>
      </c>
      <c r="D26" t="s">
        <v>301</v>
      </c>
      <c r="E26" s="8">
        <v>46010</v>
      </c>
      <c r="F26">
        <v>5</v>
      </c>
      <c r="G26">
        <v>2520</v>
      </c>
      <c r="H26">
        <v>75800</v>
      </c>
      <c r="I26">
        <v>12380</v>
      </c>
      <c r="J26">
        <v>63420</v>
      </c>
      <c r="K26" t="s">
        <v>1635</v>
      </c>
      <c r="L26">
        <v>2520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302</v>
      </c>
      <c r="D27" t="s">
        <v>303</v>
      </c>
      <c r="E27" s="8">
        <v>46010</v>
      </c>
      <c r="F27">
        <v>5</v>
      </c>
      <c r="G27">
        <v>2850</v>
      </c>
      <c r="H27">
        <v>84946</v>
      </c>
      <c r="I27">
        <v>14150</v>
      </c>
      <c r="J27">
        <v>70796</v>
      </c>
      <c r="K27" t="s">
        <v>1635</v>
      </c>
      <c r="L27">
        <v>2850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320</v>
      </c>
      <c r="D28" t="s">
        <v>321</v>
      </c>
      <c r="E28" s="8">
        <v>46003</v>
      </c>
      <c r="F28">
        <v>5</v>
      </c>
      <c r="G28">
        <v>2850</v>
      </c>
      <c r="H28">
        <v>85000</v>
      </c>
      <c r="I28">
        <v>14250</v>
      </c>
      <c r="J28">
        <v>70750</v>
      </c>
      <c r="K28" t="s">
        <v>1635</v>
      </c>
      <c r="L28">
        <v>2850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348</v>
      </c>
      <c r="D29" t="s">
        <v>349</v>
      </c>
      <c r="E29" s="8">
        <v>46010</v>
      </c>
      <c r="F29">
        <v>5</v>
      </c>
      <c r="G29">
        <v>3120</v>
      </c>
      <c r="H29">
        <v>99693</v>
      </c>
      <c r="I29">
        <v>14630</v>
      </c>
      <c r="J29">
        <v>85063</v>
      </c>
      <c r="K29" t="s">
        <v>1635</v>
      </c>
      <c r="L29">
        <v>3120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455</v>
      </c>
      <c r="D30" t="s">
        <v>456</v>
      </c>
      <c r="E30" s="8">
        <v>46003</v>
      </c>
      <c r="F30">
        <v>5</v>
      </c>
      <c r="G30">
        <v>2665</v>
      </c>
      <c r="H30">
        <v>96000</v>
      </c>
      <c r="I30">
        <v>13260</v>
      </c>
      <c r="J30">
        <v>82740</v>
      </c>
      <c r="K30" t="s">
        <v>1635</v>
      </c>
      <c r="L30">
        <v>2665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499</v>
      </c>
      <c r="D31" t="s">
        <v>500</v>
      </c>
      <c r="E31" s="8">
        <v>46010</v>
      </c>
      <c r="F31">
        <v>5</v>
      </c>
      <c r="G31">
        <v>2420</v>
      </c>
      <c r="H31">
        <v>101346</v>
      </c>
      <c r="I31">
        <v>14404</v>
      </c>
      <c r="J31">
        <v>86942</v>
      </c>
      <c r="K31" t="s">
        <v>1635</v>
      </c>
      <c r="L31">
        <v>2420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503</v>
      </c>
      <c r="D32" t="s">
        <v>504</v>
      </c>
      <c r="E32" s="8">
        <v>46010</v>
      </c>
      <c r="F32">
        <v>5</v>
      </c>
      <c r="G32">
        <v>2912.7</v>
      </c>
      <c r="H32">
        <v>82911</v>
      </c>
      <c r="I32">
        <v>14563.5</v>
      </c>
      <c r="J32">
        <v>68347.5</v>
      </c>
      <c r="K32" t="s">
        <v>1635</v>
      </c>
      <c r="L32">
        <v>2912.7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550</v>
      </c>
      <c r="D33" t="s">
        <v>551</v>
      </c>
      <c r="E33" s="8">
        <v>46003</v>
      </c>
      <c r="F33">
        <v>5</v>
      </c>
      <c r="G33">
        <v>1178</v>
      </c>
      <c r="H33">
        <v>20715</v>
      </c>
      <c r="I33">
        <v>5890</v>
      </c>
      <c r="J33">
        <v>14825</v>
      </c>
      <c r="K33" t="s">
        <v>1635</v>
      </c>
      <c r="L33">
        <v>1178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552</v>
      </c>
      <c r="D34" t="s">
        <v>553</v>
      </c>
      <c r="E34" s="8">
        <v>46003</v>
      </c>
      <c r="F34">
        <v>5</v>
      </c>
      <c r="G34">
        <v>1428</v>
      </c>
      <c r="H34">
        <v>25490</v>
      </c>
      <c r="I34">
        <v>7308</v>
      </c>
      <c r="J34">
        <v>18182</v>
      </c>
      <c r="K34" t="s">
        <v>1635</v>
      </c>
      <c r="L34">
        <v>1428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573</v>
      </c>
      <c r="D35" t="s">
        <v>574</v>
      </c>
      <c r="E35" s="8">
        <v>46010</v>
      </c>
      <c r="F35">
        <v>5</v>
      </c>
      <c r="G35">
        <v>1380</v>
      </c>
      <c r="H35">
        <v>25912</v>
      </c>
      <c r="I35">
        <v>6900</v>
      </c>
      <c r="J35">
        <v>19012</v>
      </c>
      <c r="K35" t="s">
        <v>1635</v>
      </c>
      <c r="L35">
        <v>1380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575</v>
      </c>
      <c r="D36" t="s">
        <v>576</v>
      </c>
      <c r="E36" s="8">
        <v>46010</v>
      </c>
      <c r="F36">
        <v>5</v>
      </c>
      <c r="G36">
        <v>2475</v>
      </c>
      <c r="H36">
        <v>78888</v>
      </c>
      <c r="I36">
        <v>11700</v>
      </c>
      <c r="J36">
        <v>67188</v>
      </c>
      <c r="K36" t="s">
        <v>1635</v>
      </c>
      <c r="L36">
        <v>2475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604</v>
      </c>
      <c r="D37" t="s">
        <v>605</v>
      </c>
      <c r="E37" s="8">
        <v>46003</v>
      </c>
      <c r="F37">
        <v>5</v>
      </c>
      <c r="G37">
        <v>1380</v>
      </c>
      <c r="H37">
        <v>26555</v>
      </c>
      <c r="I37">
        <v>6900</v>
      </c>
      <c r="J37">
        <v>19655</v>
      </c>
      <c r="K37" t="s">
        <v>1635</v>
      </c>
      <c r="L37">
        <v>1380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617</v>
      </c>
      <c r="D38" t="s">
        <v>618</v>
      </c>
      <c r="E38" s="8">
        <v>46010</v>
      </c>
      <c r="F38">
        <v>5</v>
      </c>
      <c r="G38">
        <v>2470</v>
      </c>
      <c r="H38">
        <v>73000</v>
      </c>
      <c r="I38">
        <v>12350</v>
      </c>
      <c r="J38">
        <v>60650</v>
      </c>
      <c r="K38" t="s">
        <v>1635</v>
      </c>
      <c r="L38">
        <v>2470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622</v>
      </c>
      <c r="D39" t="s">
        <v>623</v>
      </c>
      <c r="E39" s="8">
        <v>46010</v>
      </c>
      <c r="F39">
        <v>5</v>
      </c>
      <c r="G39">
        <v>2976</v>
      </c>
      <c r="H39">
        <v>89000</v>
      </c>
      <c r="I39">
        <v>13888</v>
      </c>
      <c r="J39">
        <v>75112</v>
      </c>
      <c r="K39" t="s">
        <v>1635</v>
      </c>
      <c r="L39">
        <v>2976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649</v>
      </c>
      <c r="D40" t="s">
        <v>650</v>
      </c>
      <c r="E40" s="8">
        <v>46010</v>
      </c>
      <c r="F40">
        <v>5</v>
      </c>
      <c r="G40">
        <v>3672</v>
      </c>
      <c r="H40">
        <v>106000</v>
      </c>
      <c r="I40">
        <v>16948</v>
      </c>
      <c r="J40">
        <v>89052</v>
      </c>
      <c r="K40" t="s">
        <v>1635</v>
      </c>
      <c r="L40">
        <v>3672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653</v>
      </c>
      <c r="D41" t="s">
        <v>654</v>
      </c>
      <c r="E41" s="8">
        <v>46003</v>
      </c>
      <c r="F41">
        <v>5</v>
      </c>
      <c r="G41">
        <v>2756</v>
      </c>
      <c r="H41">
        <v>82697</v>
      </c>
      <c r="I41">
        <v>13104</v>
      </c>
      <c r="J41">
        <v>69593</v>
      </c>
      <c r="K41" t="s">
        <v>1635</v>
      </c>
      <c r="L41">
        <v>2756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686</v>
      </c>
      <c r="D42" t="s">
        <v>687</v>
      </c>
      <c r="E42" s="8">
        <v>46003</v>
      </c>
      <c r="F42">
        <v>5</v>
      </c>
      <c r="G42">
        <v>1488</v>
      </c>
      <c r="H42">
        <v>26555</v>
      </c>
      <c r="I42">
        <v>7440</v>
      </c>
      <c r="J42">
        <v>19115</v>
      </c>
      <c r="K42" t="s">
        <v>1635</v>
      </c>
      <c r="L42">
        <v>1488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688</v>
      </c>
      <c r="D43" t="s">
        <v>689</v>
      </c>
      <c r="E43" s="8">
        <v>46003</v>
      </c>
      <c r="F43">
        <v>5</v>
      </c>
      <c r="G43">
        <v>2937</v>
      </c>
      <c r="H43">
        <v>88800</v>
      </c>
      <c r="I43">
        <v>13068</v>
      </c>
      <c r="J43">
        <v>75732</v>
      </c>
      <c r="K43" t="s">
        <v>1635</v>
      </c>
      <c r="L43">
        <v>2937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692</v>
      </c>
      <c r="D44" t="s">
        <v>693</v>
      </c>
      <c r="E44" s="8">
        <v>46003</v>
      </c>
      <c r="F44">
        <v>5</v>
      </c>
      <c r="G44">
        <v>675</v>
      </c>
      <c r="H44">
        <v>16502</v>
      </c>
      <c r="I44">
        <v>3375</v>
      </c>
      <c r="J44">
        <v>13127</v>
      </c>
      <c r="K44" t="s">
        <v>1635</v>
      </c>
      <c r="L44">
        <v>675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698</v>
      </c>
      <c r="D45" t="s">
        <v>699</v>
      </c>
      <c r="E45" s="8">
        <v>46010</v>
      </c>
      <c r="F45">
        <v>5</v>
      </c>
      <c r="G45">
        <v>4380</v>
      </c>
      <c r="H45">
        <v>129825</v>
      </c>
      <c r="I45">
        <v>19920</v>
      </c>
      <c r="J45">
        <v>109905</v>
      </c>
      <c r="K45" t="s">
        <v>1635</v>
      </c>
      <c r="L45">
        <v>4380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700</v>
      </c>
      <c r="D46" t="s">
        <v>701</v>
      </c>
      <c r="E46" s="8">
        <v>46010</v>
      </c>
      <c r="F46">
        <v>5</v>
      </c>
      <c r="G46">
        <v>3870</v>
      </c>
      <c r="H46">
        <v>115000</v>
      </c>
      <c r="I46">
        <v>17280</v>
      </c>
      <c r="J46">
        <v>97720</v>
      </c>
      <c r="K46" t="s">
        <v>1635</v>
      </c>
      <c r="L46">
        <v>3870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713</v>
      </c>
      <c r="D47" t="s">
        <v>714</v>
      </c>
      <c r="E47" s="8">
        <v>46003</v>
      </c>
      <c r="F47">
        <v>5</v>
      </c>
      <c r="G47">
        <v>3564</v>
      </c>
      <c r="H47">
        <v>105000</v>
      </c>
      <c r="I47">
        <v>16946</v>
      </c>
      <c r="J47">
        <v>88054</v>
      </c>
      <c r="K47" t="s">
        <v>1635</v>
      </c>
      <c r="L47">
        <v>3564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715</v>
      </c>
      <c r="D48" t="s">
        <v>716</v>
      </c>
      <c r="E48" s="8">
        <v>46003</v>
      </c>
      <c r="F48">
        <v>5</v>
      </c>
      <c r="G48">
        <v>2925</v>
      </c>
      <c r="H48">
        <v>85000</v>
      </c>
      <c r="I48">
        <v>13550</v>
      </c>
      <c r="J48">
        <v>71450</v>
      </c>
      <c r="K48" t="s">
        <v>1635</v>
      </c>
      <c r="L48">
        <v>2925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719</v>
      </c>
      <c r="D49" t="s">
        <v>720</v>
      </c>
      <c r="E49" s="8">
        <v>46010</v>
      </c>
      <c r="F49">
        <v>5</v>
      </c>
      <c r="G49">
        <v>3800</v>
      </c>
      <c r="H49">
        <v>112151</v>
      </c>
      <c r="I49">
        <v>17250</v>
      </c>
      <c r="J49">
        <v>94901</v>
      </c>
      <c r="K49" t="s">
        <v>1635</v>
      </c>
      <c r="L49">
        <v>3800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723</v>
      </c>
      <c r="D50" t="s">
        <v>724</v>
      </c>
      <c r="E50" s="8">
        <v>46010</v>
      </c>
      <c r="F50">
        <v>5</v>
      </c>
      <c r="G50">
        <v>3465</v>
      </c>
      <c r="H50">
        <v>100000</v>
      </c>
      <c r="I50">
        <v>13051.5</v>
      </c>
      <c r="J50">
        <v>86948.5</v>
      </c>
      <c r="K50" t="s">
        <v>1635</v>
      </c>
      <c r="L50">
        <v>3465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725</v>
      </c>
      <c r="D51" t="s">
        <v>726</v>
      </c>
      <c r="E51" s="8">
        <v>46010</v>
      </c>
      <c r="F51">
        <v>5</v>
      </c>
      <c r="G51">
        <v>3531</v>
      </c>
      <c r="H51">
        <v>100000</v>
      </c>
      <c r="I51">
        <v>16389</v>
      </c>
      <c r="J51">
        <v>83611</v>
      </c>
      <c r="K51" t="s">
        <v>1635</v>
      </c>
      <c r="L51">
        <v>3531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727</v>
      </c>
      <c r="D52" t="s">
        <v>728</v>
      </c>
      <c r="E52" s="8">
        <v>46010</v>
      </c>
      <c r="F52">
        <v>5</v>
      </c>
      <c r="G52">
        <v>4316</v>
      </c>
      <c r="H52">
        <v>128253</v>
      </c>
      <c r="I52">
        <v>19344</v>
      </c>
      <c r="J52">
        <v>108909</v>
      </c>
      <c r="K52" t="s">
        <v>1635</v>
      </c>
      <c r="L52">
        <v>4316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729</v>
      </c>
      <c r="D53" t="s">
        <v>730</v>
      </c>
      <c r="E53" s="8">
        <v>46010</v>
      </c>
      <c r="F53">
        <v>5</v>
      </c>
      <c r="G53">
        <v>3168</v>
      </c>
      <c r="H53">
        <v>90580</v>
      </c>
      <c r="I53">
        <v>14692</v>
      </c>
      <c r="J53">
        <v>75888</v>
      </c>
      <c r="K53" t="s">
        <v>1635</v>
      </c>
      <c r="L53">
        <v>3168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731</v>
      </c>
      <c r="D54" t="s">
        <v>732</v>
      </c>
      <c r="E54" s="8">
        <v>46010</v>
      </c>
      <c r="F54">
        <v>5</v>
      </c>
      <c r="G54">
        <v>1750</v>
      </c>
      <c r="H54">
        <v>35714</v>
      </c>
      <c r="I54">
        <v>8750</v>
      </c>
      <c r="J54">
        <v>26964</v>
      </c>
      <c r="K54" t="s">
        <v>1635</v>
      </c>
      <c r="L54">
        <v>1750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733</v>
      </c>
      <c r="D55" t="s">
        <v>734</v>
      </c>
      <c r="E55" s="8">
        <v>46010</v>
      </c>
      <c r="F55">
        <v>5</v>
      </c>
      <c r="G55">
        <v>3465</v>
      </c>
      <c r="H55">
        <v>100000</v>
      </c>
      <c r="I55">
        <v>16085</v>
      </c>
      <c r="J55">
        <v>83915</v>
      </c>
      <c r="K55" t="s">
        <v>1635</v>
      </c>
      <c r="L55">
        <v>3465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735</v>
      </c>
      <c r="D56" t="s">
        <v>736</v>
      </c>
      <c r="E56" s="8">
        <v>46010</v>
      </c>
      <c r="F56">
        <v>5</v>
      </c>
      <c r="G56">
        <v>3465</v>
      </c>
      <c r="H56">
        <v>100000</v>
      </c>
      <c r="I56">
        <v>16085</v>
      </c>
      <c r="J56">
        <v>83915</v>
      </c>
      <c r="K56" t="s">
        <v>1635</v>
      </c>
      <c r="L56">
        <v>3465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737</v>
      </c>
      <c r="D57" t="s">
        <v>738</v>
      </c>
      <c r="E57" s="8">
        <v>46003</v>
      </c>
      <c r="F57">
        <v>5</v>
      </c>
      <c r="G57">
        <v>2745</v>
      </c>
      <c r="H57">
        <v>78544</v>
      </c>
      <c r="I57">
        <v>12880</v>
      </c>
      <c r="J57">
        <v>65664</v>
      </c>
      <c r="K57" t="s">
        <v>1635</v>
      </c>
      <c r="L57">
        <v>2745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739</v>
      </c>
      <c r="D58" t="s">
        <v>740</v>
      </c>
      <c r="E58" s="8">
        <v>46010</v>
      </c>
      <c r="F58">
        <v>5</v>
      </c>
      <c r="G58">
        <v>5076</v>
      </c>
      <c r="H58">
        <v>149690</v>
      </c>
      <c r="I58">
        <v>23149</v>
      </c>
      <c r="J58">
        <v>126541</v>
      </c>
      <c r="K58" t="s">
        <v>1635</v>
      </c>
      <c r="L58">
        <v>5076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743</v>
      </c>
      <c r="D59" t="s">
        <v>744</v>
      </c>
      <c r="E59" s="8">
        <v>46010</v>
      </c>
      <c r="F59">
        <v>5</v>
      </c>
      <c r="G59">
        <v>1575</v>
      </c>
      <c r="H59">
        <v>45000</v>
      </c>
      <c r="I59">
        <v>7635</v>
      </c>
      <c r="J59">
        <v>37365</v>
      </c>
      <c r="K59" t="s">
        <v>1635</v>
      </c>
      <c r="L59">
        <v>1575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745</v>
      </c>
      <c r="D60" t="s">
        <v>746</v>
      </c>
      <c r="E60" s="8">
        <v>46010</v>
      </c>
      <c r="F60">
        <v>5</v>
      </c>
      <c r="G60">
        <v>2760</v>
      </c>
      <c r="H60">
        <v>83500</v>
      </c>
      <c r="I60">
        <v>12640</v>
      </c>
      <c r="J60">
        <v>70860</v>
      </c>
      <c r="K60" t="s">
        <v>1635</v>
      </c>
      <c r="L60">
        <v>2760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749</v>
      </c>
      <c r="D61" t="s">
        <v>750</v>
      </c>
      <c r="E61" s="8">
        <v>46010</v>
      </c>
      <c r="F61">
        <v>5</v>
      </c>
      <c r="G61">
        <v>2760</v>
      </c>
      <c r="H61">
        <v>81657</v>
      </c>
      <c r="I61">
        <v>12930</v>
      </c>
      <c r="J61">
        <v>68727</v>
      </c>
      <c r="K61" t="s">
        <v>1635</v>
      </c>
      <c r="L61">
        <v>2760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751</v>
      </c>
      <c r="D62" t="s">
        <v>752</v>
      </c>
      <c r="E62" s="8">
        <v>46003</v>
      </c>
      <c r="F62">
        <v>5</v>
      </c>
      <c r="G62">
        <v>3285</v>
      </c>
      <c r="H62">
        <v>95000</v>
      </c>
      <c r="I62">
        <v>15040</v>
      </c>
      <c r="J62">
        <v>79960</v>
      </c>
      <c r="K62" t="s">
        <v>1635</v>
      </c>
      <c r="L62">
        <v>3285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757</v>
      </c>
      <c r="D63" t="s">
        <v>758</v>
      </c>
      <c r="E63" s="8">
        <v>46010</v>
      </c>
      <c r="F63">
        <v>5</v>
      </c>
      <c r="G63">
        <v>4980</v>
      </c>
      <c r="H63">
        <v>143403</v>
      </c>
      <c r="I63">
        <v>22420</v>
      </c>
      <c r="J63">
        <v>120983</v>
      </c>
      <c r="K63" t="s">
        <v>1635</v>
      </c>
      <c r="L63">
        <v>4980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769</v>
      </c>
      <c r="D64" t="s">
        <v>770</v>
      </c>
      <c r="E64" s="8">
        <v>46003</v>
      </c>
      <c r="F64">
        <v>5</v>
      </c>
      <c r="G64">
        <v>3420</v>
      </c>
      <c r="H64">
        <v>100900</v>
      </c>
      <c r="I64">
        <v>15250</v>
      </c>
      <c r="J64">
        <v>85650</v>
      </c>
      <c r="K64" t="s">
        <v>1635</v>
      </c>
      <c r="L64">
        <v>3420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771</v>
      </c>
      <c r="D65" t="s">
        <v>772</v>
      </c>
      <c r="E65" s="8">
        <v>46010</v>
      </c>
      <c r="F65">
        <v>5</v>
      </c>
      <c r="G65">
        <v>5325</v>
      </c>
      <c r="H65">
        <v>158407</v>
      </c>
      <c r="I65">
        <v>24300</v>
      </c>
      <c r="J65">
        <v>134107</v>
      </c>
      <c r="K65" t="s">
        <v>1635</v>
      </c>
      <c r="L65">
        <v>5325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776</v>
      </c>
      <c r="D66" t="s">
        <v>777</v>
      </c>
      <c r="E66" s="8">
        <v>46010</v>
      </c>
      <c r="F66">
        <v>5</v>
      </c>
      <c r="G66">
        <v>4422.6000000000004</v>
      </c>
      <c r="H66">
        <v>125989</v>
      </c>
      <c r="I66">
        <v>20004.400000000001</v>
      </c>
      <c r="J66">
        <v>105984.6</v>
      </c>
      <c r="K66" t="s">
        <v>1635</v>
      </c>
      <c r="L66">
        <v>4422.6000000000004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784</v>
      </c>
      <c r="D67" t="s">
        <v>785</v>
      </c>
      <c r="E67" s="8">
        <v>46010</v>
      </c>
      <c r="F67">
        <v>5</v>
      </c>
      <c r="G67">
        <v>3953</v>
      </c>
      <c r="H67">
        <v>123000</v>
      </c>
      <c r="I67">
        <v>18492</v>
      </c>
      <c r="J67">
        <v>104508</v>
      </c>
      <c r="K67" t="s">
        <v>1635</v>
      </c>
      <c r="L67">
        <v>3953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794</v>
      </c>
      <c r="D68" t="s">
        <v>795</v>
      </c>
      <c r="E68" s="8">
        <v>46010</v>
      </c>
      <c r="F68">
        <v>5</v>
      </c>
      <c r="G68">
        <v>3024</v>
      </c>
      <c r="H68">
        <v>86288</v>
      </c>
      <c r="I68">
        <v>13876</v>
      </c>
      <c r="J68">
        <v>72412</v>
      </c>
      <c r="K68" t="s">
        <v>1635</v>
      </c>
      <c r="L68">
        <v>3024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796</v>
      </c>
      <c r="D69" t="s">
        <v>797</v>
      </c>
      <c r="E69" s="8">
        <v>46010</v>
      </c>
      <c r="F69">
        <v>5</v>
      </c>
      <c r="G69">
        <v>2808</v>
      </c>
      <c r="H69">
        <v>80000</v>
      </c>
      <c r="I69">
        <v>13412</v>
      </c>
      <c r="J69">
        <v>66588</v>
      </c>
      <c r="K69" t="s">
        <v>1635</v>
      </c>
      <c r="L69">
        <v>2808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798</v>
      </c>
      <c r="D70" t="s">
        <v>799</v>
      </c>
      <c r="E70" s="8">
        <v>46010</v>
      </c>
      <c r="F70">
        <v>5</v>
      </c>
      <c r="G70">
        <v>2205</v>
      </c>
      <c r="H70">
        <v>36744</v>
      </c>
      <c r="I70">
        <v>11025</v>
      </c>
      <c r="J70">
        <v>25719</v>
      </c>
      <c r="K70" t="s">
        <v>1635</v>
      </c>
      <c r="L70">
        <v>2205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802</v>
      </c>
      <c r="D71" t="s">
        <v>803</v>
      </c>
      <c r="E71" s="8">
        <v>46010</v>
      </c>
      <c r="F71">
        <v>5</v>
      </c>
      <c r="G71">
        <v>3402</v>
      </c>
      <c r="H71">
        <v>100146</v>
      </c>
      <c r="I71">
        <v>16178</v>
      </c>
      <c r="J71">
        <v>83968</v>
      </c>
      <c r="K71" t="s">
        <v>1635</v>
      </c>
      <c r="L71">
        <v>3402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806</v>
      </c>
      <c r="D72" t="s">
        <v>807</v>
      </c>
      <c r="E72" s="8">
        <v>46010</v>
      </c>
      <c r="F72">
        <v>5</v>
      </c>
      <c r="G72">
        <v>2250</v>
      </c>
      <c r="H72">
        <v>70000</v>
      </c>
      <c r="I72">
        <v>11000</v>
      </c>
      <c r="J72">
        <v>59000</v>
      </c>
      <c r="K72" t="s">
        <v>1635</v>
      </c>
      <c r="L72">
        <v>2250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814</v>
      </c>
      <c r="D73" t="s">
        <v>815</v>
      </c>
      <c r="E73" s="8">
        <v>46010</v>
      </c>
      <c r="F73">
        <v>5</v>
      </c>
      <c r="G73">
        <v>1520</v>
      </c>
      <c r="H73">
        <v>27939</v>
      </c>
      <c r="I73">
        <v>7600</v>
      </c>
      <c r="J73">
        <v>20339</v>
      </c>
      <c r="K73" t="s">
        <v>1635</v>
      </c>
      <c r="L73">
        <v>1520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816</v>
      </c>
      <c r="D74" t="s">
        <v>817</v>
      </c>
      <c r="E74" s="8">
        <v>46003</v>
      </c>
      <c r="F74">
        <v>5</v>
      </c>
      <c r="G74">
        <v>2254</v>
      </c>
      <c r="H74">
        <v>39074</v>
      </c>
      <c r="I74">
        <v>10906</v>
      </c>
      <c r="J74">
        <v>28168</v>
      </c>
      <c r="K74" t="s">
        <v>1635</v>
      </c>
      <c r="L74">
        <v>2254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822</v>
      </c>
      <c r="D75" t="s">
        <v>823</v>
      </c>
      <c r="E75" s="8">
        <v>46010</v>
      </c>
      <c r="F75">
        <v>5</v>
      </c>
      <c r="G75">
        <v>2546</v>
      </c>
      <c r="H75">
        <v>77000</v>
      </c>
      <c r="I75">
        <v>11704</v>
      </c>
      <c r="J75">
        <v>65296</v>
      </c>
      <c r="K75" t="s">
        <v>1635</v>
      </c>
      <c r="L75">
        <v>2546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824</v>
      </c>
      <c r="D76" t="s">
        <v>825</v>
      </c>
      <c r="E76" s="8">
        <v>46010</v>
      </c>
      <c r="F76">
        <v>5</v>
      </c>
      <c r="G76">
        <v>2596</v>
      </c>
      <c r="H76">
        <v>75265</v>
      </c>
      <c r="I76">
        <v>12194</v>
      </c>
      <c r="J76">
        <v>63071</v>
      </c>
      <c r="K76" t="s">
        <v>1635</v>
      </c>
      <c r="L76">
        <v>2596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63</v>
      </c>
      <c r="D77" t="s">
        <v>64</v>
      </c>
      <c r="E77" s="8">
        <v>46010</v>
      </c>
      <c r="F77">
        <v>6</v>
      </c>
      <c r="G77">
        <v>4200</v>
      </c>
      <c r="H77">
        <v>76400</v>
      </c>
      <c r="I77">
        <v>25200</v>
      </c>
      <c r="J77">
        <v>51200</v>
      </c>
      <c r="K77" t="s">
        <v>1635</v>
      </c>
      <c r="L77">
        <v>4200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67</v>
      </c>
      <c r="D78" t="s">
        <v>68</v>
      </c>
      <c r="E78" s="8">
        <v>46010</v>
      </c>
      <c r="F78">
        <v>6</v>
      </c>
      <c r="G78">
        <v>4089</v>
      </c>
      <c r="H78">
        <v>120631</v>
      </c>
      <c r="I78">
        <v>24534</v>
      </c>
      <c r="J78">
        <v>96097</v>
      </c>
      <c r="K78" t="s">
        <v>1635</v>
      </c>
      <c r="L78">
        <v>4089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73</v>
      </c>
      <c r="D79" t="s">
        <v>74</v>
      </c>
      <c r="E79" s="8">
        <v>46010</v>
      </c>
      <c r="F79">
        <v>6</v>
      </c>
      <c r="G79">
        <v>2400</v>
      </c>
      <c r="H79">
        <v>73000</v>
      </c>
      <c r="I79">
        <v>14400</v>
      </c>
      <c r="J79">
        <v>58600</v>
      </c>
      <c r="K79" t="s">
        <v>1635</v>
      </c>
      <c r="L79">
        <v>2400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81</v>
      </c>
      <c r="D80" t="s">
        <v>82</v>
      </c>
      <c r="E80" s="8">
        <v>46010</v>
      </c>
      <c r="F80">
        <v>6</v>
      </c>
      <c r="G80">
        <v>4732</v>
      </c>
      <c r="H80">
        <v>88947</v>
      </c>
      <c r="I80">
        <v>26965</v>
      </c>
      <c r="J80">
        <v>61982</v>
      </c>
      <c r="K80" t="s">
        <v>1635</v>
      </c>
      <c r="L80">
        <v>4732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83</v>
      </c>
      <c r="D81" t="s">
        <v>84</v>
      </c>
      <c r="E81" s="8">
        <v>46003</v>
      </c>
      <c r="F81">
        <v>6</v>
      </c>
      <c r="G81">
        <v>2970</v>
      </c>
      <c r="H81">
        <v>92789</v>
      </c>
      <c r="I81">
        <v>17820</v>
      </c>
      <c r="J81">
        <v>74969</v>
      </c>
      <c r="K81" t="s">
        <v>1635</v>
      </c>
      <c r="L81">
        <v>2970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89</v>
      </c>
      <c r="D82" t="s">
        <v>90</v>
      </c>
      <c r="E82" s="8">
        <v>46010</v>
      </c>
      <c r="F82">
        <v>6</v>
      </c>
      <c r="G82">
        <v>2900</v>
      </c>
      <c r="H82">
        <v>86585</v>
      </c>
      <c r="I82">
        <v>17400</v>
      </c>
      <c r="J82">
        <v>69185</v>
      </c>
      <c r="K82" t="s">
        <v>1635</v>
      </c>
      <c r="L82">
        <v>2900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117</v>
      </c>
      <c r="D83" t="s">
        <v>118</v>
      </c>
      <c r="E83" s="8">
        <v>46003</v>
      </c>
      <c r="F83">
        <v>6</v>
      </c>
      <c r="G83">
        <v>2520</v>
      </c>
      <c r="H83">
        <v>73000</v>
      </c>
      <c r="I83">
        <v>15120</v>
      </c>
      <c r="J83">
        <v>57880</v>
      </c>
      <c r="K83" t="s">
        <v>1635</v>
      </c>
      <c r="L83">
        <v>2520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155</v>
      </c>
      <c r="D84" t="s">
        <v>156</v>
      </c>
      <c r="E84" s="8">
        <v>46010</v>
      </c>
      <c r="F84">
        <v>6</v>
      </c>
      <c r="G84">
        <v>5520</v>
      </c>
      <c r="H84">
        <v>170000</v>
      </c>
      <c r="I84">
        <v>32560</v>
      </c>
      <c r="J84">
        <v>137440</v>
      </c>
      <c r="K84" t="s">
        <v>1635</v>
      </c>
      <c r="L84">
        <v>5520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159</v>
      </c>
      <c r="D85" t="s">
        <v>160</v>
      </c>
      <c r="E85" s="8">
        <v>46010</v>
      </c>
      <c r="F85">
        <v>6</v>
      </c>
      <c r="G85">
        <v>5428</v>
      </c>
      <c r="H85">
        <v>100000</v>
      </c>
      <c r="I85">
        <v>31563.33</v>
      </c>
      <c r="J85">
        <v>68436.67</v>
      </c>
      <c r="K85" t="s">
        <v>1635</v>
      </c>
      <c r="L85">
        <v>5428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167</v>
      </c>
      <c r="D86" t="s">
        <v>168</v>
      </c>
      <c r="E86" s="8">
        <v>46003</v>
      </c>
      <c r="F86">
        <v>6</v>
      </c>
      <c r="G86">
        <v>4536</v>
      </c>
      <c r="H86">
        <v>86485</v>
      </c>
      <c r="I86">
        <v>25290</v>
      </c>
      <c r="J86">
        <v>61195</v>
      </c>
      <c r="K86" t="s">
        <v>1635</v>
      </c>
      <c r="L86">
        <v>4536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169</v>
      </c>
      <c r="D87" t="s">
        <v>170</v>
      </c>
      <c r="E87" s="8">
        <v>46010</v>
      </c>
      <c r="F87">
        <v>6</v>
      </c>
      <c r="G87">
        <v>2805</v>
      </c>
      <c r="H87">
        <v>83860</v>
      </c>
      <c r="I87">
        <v>16830</v>
      </c>
      <c r="J87">
        <v>67030</v>
      </c>
      <c r="K87" t="s">
        <v>1635</v>
      </c>
      <c r="L87">
        <v>2805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175</v>
      </c>
      <c r="D88" t="s">
        <v>176</v>
      </c>
      <c r="E88" s="8">
        <v>46010</v>
      </c>
      <c r="F88">
        <v>6</v>
      </c>
      <c r="G88">
        <v>2800</v>
      </c>
      <c r="H88">
        <v>84036</v>
      </c>
      <c r="I88">
        <v>15833.33</v>
      </c>
      <c r="J88">
        <v>68202.67</v>
      </c>
      <c r="K88" t="s">
        <v>1635</v>
      </c>
      <c r="L88">
        <v>2800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179</v>
      </c>
      <c r="D89" t="s">
        <v>180</v>
      </c>
      <c r="E89" s="8">
        <v>46003</v>
      </c>
      <c r="F89">
        <v>6</v>
      </c>
      <c r="G89">
        <v>3933</v>
      </c>
      <c r="H89">
        <v>125000</v>
      </c>
      <c r="I89">
        <v>21700</v>
      </c>
      <c r="J89">
        <v>103300</v>
      </c>
      <c r="K89" t="s">
        <v>1635</v>
      </c>
      <c r="L89">
        <v>3933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183</v>
      </c>
      <c r="D90" t="s">
        <v>184</v>
      </c>
      <c r="E90" s="8">
        <v>46003</v>
      </c>
      <c r="F90">
        <v>6</v>
      </c>
      <c r="G90">
        <v>2924</v>
      </c>
      <c r="H90">
        <v>87520</v>
      </c>
      <c r="I90">
        <v>17163.330000000002</v>
      </c>
      <c r="J90">
        <v>70356.67</v>
      </c>
      <c r="K90" t="s">
        <v>1635</v>
      </c>
      <c r="L90">
        <v>2924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191</v>
      </c>
      <c r="D91" t="s">
        <v>192</v>
      </c>
      <c r="E91" s="8">
        <v>46010</v>
      </c>
      <c r="F91">
        <v>6</v>
      </c>
      <c r="G91">
        <v>3933</v>
      </c>
      <c r="H91">
        <v>74625</v>
      </c>
      <c r="I91">
        <v>23598</v>
      </c>
      <c r="J91">
        <v>51027</v>
      </c>
      <c r="K91" t="s">
        <v>1635</v>
      </c>
      <c r="L91">
        <v>3933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193</v>
      </c>
      <c r="D92" t="s">
        <v>194</v>
      </c>
      <c r="E92" s="8">
        <v>46010</v>
      </c>
      <c r="F92">
        <v>6</v>
      </c>
      <c r="G92">
        <v>4725</v>
      </c>
      <c r="H92">
        <v>88848</v>
      </c>
      <c r="I92">
        <v>25935</v>
      </c>
      <c r="J92">
        <v>62913</v>
      </c>
      <c r="K92" t="s">
        <v>1635</v>
      </c>
      <c r="L92">
        <v>4725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197</v>
      </c>
      <c r="D93" t="s">
        <v>198</v>
      </c>
      <c r="E93" s="8">
        <v>46010</v>
      </c>
      <c r="F93">
        <v>6</v>
      </c>
      <c r="G93">
        <v>2730</v>
      </c>
      <c r="H93">
        <v>84220</v>
      </c>
      <c r="I93">
        <v>16333.33</v>
      </c>
      <c r="J93">
        <v>67886.67</v>
      </c>
      <c r="K93" t="s">
        <v>1635</v>
      </c>
      <c r="L93">
        <v>2730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203</v>
      </c>
      <c r="D94" t="s">
        <v>204</v>
      </c>
      <c r="E94" s="8">
        <v>46010</v>
      </c>
      <c r="F94">
        <v>6</v>
      </c>
      <c r="G94">
        <v>2460</v>
      </c>
      <c r="H94">
        <v>74625</v>
      </c>
      <c r="I94">
        <v>14500</v>
      </c>
      <c r="J94">
        <v>60125</v>
      </c>
      <c r="K94" t="s">
        <v>1635</v>
      </c>
      <c r="L94">
        <v>2460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215</v>
      </c>
      <c r="D95" t="s">
        <v>216</v>
      </c>
      <c r="E95" s="8">
        <v>46010</v>
      </c>
      <c r="F95">
        <v>6</v>
      </c>
      <c r="G95">
        <v>2640</v>
      </c>
      <c r="H95">
        <v>78314</v>
      </c>
      <c r="I95">
        <v>15840</v>
      </c>
      <c r="J95">
        <v>62474</v>
      </c>
      <c r="K95" t="s">
        <v>1635</v>
      </c>
      <c r="L95">
        <v>2640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217</v>
      </c>
      <c r="D96" t="s">
        <v>218</v>
      </c>
      <c r="E96" s="8">
        <v>46010</v>
      </c>
      <c r="F96">
        <v>6</v>
      </c>
      <c r="G96">
        <v>2990</v>
      </c>
      <c r="H96">
        <v>90000</v>
      </c>
      <c r="I96">
        <v>17714</v>
      </c>
      <c r="J96">
        <v>72286</v>
      </c>
      <c r="K96" t="s">
        <v>1635</v>
      </c>
      <c r="L96">
        <v>2990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221</v>
      </c>
      <c r="D97" t="s">
        <v>222</v>
      </c>
      <c r="E97" s="8">
        <v>46010</v>
      </c>
      <c r="F97">
        <v>6</v>
      </c>
      <c r="G97">
        <v>2420</v>
      </c>
      <c r="H97">
        <v>73000</v>
      </c>
      <c r="I97">
        <v>14116.67</v>
      </c>
      <c r="J97">
        <v>58883.33</v>
      </c>
      <c r="K97" t="s">
        <v>1635</v>
      </c>
      <c r="L97">
        <v>2420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236</v>
      </c>
      <c r="D98" t="s">
        <v>237</v>
      </c>
      <c r="E98" s="8">
        <v>46003</v>
      </c>
      <c r="F98">
        <v>6</v>
      </c>
      <c r="G98">
        <v>2430</v>
      </c>
      <c r="H98">
        <v>73000</v>
      </c>
      <c r="I98">
        <v>13975</v>
      </c>
      <c r="J98">
        <v>59025</v>
      </c>
      <c r="K98" t="s">
        <v>1635</v>
      </c>
      <c r="L98">
        <v>2430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238</v>
      </c>
      <c r="D99" t="s">
        <v>239</v>
      </c>
      <c r="E99" s="8">
        <v>46010</v>
      </c>
      <c r="F99">
        <v>6</v>
      </c>
      <c r="G99">
        <v>4060</v>
      </c>
      <c r="H99">
        <v>74625</v>
      </c>
      <c r="I99">
        <v>22866.67</v>
      </c>
      <c r="J99">
        <v>51758.33</v>
      </c>
      <c r="K99" t="s">
        <v>1635</v>
      </c>
      <c r="L99">
        <v>4060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240</v>
      </c>
      <c r="D100" t="s">
        <v>241</v>
      </c>
      <c r="E100" s="8">
        <v>46010</v>
      </c>
      <c r="F100">
        <v>6</v>
      </c>
      <c r="G100">
        <v>3080</v>
      </c>
      <c r="H100">
        <v>100000</v>
      </c>
      <c r="I100">
        <v>18480</v>
      </c>
      <c r="J100">
        <v>81520</v>
      </c>
      <c r="K100" t="s">
        <v>1635</v>
      </c>
      <c r="L100">
        <v>3080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262</v>
      </c>
      <c r="D101" t="s">
        <v>263</v>
      </c>
      <c r="E101" s="8">
        <v>46010</v>
      </c>
      <c r="F101">
        <v>6</v>
      </c>
      <c r="G101">
        <v>2592</v>
      </c>
      <c r="H101">
        <v>78645</v>
      </c>
      <c r="I101">
        <v>15552</v>
      </c>
      <c r="J101">
        <v>63093</v>
      </c>
      <c r="K101" t="s">
        <v>1635</v>
      </c>
      <c r="L101">
        <v>2592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306</v>
      </c>
      <c r="D102" t="s">
        <v>307</v>
      </c>
      <c r="E102" s="8">
        <v>46010</v>
      </c>
      <c r="F102">
        <v>6</v>
      </c>
      <c r="G102">
        <v>2728</v>
      </c>
      <c r="H102">
        <v>77921</v>
      </c>
      <c r="I102">
        <v>16220</v>
      </c>
      <c r="J102">
        <v>61701</v>
      </c>
      <c r="K102" t="s">
        <v>1635</v>
      </c>
      <c r="L102">
        <v>2728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310</v>
      </c>
      <c r="D103" t="s">
        <v>311</v>
      </c>
      <c r="E103" s="8">
        <v>46003</v>
      </c>
      <c r="F103">
        <v>6</v>
      </c>
      <c r="G103">
        <v>2754</v>
      </c>
      <c r="H103">
        <v>98000</v>
      </c>
      <c r="I103">
        <v>13836</v>
      </c>
      <c r="J103">
        <v>84164</v>
      </c>
      <c r="K103" t="s">
        <v>1635</v>
      </c>
      <c r="L103">
        <v>2754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322</v>
      </c>
      <c r="D104" t="s">
        <v>323</v>
      </c>
      <c r="E104" s="8">
        <v>46003</v>
      </c>
      <c r="F104">
        <v>6</v>
      </c>
      <c r="G104">
        <v>1105</v>
      </c>
      <c r="H104">
        <v>19454</v>
      </c>
      <c r="I104">
        <v>6630</v>
      </c>
      <c r="J104">
        <v>12824</v>
      </c>
      <c r="K104" t="s">
        <v>1635</v>
      </c>
      <c r="L104">
        <v>1105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324</v>
      </c>
      <c r="D105" t="s">
        <v>325</v>
      </c>
      <c r="E105" s="8">
        <v>46003</v>
      </c>
      <c r="F105">
        <v>6</v>
      </c>
      <c r="G105">
        <v>2250</v>
      </c>
      <c r="H105">
        <v>69260</v>
      </c>
      <c r="I105">
        <v>10500</v>
      </c>
      <c r="J105">
        <v>58760</v>
      </c>
      <c r="K105" t="s">
        <v>1635</v>
      </c>
      <c r="L105">
        <v>2250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326</v>
      </c>
      <c r="D106" t="s">
        <v>327</v>
      </c>
      <c r="E106" s="8">
        <v>46010</v>
      </c>
      <c r="F106">
        <v>6</v>
      </c>
      <c r="G106">
        <v>4092</v>
      </c>
      <c r="H106">
        <v>122717</v>
      </c>
      <c r="I106">
        <v>24552</v>
      </c>
      <c r="J106">
        <v>98165</v>
      </c>
      <c r="K106" t="s">
        <v>1635</v>
      </c>
      <c r="L106">
        <v>4092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334</v>
      </c>
      <c r="D107" t="s">
        <v>335</v>
      </c>
      <c r="E107" s="8">
        <v>46010</v>
      </c>
      <c r="F107">
        <v>6</v>
      </c>
      <c r="G107">
        <v>4060</v>
      </c>
      <c r="H107">
        <v>119788</v>
      </c>
      <c r="I107">
        <v>22966.67</v>
      </c>
      <c r="J107">
        <v>96821.33</v>
      </c>
      <c r="K107" t="s">
        <v>1635</v>
      </c>
      <c r="L107">
        <v>4060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340</v>
      </c>
      <c r="D108" t="s">
        <v>341</v>
      </c>
      <c r="E108" s="8">
        <v>46003</v>
      </c>
      <c r="F108">
        <v>6</v>
      </c>
      <c r="G108">
        <v>3835</v>
      </c>
      <c r="H108">
        <v>118000</v>
      </c>
      <c r="I108">
        <v>21625</v>
      </c>
      <c r="J108">
        <v>96375</v>
      </c>
      <c r="K108" t="s">
        <v>1635</v>
      </c>
      <c r="L108">
        <v>3835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342</v>
      </c>
      <c r="D109" t="s">
        <v>343</v>
      </c>
      <c r="E109" s="8">
        <v>46003</v>
      </c>
      <c r="F109">
        <v>6</v>
      </c>
      <c r="G109">
        <v>5760</v>
      </c>
      <c r="H109">
        <v>173888</v>
      </c>
      <c r="I109">
        <v>32400</v>
      </c>
      <c r="J109">
        <v>141488</v>
      </c>
      <c r="K109" t="s">
        <v>1635</v>
      </c>
      <c r="L109">
        <v>5760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346</v>
      </c>
      <c r="D110" t="s">
        <v>347</v>
      </c>
      <c r="E110" s="8">
        <v>46010</v>
      </c>
      <c r="F110">
        <v>6</v>
      </c>
      <c r="G110">
        <v>3420</v>
      </c>
      <c r="H110">
        <v>109415</v>
      </c>
      <c r="I110">
        <v>19400</v>
      </c>
      <c r="J110">
        <v>90015</v>
      </c>
      <c r="K110" t="s">
        <v>1635</v>
      </c>
      <c r="L110">
        <v>3420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350</v>
      </c>
      <c r="D111" t="s">
        <v>351</v>
      </c>
      <c r="E111" s="8">
        <v>46003</v>
      </c>
      <c r="F111">
        <v>6</v>
      </c>
      <c r="G111">
        <v>2940</v>
      </c>
      <c r="H111">
        <v>90777</v>
      </c>
      <c r="I111">
        <v>17100</v>
      </c>
      <c r="J111">
        <v>73677</v>
      </c>
      <c r="K111" t="s">
        <v>1635</v>
      </c>
      <c r="L111">
        <v>2940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364</v>
      </c>
      <c r="D112" t="s">
        <v>365</v>
      </c>
      <c r="E112" s="8">
        <v>46003</v>
      </c>
      <c r="F112">
        <v>6</v>
      </c>
      <c r="G112">
        <v>2795</v>
      </c>
      <c r="H112">
        <v>83042</v>
      </c>
      <c r="I112">
        <v>16770</v>
      </c>
      <c r="J112">
        <v>66272</v>
      </c>
      <c r="K112" t="s">
        <v>1635</v>
      </c>
      <c r="L112">
        <v>2795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370</v>
      </c>
      <c r="D113" t="s">
        <v>371</v>
      </c>
      <c r="E113" s="8">
        <v>46010</v>
      </c>
      <c r="F113">
        <v>6</v>
      </c>
      <c r="G113">
        <v>2597</v>
      </c>
      <c r="H113">
        <v>77700</v>
      </c>
      <c r="I113">
        <v>15582</v>
      </c>
      <c r="J113">
        <v>62118</v>
      </c>
      <c r="K113" t="s">
        <v>1635</v>
      </c>
      <c r="L113">
        <v>2597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373</v>
      </c>
      <c r="D114" t="s">
        <v>374</v>
      </c>
      <c r="E114" s="8">
        <v>46010</v>
      </c>
      <c r="F114">
        <v>6</v>
      </c>
      <c r="G114">
        <v>7370</v>
      </c>
      <c r="H114">
        <v>220995</v>
      </c>
      <c r="I114">
        <v>44220</v>
      </c>
      <c r="J114">
        <v>176775</v>
      </c>
      <c r="K114" t="s">
        <v>1635</v>
      </c>
      <c r="L114">
        <v>7370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381</v>
      </c>
      <c r="D115" t="s">
        <v>382</v>
      </c>
      <c r="E115" s="8">
        <v>46003</v>
      </c>
      <c r="F115">
        <v>6</v>
      </c>
      <c r="G115">
        <v>4234</v>
      </c>
      <c r="H115">
        <v>129002</v>
      </c>
      <c r="I115">
        <v>24090</v>
      </c>
      <c r="J115">
        <v>104912</v>
      </c>
      <c r="K115" t="s">
        <v>1635</v>
      </c>
      <c r="L115">
        <v>4234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401</v>
      </c>
      <c r="D116" t="s">
        <v>402</v>
      </c>
      <c r="E116" s="8">
        <v>46003</v>
      </c>
      <c r="F116">
        <v>6</v>
      </c>
      <c r="G116">
        <v>3536</v>
      </c>
      <c r="H116">
        <v>121325</v>
      </c>
      <c r="I116">
        <v>21216</v>
      </c>
      <c r="J116">
        <v>100109</v>
      </c>
      <c r="K116" t="s">
        <v>1635</v>
      </c>
      <c r="L116">
        <v>3536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405</v>
      </c>
      <c r="D117" t="s">
        <v>406</v>
      </c>
      <c r="E117" s="8">
        <v>46003</v>
      </c>
      <c r="F117">
        <v>6</v>
      </c>
      <c r="G117">
        <v>3075</v>
      </c>
      <c r="H117">
        <v>89337</v>
      </c>
      <c r="I117">
        <v>18450</v>
      </c>
      <c r="J117">
        <v>70887</v>
      </c>
      <c r="K117" t="s">
        <v>1635</v>
      </c>
      <c r="L117">
        <v>3075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415</v>
      </c>
      <c r="D118" t="s">
        <v>416</v>
      </c>
      <c r="E118" s="8">
        <v>46003</v>
      </c>
      <c r="F118">
        <v>6</v>
      </c>
      <c r="G118">
        <v>1632</v>
      </c>
      <c r="H118">
        <v>46731</v>
      </c>
      <c r="I118">
        <v>9792</v>
      </c>
      <c r="J118">
        <v>36939</v>
      </c>
      <c r="K118" t="s">
        <v>1635</v>
      </c>
      <c r="L118">
        <v>1632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427</v>
      </c>
      <c r="D119" t="s">
        <v>428</v>
      </c>
      <c r="E119" s="8">
        <v>46003</v>
      </c>
      <c r="F119">
        <v>6</v>
      </c>
      <c r="G119">
        <v>4200</v>
      </c>
      <c r="H119">
        <v>151204</v>
      </c>
      <c r="I119">
        <v>23800</v>
      </c>
      <c r="J119">
        <v>127404</v>
      </c>
      <c r="K119" t="s">
        <v>1635</v>
      </c>
      <c r="L119">
        <v>4200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429</v>
      </c>
      <c r="D120" t="s">
        <v>430</v>
      </c>
      <c r="E120" s="8">
        <v>46010</v>
      </c>
      <c r="F120">
        <v>6</v>
      </c>
      <c r="G120">
        <v>3213</v>
      </c>
      <c r="H120">
        <v>120000</v>
      </c>
      <c r="I120">
        <v>18485</v>
      </c>
      <c r="J120">
        <v>101515</v>
      </c>
      <c r="K120" t="s">
        <v>1635</v>
      </c>
      <c r="L120">
        <v>3213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431</v>
      </c>
      <c r="D121" t="s">
        <v>432</v>
      </c>
      <c r="E121" s="8">
        <v>46010</v>
      </c>
      <c r="F121">
        <v>6</v>
      </c>
      <c r="G121">
        <v>4400</v>
      </c>
      <c r="H121">
        <v>159619</v>
      </c>
      <c r="I121">
        <v>24000</v>
      </c>
      <c r="J121">
        <v>135619</v>
      </c>
      <c r="K121" t="s">
        <v>1635</v>
      </c>
      <c r="L121">
        <v>4400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443</v>
      </c>
      <c r="D122" t="s">
        <v>444</v>
      </c>
      <c r="E122" s="8">
        <v>46010</v>
      </c>
      <c r="F122">
        <v>6</v>
      </c>
      <c r="G122">
        <v>2914</v>
      </c>
      <c r="H122">
        <v>84000</v>
      </c>
      <c r="I122">
        <v>16550</v>
      </c>
      <c r="J122">
        <v>67450</v>
      </c>
      <c r="K122" t="s">
        <v>1635</v>
      </c>
      <c r="L122">
        <v>2914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459</v>
      </c>
      <c r="D123" t="s">
        <v>460</v>
      </c>
      <c r="E123" s="8">
        <v>46010</v>
      </c>
      <c r="F123">
        <v>6</v>
      </c>
      <c r="G123">
        <v>4018</v>
      </c>
      <c r="H123">
        <v>118888</v>
      </c>
      <c r="I123">
        <v>23470</v>
      </c>
      <c r="J123">
        <v>95418</v>
      </c>
      <c r="K123" t="s">
        <v>1635</v>
      </c>
      <c r="L123">
        <v>4018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467</v>
      </c>
      <c r="D124" t="s">
        <v>468</v>
      </c>
      <c r="E124" s="8">
        <v>46003</v>
      </c>
      <c r="F124">
        <v>6</v>
      </c>
      <c r="G124">
        <v>1320</v>
      </c>
      <c r="H124">
        <v>22853</v>
      </c>
      <c r="I124">
        <v>7920</v>
      </c>
      <c r="J124">
        <v>14933</v>
      </c>
      <c r="K124" t="s">
        <v>1635</v>
      </c>
      <c r="L124">
        <v>1320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477</v>
      </c>
      <c r="D125" t="s">
        <v>478</v>
      </c>
      <c r="E125" s="8">
        <v>46010</v>
      </c>
      <c r="F125">
        <v>6</v>
      </c>
      <c r="G125">
        <v>2880</v>
      </c>
      <c r="H125">
        <v>90000</v>
      </c>
      <c r="I125">
        <v>16220</v>
      </c>
      <c r="J125">
        <v>73780</v>
      </c>
      <c r="K125" t="s">
        <v>1635</v>
      </c>
      <c r="L125">
        <v>2880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485</v>
      </c>
      <c r="D126" t="s">
        <v>486</v>
      </c>
      <c r="E126" s="8">
        <v>46010</v>
      </c>
      <c r="F126">
        <v>6</v>
      </c>
      <c r="G126">
        <v>3135</v>
      </c>
      <c r="H126">
        <v>93980</v>
      </c>
      <c r="I126">
        <v>16940</v>
      </c>
      <c r="J126">
        <v>77040</v>
      </c>
      <c r="K126" t="s">
        <v>1635</v>
      </c>
      <c r="L126">
        <v>3135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487</v>
      </c>
      <c r="D127" t="s">
        <v>488</v>
      </c>
      <c r="E127" s="8">
        <v>46003</v>
      </c>
      <c r="F127">
        <v>6</v>
      </c>
      <c r="G127">
        <v>2635.2</v>
      </c>
      <c r="H127">
        <v>77000</v>
      </c>
      <c r="I127">
        <v>15064</v>
      </c>
      <c r="J127">
        <v>61936</v>
      </c>
      <c r="K127" t="s">
        <v>1635</v>
      </c>
      <c r="L127">
        <v>2635.2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489</v>
      </c>
      <c r="D128" t="s">
        <v>490</v>
      </c>
      <c r="E128" s="8">
        <v>46003</v>
      </c>
      <c r="F128">
        <v>6</v>
      </c>
      <c r="G128">
        <v>1650</v>
      </c>
      <c r="H128">
        <v>28225</v>
      </c>
      <c r="I128">
        <v>9900</v>
      </c>
      <c r="J128">
        <v>18325</v>
      </c>
      <c r="K128" t="s">
        <v>1635</v>
      </c>
      <c r="L128">
        <v>1650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491</v>
      </c>
      <c r="D129" t="s">
        <v>492</v>
      </c>
      <c r="E129" s="8">
        <v>46003</v>
      </c>
      <c r="F129">
        <v>6</v>
      </c>
      <c r="G129">
        <v>4450</v>
      </c>
      <c r="H129">
        <v>132000</v>
      </c>
      <c r="I129">
        <v>24300</v>
      </c>
      <c r="J129">
        <v>107700</v>
      </c>
      <c r="K129" t="s">
        <v>1635</v>
      </c>
      <c r="L129">
        <v>4450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493</v>
      </c>
      <c r="D130" t="s">
        <v>494</v>
      </c>
      <c r="E130" s="8">
        <v>46010</v>
      </c>
      <c r="F130">
        <v>6</v>
      </c>
      <c r="G130">
        <v>3538</v>
      </c>
      <c r="H130">
        <v>109196</v>
      </c>
      <c r="I130">
        <v>20010</v>
      </c>
      <c r="J130">
        <v>89186</v>
      </c>
      <c r="K130" t="s">
        <v>1635</v>
      </c>
      <c r="L130">
        <v>3538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505</v>
      </c>
      <c r="D131" t="s">
        <v>506</v>
      </c>
      <c r="E131" s="8">
        <v>46010</v>
      </c>
      <c r="F131">
        <v>6</v>
      </c>
      <c r="G131">
        <v>494</v>
      </c>
      <c r="H131">
        <v>8910</v>
      </c>
      <c r="I131">
        <v>2964</v>
      </c>
      <c r="J131">
        <v>5946</v>
      </c>
      <c r="K131" t="s">
        <v>1635</v>
      </c>
      <c r="L131">
        <v>494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507</v>
      </c>
      <c r="D132" t="s">
        <v>508</v>
      </c>
      <c r="E132" s="8">
        <v>46010</v>
      </c>
      <c r="F132">
        <v>6</v>
      </c>
      <c r="G132">
        <v>3480</v>
      </c>
      <c r="H132">
        <v>105075</v>
      </c>
      <c r="I132">
        <v>19000</v>
      </c>
      <c r="J132">
        <v>86075</v>
      </c>
      <c r="K132" t="s">
        <v>1635</v>
      </c>
      <c r="L132">
        <v>3480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509</v>
      </c>
      <c r="D133" t="s">
        <v>510</v>
      </c>
      <c r="E133" s="8">
        <v>46003</v>
      </c>
      <c r="F133">
        <v>6</v>
      </c>
      <c r="G133">
        <v>3922</v>
      </c>
      <c r="H133">
        <v>119603</v>
      </c>
      <c r="I133">
        <v>21730</v>
      </c>
      <c r="J133">
        <v>97873</v>
      </c>
      <c r="K133" t="s">
        <v>1635</v>
      </c>
      <c r="L133">
        <v>3922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513</v>
      </c>
      <c r="D134" t="s">
        <v>514</v>
      </c>
      <c r="E134" s="8">
        <v>46003</v>
      </c>
      <c r="F134">
        <v>6</v>
      </c>
      <c r="G134">
        <v>2565</v>
      </c>
      <c r="H134">
        <v>78200</v>
      </c>
      <c r="I134">
        <v>14625</v>
      </c>
      <c r="J134">
        <v>63575</v>
      </c>
      <c r="K134" t="s">
        <v>1635</v>
      </c>
      <c r="L134">
        <v>2565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519</v>
      </c>
      <c r="D135" t="s">
        <v>520</v>
      </c>
      <c r="E135" s="8">
        <v>46010</v>
      </c>
      <c r="F135">
        <v>6</v>
      </c>
      <c r="G135">
        <v>3696</v>
      </c>
      <c r="H135">
        <v>110000</v>
      </c>
      <c r="I135">
        <v>20770</v>
      </c>
      <c r="J135">
        <v>89230</v>
      </c>
      <c r="K135" t="s">
        <v>1635</v>
      </c>
      <c r="L135">
        <v>3696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523</v>
      </c>
      <c r="D136" t="s">
        <v>524</v>
      </c>
      <c r="E136" s="8">
        <v>46003</v>
      </c>
      <c r="F136">
        <v>6</v>
      </c>
      <c r="G136">
        <v>1755</v>
      </c>
      <c r="H136">
        <v>31400</v>
      </c>
      <c r="I136">
        <v>10530</v>
      </c>
      <c r="J136">
        <v>20870</v>
      </c>
      <c r="K136" t="s">
        <v>1635</v>
      </c>
      <c r="L136">
        <v>1755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527</v>
      </c>
      <c r="D137" t="s">
        <v>528</v>
      </c>
      <c r="E137" s="8">
        <v>46010</v>
      </c>
      <c r="F137">
        <v>6</v>
      </c>
      <c r="G137">
        <v>4575</v>
      </c>
      <c r="H137">
        <v>135731</v>
      </c>
      <c r="I137">
        <v>25925</v>
      </c>
      <c r="J137">
        <v>109806</v>
      </c>
      <c r="K137" t="s">
        <v>1635</v>
      </c>
      <c r="L137">
        <v>4575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531</v>
      </c>
      <c r="D138" t="s">
        <v>532</v>
      </c>
      <c r="E138" s="8">
        <v>46010</v>
      </c>
      <c r="F138">
        <v>6</v>
      </c>
      <c r="G138">
        <v>3912</v>
      </c>
      <c r="H138">
        <v>114896</v>
      </c>
      <c r="I138">
        <v>22895</v>
      </c>
      <c r="J138">
        <v>92001</v>
      </c>
      <c r="K138" t="s">
        <v>1635</v>
      </c>
      <c r="L138">
        <v>3912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539</v>
      </c>
      <c r="D139" t="s">
        <v>540</v>
      </c>
      <c r="E139" s="8">
        <v>46010</v>
      </c>
      <c r="F139">
        <v>6</v>
      </c>
      <c r="G139">
        <v>2745</v>
      </c>
      <c r="H139">
        <v>82476</v>
      </c>
      <c r="I139">
        <v>15525</v>
      </c>
      <c r="J139">
        <v>66951</v>
      </c>
      <c r="K139" t="s">
        <v>1635</v>
      </c>
      <c r="L139">
        <v>2745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541</v>
      </c>
      <c r="D140" t="s">
        <v>542</v>
      </c>
      <c r="E140" s="8">
        <v>46010</v>
      </c>
      <c r="F140">
        <v>6</v>
      </c>
      <c r="G140">
        <v>4290</v>
      </c>
      <c r="H140">
        <v>130000</v>
      </c>
      <c r="I140">
        <v>23650</v>
      </c>
      <c r="J140">
        <v>106350</v>
      </c>
      <c r="K140" t="s">
        <v>1635</v>
      </c>
      <c r="L140">
        <v>4290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544</v>
      </c>
      <c r="D141" t="s">
        <v>545</v>
      </c>
      <c r="E141" s="8">
        <v>46003</v>
      </c>
      <c r="F141">
        <v>6</v>
      </c>
      <c r="G141">
        <v>3339</v>
      </c>
      <c r="H141">
        <v>101368</v>
      </c>
      <c r="I141">
        <v>18815</v>
      </c>
      <c r="J141">
        <v>82553</v>
      </c>
      <c r="K141" t="s">
        <v>1635</v>
      </c>
      <c r="L141">
        <v>3339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548</v>
      </c>
      <c r="D142" t="s">
        <v>549</v>
      </c>
      <c r="E142" s="8">
        <v>46010</v>
      </c>
      <c r="F142">
        <v>6</v>
      </c>
      <c r="G142">
        <v>2632</v>
      </c>
      <c r="H142">
        <v>78025</v>
      </c>
      <c r="I142">
        <v>15090</v>
      </c>
      <c r="J142">
        <v>62935</v>
      </c>
      <c r="K142" t="s">
        <v>1635</v>
      </c>
      <c r="L142">
        <v>2632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554</v>
      </c>
      <c r="D143" t="s">
        <v>555</v>
      </c>
      <c r="E143" s="8">
        <v>46003</v>
      </c>
      <c r="F143">
        <v>6</v>
      </c>
      <c r="G143">
        <v>5358</v>
      </c>
      <c r="H143">
        <v>163831</v>
      </c>
      <c r="I143">
        <v>30500</v>
      </c>
      <c r="J143">
        <v>133331</v>
      </c>
      <c r="K143" t="s">
        <v>1635</v>
      </c>
      <c r="L143">
        <v>5358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558</v>
      </c>
      <c r="D144" t="s">
        <v>559</v>
      </c>
      <c r="E144" s="8">
        <v>46003</v>
      </c>
      <c r="F144">
        <v>6</v>
      </c>
      <c r="G144">
        <v>1440</v>
      </c>
      <c r="H144">
        <v>25912</v>
      </c>
      <c r="I144">
        <v>8640</v>
      </c>
      <c r="J144">
        <v>17272</v>
      </c>
      <c r="K144" t="s">
        <v>1635</v>
      </c>
      <c r="L144">
        <v>1440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560</v>
      </c>
      <c r="D145" t="s">
        <v>561</v>
      </c>
      <c r="E145" s="8">
        <v>46010</v>
      </c>
      <c r="F145">
        <v>6</v>
      </c>
      <c r="G145">
        <v>2900</v>
      </c>
      <c r="H145">
        <v>87000</v>
      </c>
      <c r="I145">
        <v>15600</v>
      </c>
      <c r="J145">
        <v>71400</v>
      </c>
      <c r="K145" t="s">
        <v>1635</v>
      </c>
      <c r="L145">
        <v>2900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562</v>
      </c>
      <c r="D146" t="s">
        <v>563</v>
      </c>
      <c r="E146" s="8">
        <v>46010</v>
      </c>
      <c r="F146">
        <v>6</v>
      </c>
      <c r="G146">
        <v>3969</v>
      </c>
      <c r="H146">
        <v>119770</v>
      </c>
      <c r="I146">
        <v>22365</v>
      </c>
      <c r="J146">
        <v>97405</v>
      </c>
      <c r="K146" t="s">
        <v>1635</v>
      </c>
      <c r="L146">
        <v>3969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569</v>
      </c>
      <c r="D147" t="s">
        <v>570</v>
      </c>
      <c r="E147" s="8">
        <v>46010</v>
      </c>
      <c r="F147">
        <v>6</v>
      </c>
      <c r="G147">
        <v>3139</v>
      </c>
      <c r="H147">
        <v>100000</v>
      </c>
      <c r="I147">
        <v>16234</v>
      </c>
      <c r="J147">
        <v>83766</v>
      </c>
      <c r="K147" t="s">
        <v>1635</v>
      </c>
      <c r="L147">
        <v>3139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571</v>
      </c>
      <c r="D148" t="s">
        <v>572</v>
      </c>
      <c r="E148" s="8">
        <v>46010</v>
      </c>
      <c r="F148">
        <v>6</v>
      </c>
      <c r="G148">
        <v>2271.5</v>
      </c>
      <c r="H148">
        <v>68100</v>
      </c>
      <c r="I148">
        <v>12917.5</v>
      </c>
      <c r="J148">
        <v>55182.5</v>
      </c>
      <c r="K148" t="s">
        <v>1635</v>
      </c>
      <c r="L148">
        <v>2271.5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580</v>
      </c>
      <c r="D149" t="s">
        <v>581</v>
      </c>
      <c r="E149" s="8">
        <v>46010</v>
      </c>
      <c r="F149">
        <v>6</v>
      </c>
      <c r="G149">
        <v>1254</v>
      </c>
      <c r="H149">
        <v>37493</v>
      </c>
      <c r="I149">
        <v>7524</v>
      </c>
      <c r="J149">
        <v>29969</v>
      </c>
      <c r="K149" t="s">
        <v>1635</v>
      </c>
      <c r="L149">
        <v>1254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582</v>
      </c>
      <c r="D150" t="s">
        <v>583</v>
      </c>
      <c r="E150" s="8">
        <v>46010</v>
      </c>
      <c r="F150">
        <v>6</v>
      </c>
      <c r="G150">
        <v>2236</v>
      </c>
      <c r="H150">
        <v>67000</v>
      </c>
      <c r="I150">
        <v>12900</v>
      </c>
      <c r="J150">
        <v>54100</v>
      </c>
      <c r="K150" t="s">
        <v>1635</v>
      </c>
      <c r="L150">
        <v>2236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586</v>
      </c>
      <c r="D151" t="s">
        <v>587</v>
      </c>
      <c r="E151" s="8">
        <v>46010</v>
      </c>
      <c r="F151">
        <v>6</v>
      </c>
      <c r="G151">
        <v>5280</v>
      </c>
      <c r="H151">
        <v>160380</v>
      </c>
      <c r="I151">
        <v>30240</v>
      </c>
      <c r="J151">
        <v>130140</v>
      </c>
      <c r="K151" t="s">
        <v>1635</v>
      </c>
      <c r="L151">
        <v>5280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590</v>
      </c>
      <c r="D152" t="s">
        <v>591</v>
      </c>
      <c r="E152" s="8">
        <v>46003</v>
      </c>
      <c r="F152">
        <v>6</v>
      </c>
      <c r="G152">
        <v>1491</v>
      </c>
      <c r="H152">
        <v>27758</v>
      </c>
      <c r="I152">
        <v>8946</v>
      </c>
      <c r="J152">
        <v>18812</v>
      </c>
      <c r="K152" t="s">
        <v>1635</v>
      </c>
      <c r="L152">
        <v>1491</v>
      </c>
      <c r="M152" t="s">
        <v>1635</v>
      </c>
      <c r="N152">
        <v>0</v>
      </c>
    </row>
    <row r="153" spans="1:14">
      <c r="A153">
        <v>1</v>
      </c>
      <c r="B153" t="s">
        <v>15</v>
      </c>
      <c r="C153" t="s">
        <v>594</v>
      </c>
      <c r="D153" t="s">
        <v>595</v>
      </c>
      <c r="E153" s="8">
        <v>46010</v>
      </c>
      <c r="F153">
        <v>6</v>
      </c>
      <c r="G153">
        <v>2772</v>
      </c>
      <c r="H153">
        <v>84510</v>
      </c>
      <c r="I153">
        <v>15540</v>
      </c>
      <c r="J153">
        <v>68970</v>
      </c>
      <c r="K153" t="s">
        <v>1635</v>
      </c>
      <c r="L153">
        <v>2772</v>
      </c>
      <c r="M153" t="s">
        <v>1635</v>
      </c>
      <c r="N153">
        <v>0</v>
      </c>
    </row>
    <row r="154" spans="1:14">
      <c r="A154">
        <v>1</v>
      </c>
      <c r="B154" t="s">
        <v>15</v>
      </c>
      <c r="C154" t="s">
        <v>598</v>
      </c>
      <c r="D154" t="s">
        <v>599</v>
      </c>
      <c r="E154" s="8">
        <v>46010</v>
      </c>
      <c r="F154">
        <v>6</v>
      </c>
      <c r="G154">
        <v>4650</v>
      </c>
      <c r="H154">
        <v>138500</v>
      </c>
      <c r="I154">
        <v>25830</v>
      </c>
      <c r="J154">
        <v>112670</v>
      </c>
      <c r="K154" t="s">
        <v>1635</v>
      </c>
      <c r="L154">
        <v>4650</v>
      </c>
      <c r="M154" t="s">
        <v>1635</v>
      </c>
      <c r="N154">
        <v>0</v>
      </c>
    </row>
    <row r="155" spans="1:14">
      <c r="A155">
        <v>1</v>
      </c>
      <c r="B155" t="s">
        <v>15</v>
      </c>
      <c r="C155" t="s">
        <v>600</v>
      </c>
      <c r="D155" t="s">
        <v>601</v>
      </c>
      <c r="E155" s="8">
        <v>46003</v>
      </c>
      <c r="F155">
        <v>6</v>
      </c>
      <c r="G155">
        <v>4524</v>
      </c>
      <c r="H155">
        <v>136666</v>
      </c>
      <c r="I155">
        <v>24700</v>
      </c>
      <c r="J155">
        <v>111966</v>
      </c>
      <c r="K155" t="s">
        <v>1635</v>
      </c>
      <c r="L155">
        <v>4524</v>
      </c>
      <c r="M155" t="s">
        <v>1635</v>
      </c>
      <c r="N155">
        <v>0</v>
      </c>
    </row>
    <row r="156" spans="1:14">
      <c r="A156">
        <v>1</v>
      </c>
      <c r="B156" t="s">
        <v>15</v>
      </c>
      <c r="C156" t="s">
        <v>615</v>
      </c>
      <c r="D156" t="s">
        <v>616</v>
      </c>
      <c r="E156" s="8">
        <v>46010</v>
      </c>
      <c r="F156">
        <v>6</v>
      </c>
      <c r="G156">
        <v>2250</v>
      </c>
      <c r="H156">
        <v>68787</v>
      </c>
      <c r="I156">
        <v>13050</v>
      </c>
      <c r="J156">
        <v>55737</v>
      </c>
      <c r="K156" t="s">
        <v>1635</v>
      </c>
      <c r="L156">
        <v>2250</v>
      </c>
      <c r="M156" t="s">
        <v>1635</v>
      </c>
      <c r="N156">
        <v>0</v>
      </c>
    </row>
    <row r="157" spans="1:14">
      <c r="A157">
        <v>1</v>
      </c>
      <c r="B157" t="s">
        <v>15</v>
      </c>
      <c r="C157" t="s">
        <v>632</v>
      </c>
      <c r="D157" t="s">
        <v>633</v>
      </c>
      <c r="E157" s="8">
        <v>46003</v>
      </c>
      <c r="F157">
        <v>6</v>
      </c>
      <c r="G157">
        <v>2928</v>
      </c>
      <c r="H157">
        <v>85000</v>
      </c>
      <c r="I157">
        <v>16660</v>
      </c>
      <c r="J157">
        <v>68340</v>
      </c>
      <c r="K157" t="s">
        <v>1635</v>
      </c>
      <c r="L157">
        <v>2928</v>
      </c>
      <c r="M157" t="s">
        <v>1635</v>
      </c>
      <c r="N157">
        <v>0</v>
      </c>
    </row>
    <row r="158" spans="1:14">
      <c r="A158">
        <v>1</v>
      </c>
      <c r="B158" t="s">
        <v>15</v>
      </c>
      <c r="C158" t="s">
        <v>638</v>
      </c>
      <c r="D158" t="s">
        <v>639</v>
      </c>
      <c r="E158" s="8">
        <v>46003</v>
      </c>
      <c r="F158">
        <v>6</v>
      </c>
      <c r="G158">
        <v>1273</v>
      </c>
      <c r="H158">
        <v>22732</v>
      </c>
      <c r="I158">
        <v>7638</v>
      </c>
      <c r="J158">
        <v>15094</v>
      </c>
      <c r="K158" t="s">
        <v>1635</v>
      </c>
      <c r="L158">
        <v>1273</v>
      </c>
      <c r="M158" t="s">
        <v>1635</v>
      </c>
      <c r="N158">
        <v>0</v>
      </c>
    </row>
    <row r="159" spans="1:14">
      <c r="A159">
        <v>1</v>
      </c>
      <c r="B159" t="s">
        <v>15</v>
      </c>
      <c r="C159" t="s">
        <v>640</v>
      </c>
      <c r="D159" t="s">
        <v>641</v>
      </c>
      <c r="E159" s="8">
        <v>46010</v>
      </c>
      <c r="F159">
        <v>6</v>
      </c>
      <c r="G159">
        <v>2520</v>
      </c>
      <c r="H159">
        <v>76300</v>
      </c>
      <c r="I159">
        <v>14400</v>
      </c>
      <c r="J159">
        <v>61900</v>
      </c>
      <c r="K159" t="s">
        <v>1635</v>
      </c>
      <c r="L159">
        <v>2520</v>
      </c>
      <c r="M159" t="s">
        <v>1635</v>
      </c>
      <c r="N159">
        <v>0</v>
      </c>
    </row>
    <row r="160" spans="1:14">
      <c r="A160">
        <v>1</v>
      </c>
      <c r="B160" t="s">
        <v>15</v>
      </c>
      <c r="C160" t="s">
        <v>651</v>
      </c>
      <c r="D160" t="s">
        <v>652</v>
      </c>
      <c r="E160" s="8">
        <v>46010</v>
      </c>
      <c r="F160">
        <v>6</v>
      </c>
      <c r="G160">
        <v>4875</v>
      </c>
      <c r="H160">
        <v>148000</v>
      </c>
      <c r="I160">
        <v>26975</v>
      </c>
      <c r="J160">
        <v>121025</v>
      </c>
      <c r="K160" t="s">
        <v>1635</v>
      </c>
      <c r="L160">
        <v>4875</v>
      </c>
      <c r="M160" t="s">
        <v>1635</v>
      </c>
      <c r="N160">
        <v>0</v>
      </c>
    </row>
    <row r="161" spans="1:14">
      <c r="A161">
        <v>1</v>
      </c>
      <c r="B161" t="s">
        <v>15</v>
      </c>
      <c r="C161" t="s">
        <v>661</v>
      </c>
      <c r="D161" t="s">
        <v>662</v>
      </c>
      <c r="E161" s="8">
        <v>46010</v>
      </c>
      <c r="F161">
        <v>6</v>
      </c>
      <c r="G161">
        <v>4005</v>
      </c>
      <c r="H161">
        <v>121500</v>
      </c>
      <c r="I161">
        <v>21825</v>
      </c>
      <c r="J161">
        <v>99675</v>
      </c>
      <c r="K161" t="s">
        <v>1635</v>
      </c>
      <c r="L161">
        <v>4005</v>
      </c>
      <c r="M161" t="s">
        <v>1635</v>
      </c>
      <c r="N161">
        <v>0</v>
      </c>
    </row>
    <row r="162" spans="1:14">
      <c r="A162">
        <v>1</v>
      </c>
      <c r="B162" t="s">
        <v>15</v>
      </c>
      <c r="C162" t="s">
        <v>663</v>
      </c>
      <c r="D162" t="s">
        <v>664</v>
      </c>
      <c r="E162" s="8">
        <v>46010</v>
      </c>
      <c r="F162">
        <v>6</v>
      </c>
      <c r="G162">
        <v>1260</v>
      </c>
      <c r="H162">
        <v>23283</v>
      </c>
      <c r="I162">
        <v>7560</v>
      </c>
      <c r="J162">
        <v>15723</v>
      </c>
      <c r="K162" t="s">
        <v>1635</v>
      </c>
      <c r="L162">
        <v>1260</v>
      </c>
      <c r="M162" t="s">
        <v>1635</v>
      </c>
      <c r="N162">
        <v>0</v>
      </c>
    </row>
    <row r="163" spans="1:14">
      <c r="A163">
        <v>1</v>
      </c>
      <c r="B163" t="s">
        <v>15</v>
      </c>
      <c r="C163" t="s">
        <v>665</v>
      </c>
      <c r="D163" t="s">
        <v>666</v>
      </c>
      <c r="E163" s="8">
        <v>46010</v>
      </c>
      <c r="F163">
        <v>6</v>
      </c>
      <c r="G163">
        <v>1815</v>
      </c>
      <c r="H163">
        <v>30538</v>
      </c>
      <c r="I163">
        <v>10890</v>
      </c>
      <c r="J163">
        <v>19648</v>
      </c>
      <c r="K163" t="s">
        <v>1635</v>
      </c>
      <c r="L163">
        <v>1815</v>
      </c>
      <c r="M163" t="s">
        <v>1635</v>
      </c>
      <c r="N163">
        <v>0</v>
      </c>
    </row>
    <row r="164" spans="1:14">
      <c r="A164">
        <v>1</v>
      </c>
      <c r="B164" t="s">
        <v>15</v>
      </c>
      <c r="C164" t="s">
        <v>669</v>
      </c>
      <c r="D164" t="s">
        <v>670</v>
      </c>
      <c r="E164" s="8">
        <v>46010</v>
      </c>
      <c r="F164">
        <v>6</v>
      </c>
      <c r="G164">
        <v>3834</v>
      </c>
      <c r="H164">
        <v>111671</v>
      </c>
      <c r="I164">
        <v>21430</v>
      </c>
      <c r="J164">
        <v>90241</v>
      </c>
      <c r="K164" t="s">
        <v>1635</v>
      </c>
      <c r="L164">
        <v>3834</v>
      </c>
      <c r="M164" t="s">
        <v>1635</v>
      </c>
      <c r="N164">
        <v>0</v>
      </c>
    </row>
    <row r="165" spans="1:14">
      <c r="A165">
        <v>1</v>
      </c>
      <c r="B165" t="s">
        <v>15</v>
      </c>
      <c r="C165" t="s">
        <v>677</v>
      </c>
      <c r="D165" t="s">
        <v>678</v>
      </c>
      <c r="E165" s="8">
        <v>46010</v>
      </c>
      <c r="F165">
        <v>6</v>
      </c>
      <c r="G165">
        <v>2576</v>
      </c>
      <c r="H165">
        <v>75768</v>
      </c>
      <c r="I165">
        <v>14770</v>
      </c>
      <c r="J165">
        <v>60998</v>
      </c>
      <c r="K165" t="s">
        <v>1635</v>
      </c>
      <c r="L165">
        <v>2576</v>
      </c>
      <c r="M165" t="s">
        <v>1635</v>
      </c>
      <c r="N165">
        <v>0</v>
      </c>
    </row>
    <row r="166" spans="1:14">
      <c r="A166">
        <v>1</v>
      </c>
      <c r="B166" t="s">
        <v>15</v>
      </c>
      <c r="C166" t="s">
        <v>694</v>
      </c>
      <c r="D166" t="s">
        <v>695</v>
      </c>
      <c r="E166" s="8">
        <v>46003</v>
      </c>
      <c r="F166">
        <v>6</v>
      </c>
      <c r="G166">
        <v>1320</v>
      </c>
      <c r="H166">
        <v>26600</v>
      </c>
      <c r="I166">
        <v>7920</v>
      </c>
      <c r="J166">
        <v>18680</v>
      </c>
      <c r="K166" t="s">
        <v>1635</v>
      </c>
      <c r="L166">
        <v>1320</v>
      </c>
      <c r="M166" t="s">
        <v>1635</v>
      </c>
      <c r="N166">
        <v>0</v>
      </c>
    </row>
    <row r="167" spans="1:14">
      <c r="A167">
        <v>1</v>
      </c>
      <c r="B167" t="s">
        <v>15</v>
      </c>
      <c r="C167" t="s">
        <v>707</v>
      </c>
      <c r="D167" t="s">
        <v>708</v>
      </c>
      <c r="E167" s="8">
        <v>46010</v>
      </c>
      <c r="F167">
        <v>6</v>
      </c>
      <c r="G167">
        <v>3354</v>
      </c>
      <c r="H167">
        <v>103822</v>
      </c>
      <c r="I167">
        <v>18490</v>
      </c>
      <c r="J167">
        <v>85332</v>
      </c>
      <c r="K167" t="s">
        <v>1635</v>
      </c>
      <c r="L167">
        <v>3354</v>
      </c>
      <c r="M167" t="s">
        <v>1635</v>
      </c>
      <c r="N167">
        <v>0</v>
      </c>
    </row>
    <row r="168" spans="1:14">
      <c r="A168">
        <v>1</v>
      </c>
      <c r="B168" t="s">
        <v>15</v>
      </c>
      <c r="C168" t="s">
        <v>778</v>
      </c>
      <c r="D168" t="s">
        <v>779</v>
      </c>
      <c r="E168" s="8">
        <v>46010</v>
      </c>
      <c r="F168">
        <v>6</v>
      </c>
      <c r="G168">
        <v>1014</v>
      </c>
      <c r="H168">
        <v>17949</v>
      </c>
      <c r="I168">
        <v>6084</v>
      </c>
      <c r="J168">
        <v>11865</v>
      </c>
      <c r="K168" t="s">
        <v>1635</v>
      </c>
      <c r="L168">
        <v>1014</v>
      </c>
      <c r="M168" t="s">
        <v>1635</v>
      </c>
      <c r="N168">
        <v>0</v>
      </c>
    </row>
    <row r="169" spans="1:14">
      <c r="A169">
        <v>1</v>
      </c>
      <c r="B169" t="s">
        <v>15</v>
      </c>
      <c r="C169" t="s">
        <v>818</v>
      </c>
      <c r="D169" t="s">
        <v>819</v>
      </c>
      <c r="E169" s="8">
        <v>46010</v>
      </c>
      <c r="F169">
        <v>6</v>
      </c>
      <c r="G169">
        <v>1189</v>
      </c>
      <c r="H169">
        <v>21735</v>
      </c>
      <c r="I169">
        <v>6380</v>
      </c>
      <c r="J169">
        <v>15355</v>
      </c>
      <c r="K169" t="s">
        <v>1635</v>
      </c>
      <c r="L169">
        <v>1189</v>
      </c>
      <c r="M169" t="s">
        <v>1635</v>
      </c>
      <c r="N169">
        <v>0</v>
      </c>
    </row>
    <row r="170" spans="1:14">
      <c r="A170">
        <v>1</v>
      </c>
      <c r="B170" t="s">
        <v>15</v>
      </c>
      <c r="C170" t="s">
        <v>38</v>
      </c>
      <c r="D170" t="s">
        <v>39</v>
      </c>
      <c r="E170" s="8">
        <v>46010</v>
      </c>
      <c r="F170">
        <v>7</v>
      </c>
      <c r="G170">
        <v>1840</v>
      </c>
      <c r="H170">
        <v>55000</v>
      </c>
      <c r="I170">
        <v>12880</v>
      </c>
      <c r="J170">
        <v>42120</v>
      </c>
      <c r="K170" t="s">
        <v>1635</v>
      </c>
      <c r="L170">
        <v>1840</v>
      </c>
      <c r="M170" t="s">
        <v>1635</v>
      </c>
      <c r="N170">
        <v>0</v>
      </c>
    </row>
    <row r="171" spans="1:14">
      <c r="A171">
        <v>1</v>
      </c>
      <c r="B171" t="s">
        <v>15</v>
      </c>
      <c r="C171" t="s">
        <v>53</v>
      </c>
      <c r="D171" t="s">
        <v>54</v>
      </c>
      <c r="E171" s="8">
        <v>46003</v>
      </c>
      <c r="F171">
        <v>7</v>
      </c>
      <c r="G171">
        <v>3471</v>
      </c>
      <c r="H171">
        <v>103759</v>
      </c>
      <c r="I171">
        <v>24297</v>
      </c>
      <c r="J171">
        <v>79462</v>
      </c>
      <c r="K171" t="s">
        <v>1635</v>
      </c>
      <c r="L171">
        <v>3471</v>
      </c>
      <c r="M171" t="s">
        <v>1635</v>
      </c>
      <c r="N171">
        <v>0</v>
      </c>
    </row>
    <row r="172" spans="1:14">
      <c r="A172">
        <v>1</v>
      </c>
      <c r="B172" t="s">
        <v>15</v>
      </c>
      <c r="C172" t="s">
        <v>55</v>
      </c>
      <c r="D172" t="s">
        <v>56</v>
      </c>
      <c r="E172" s="8">
        <v>46010</v>
      </c>
      <c r="F172">
        <v>7</v>
      </c>
      <c r="G172">
        <v>3045</v>
      </c>
      <c r="H172">
        <v>90955</v>
      </c>
      <c r="I172">
        <v>18270</v>
      </c>
      <c r="J172">
        <v>72685</v>
      </c>
      <c r="K172" t="s">
        <v>1635</v>
      </c>
      <c r="L172">
        <v>3045</v>
      </c>
      <c r="M172" t="s">
        <v>1635</v>
      </c>
      <c r="N172">
        <v>0</v>
      </c>
    </row>
    <row r="173" spans="1:14">
      <c r="A173">
        <v>1</v>
      </c>
      <c r="B173" t="s">
        <v>15</v>
      </c>
      <c r="C173" t="s">
        <v>75</v>
      </c>
      <c r="D173" t="s">
        <v>76</v>
      </c>
      <c r="E173" s="8">
        <v>46010</v>
      </c>
      <c r="F173">
        <v>7</v>
      </c>
      <c r="G173">
        <v>4108</v>
      </c>
      <c r="H173">
        <v>75868</v>
      </c>
      <c r="I173">
        <v>26728</v>
      </c>
      <c r="J173">
        <v>49140</v>
      </c>
      <c r="K173" t="s">
        <v>1635</v>
      </c>
      <c r="L173">
        <v>4108</v>
      </c>
      <c r="M173" t="s">
        <v>1635</v>
      </c>
      <c r="N173">
        <v>0</v>
      </c>
    </row>
    <row r="174" spans="1:14">
      <c r="A174">
        <v>1</v>
      </c>
      <c r="B174" t="s">
        <v>15</v>
      </c>
      <c r="C174" t="s">
        <v>79</v>
      </c>
      <c r="D174" t="s">
        <v>80</v>
      </c>
      <c r="E174" s="8">
        <v>46010</v>
      </c>
      <c r="F174">
        <v>7</v>
      </c>
      <c r="G174">
        <v>4134</v>
      </c>
      <c r="H174">
        <v>78000</v>
      </c>
      <c r="I174">
        <v>27694</v>
      </c>
      <c r="J174">
        <v>50306</v>
      </c>
      <c r="K174" t="s">
        <v>1635</v>
      </c>
      <c r="L174">
        <v>4134</v>
      </c>
      <c r="M174" t="s">
        <v>1635</v>
      </c>
      <c r="N174">
        <v>0</v>
      </c>
    </row>
    <row r="175" spans="1:14">
      <c r="A175">
        <v>1</v>
      </c>
      <c r="B175" t="s">
        <v>15</v>
      </c>
      <c r="C175" t="s">
        <v>85</v>
      </c>
      <c r="D175" t="s">
        <v>86</v>
      </c>
      <c r="E175" s="8">
        <v>46010</v>
      </c>
      <c r="F175">
        <v>7</v>
      </c>
      <c r="G175">
        <v>2970</v>
      </c>
      <c r="H175">
        <v>88849</v>
      </c>
      <c r="I175">
        <v>20790</v>
      </c>
      <c r="J175">
        <v>68059</v>
      </c>
      <c r="K175" t="s">
        <v>1635</v>
      </c>
      <c r="L175">
        <v>2970</v>
      </c>
      <c r="M175" t="s">
        <v>1635</v>
      </c>
      <c r="N175">
        <v>0</v>
      </c>
    </row>
    <row r="176" spans="1:14">
      <c r="A176">
        <v>1</v>
      </c>
      <c r="B176" t="s">
        <v>15</v>
      </c>
      <c r="C176" t="s">
        <v>91</v>
      </c>
      <c r="D176" t="s">
        <v>92</v>
      </c>
      <c r="E176" s="8">
        <v>46010</v>
      </c>
      <c r="F176">
        <v>7</v>
      </c>
      <c r="G176">
        <v>2475</v>
      </c>
      <c r="H176">
        <v>73000</v>
      </c>
      <c r="I176">
        <v>17325</v>
      </c>
      <c r="J176">
        <v>55675</v>
      </c>
      <c r="K176" t="s">
        <v>1635</v>
      </c>
      <c r="L176">
        <v>2475</v>
      </c>
      <c r="M176" t="s">
        <v>1635</v>
      </c>
      <c r="N176">
        <v>0</v>
      </c>
    </row>
    <row r="177" spans="1:14">
      <c r="A177">
        <v>1</v>
      </c>
      <c r="B177" t="s">
        <v>15</v>
      </c>
      <c r="C177" t="s">
        <v>93</v>
      </c>
      <c r="D177" t="s">
        <v>94</v>
      </c>
      <c r="E177" s="8">
        <v>46010</v>
      </c>
      <c r="F177">
        <v>7</v>
      </c>
      <c r="G177">
        <v>2700</v>
      </c>
      <c r="H177">
        <v>80000</v>
      </c>
      <c r="I177">
        <v>18900</v>
      </c>
      <c r="J177">
        <v>61100</v>
      </c>
      <c r="K177" t="s">
        <v>1635</v>
      </c>
      <c r="L177">
        <v>2700</v>
      </c>
      <c r="M177" t="s">
        <v>1635</v>
      </c>
      <c r="N177">
        <v>0</v>
      </c>
    </row>
    <row r="178" spans="1:14">
      <c r="A178">
        <v>1</v>
      </c>
      <c r="B178" t="s">
        <v>15</v>
      </c>
      <c r="C178" t="s">
        <v>100</v>
      </c>
      <c r="D178" t="s">
        <v>101</v>
      </c>
      <c r="E178" s="8">
        <v>46010</v>
      </c>
      <c r="F178">
        <v>7</v>
      </c>
      <c r="G178">
        <v>3116</v>
      </c>
      <c r="H178">
        <v>92555</v>
      </c>
      <c r="I178">
        <v>21532.67</v>
      </c>
      <c r="J178">
        <v>71022.33</v>
      </c>
      <c r="K178" t="s">
        <v>1635</v>
      </c>
      <c r="L178">
        <v>3116</v>
      </c>
      <c r="M178" t="s">
        <v>1635</v>
      </c>
      <c r="N178">
        <v>0</v>
      </c>
    </row>
    <row r="179" spans="1:14">
      <c r="A179">
        <v>1</v>
      </c>
      <c r="B179" t="s">
        <v>15</v>
      </c>
      <c r="C179" t="s">
        <v>102</v>
      </c>
      <c r="D179" t="s">
        <v>103</v>
      </c>
      <c r="E179" s="8">
        <v>46003</v>
      </c>
      <c r="F179">
        <v>7</v>
      </c>
      <c r="G179">
        <v>5460</v>
      </c>
      <c r="H179">
        <v>100000</v>
      </c>
      <c r="I179">
        <v>35310</v>
      </c>
      <c r="J179">
        <v>64690</v>
      </c>
      <c r="K179" t="s">
        <v>1635</v>
      </c>
      <c r="L179">
        <v>5460</v>
      </c>
      <c r="M179" t="s">
        <v>1635</v>
      </c>
      <c r="N179">
        <v>0</v>
      </c>
    </row>
    <row r="180" spans="1:14">
      <c r="A180">
        <v>1</v>
      </c>
      <c r="B180" t="s">
        <v>15</v>
      </c>
      <c r="C180" t="s">
        <v>113</v>
      </c>
      <c r="D180" t="s">
        <v>114</v>
      </c>
      <c r="E180" s="8">
        <v>46010</v>
      </c>
      <c r="F180">
        <v>7</v>
      </c>
      <c r="G180">
        <v>5280</v>
      </c>
      <c r="H180">
        <v>160091</v>
      </c>
      <c r="I180">
        <v>36480</v>
      </c>
      <c r="J180">
        <v>123611</v>
      </c>
      <c r="K180" t="s">
        <v>1635</v>
      </c>
      <c r="L180">
        <v>5280</v>
      </c>
      <c r="M180" t="s">
        <v>1635</v>
      </c>
      <c r="N180">
        <v>0</v>
      </c>
    </row>
    <row r="181" spans="1:14">
      <c r="A181">
        <v>1</v>
      </c>
      <c r="B181" t="s">
        <v>15</v>
      </c>
      <c r="C181" t="s">
        <v>129</v>
      </c>
      <c r="D181" t="s">
        <v>130</v>
      </c>
      <c r="E181" s="8">
        <v>46010</v>
      </c>
      <c r="F181">
        <v>7</v>
      </c>
      <c r="G181">
        <v>3080</v>
      </c>
      <c r="H181">
        <v>94515</v>
      </c>
      <c r="I181">
        <v>21364</v>
      </c>
      <c r="J181">
        <v>73151</v>
      </c>
      <c r="K181" t="s">
        <v>1635</v>
      </c>
      <c r="L181">
        <v>3080</v>
      </c>
      <c r="M181" t="s">
        <v>1635</v>
      </c>
      <c r="N181">
        <v>0</v>
      </c>
    </row>
    <row r="182" spans="1:14">
      <c r="A182">
        <v>1</v>
      </c>
      <c r="B182" t="s">
        <v>15</v>
      </c>
      <c r="C182" t="s">
        <v>131</v>
      </c>
      <c r="D182" t="s">
        <v>132</v>
      </c>
      <c r="E182" s="8">
        <v>46010</v>
      </c>
      <c r="F182">
        <v>7</v>
      </c>
      <c r="G182">
        <v>3250</v>
      </c>
      <c r="H182">
        <v>98883</v>
      </c>
      <c r="I182">
        <v>22100</v>
      </c>
      <c r="J182">
        <v>76783</v>
      </c>
      <c r="K182" t="s">
        <v>1635</v>
      </c>
      <c r="L182">
        <v>3250</v>
      </c>
      <c r="M182" t="s">
        <v>1635</v>
      </c>
      <c r="N182">
        <v>0</v>
      </c>
    </row>
    <row r="183" spans="1:14">
      <c r="A183">
        <v>1</v>
      </c>
      <c r="B183" t="s">
        <v>15</v>
      </c>
      <c r="C183" t="s">
        <v>147</v>
      </c>
      <c r="D183" t="s">
        <v>148</v>
      </c>
      <c r="E183" s="8">
        <v>46010</v>
      </c>
      <c r="F183">
        <v>7</v>
      </c>
      <c r="G183">
        <v>2752</v>
      </c>
      <c r="H183">
        <v>81225</v>
      </c>
      <c r="I183">
        <v>19122</v>
      </c>
      <c r="J183">
        <v>62103</v>
      </c>
      <c r="K183" t="s">
        <v>1635</v>
      </c>
      <c r="L183">
        <v>2752</v>
      </c>
      <c r="M183" t="s">
        <v>1635</v>
      </c>
      <c r="N183">
        <v>0</v>
      </c>
    </row>
    <row r="184" spans="1:14">
      <c r="A184">
        <v>1</v>
      </c>
      <c r="B184" t="s">
        <v>15</v>
      </c>
      <c r="C184" t="s">
        <v>149</v>
      </c>
      <c r="D184" t="s">
        <v>150</v>
      </c>
      <c r="E184" s="8">
        <v>46003</v>
      </c>
      <c r="F184">
        <v>7</v>
      </c>
      <c r="G184">
        <v>3445</v>
      </c>
      <c r="H184">
        <v>104637</v>
      </c>
      <c r="I184">
        <v>23053.33</v>
      </c>
      <c r="J184">
        <v>81583.67</v>
      </c>
      <c r="K184" t="s">
        <v>1635</v>
      </c>
      <c r="L184">
        <v>3445</v>
      </c>
      <c r="M184" t="s">
        <v>1635</v>
      </c>
      <c r="N184">
        <v>0</v>
      </c>
    </row>
    <row r="185" spans="1:14">
      <c r="A185">
        <v>1</v>
      </c>
      <c r="B185" t="s">
        <v>15</v>
      </c>
      <c r="C185" t="s">
        <v>177</v>
      </c>
      <c r="D185" t="s">
        <v>178</v>
      </c>
      <c r="E185" s="8">
        <v>46010</v>
      </c>
      <c r="F185">
        <v>7</v>
      </c>
      <c r="G185">
        <v>3055</v>
      </c>
      <c r="H185">
        <v>73660</v>
      </c>
      <c r="I185">
        <v>20930</v>
      </c>
      <c r="J185">
        <v>52730</v>
      </c>
      <c r="K185" t="s">
        <v>1635</v>
      </c>
      <c r="L185">
        <v>3055</v>
      </c>
      <c r="M185" t="s">
        <v>1635</v>
      </c>
      <c r="N185">
        <v>0</v>
      </c>
    </row>
    <row r="186" spans="1:14">
      <c r="A186">
        <v>1</v>
      </c>
      <c r="B186" t="s">
        <v>15</v>
      </c>
      <c r="C186" t="s">
        <v>211</v>
      </c>
      <c r="D186" t="s">
        <v>212</v>
      </c>
      <c r="E186" s="8">
        <v>46010</v>
      </c>
      <c r="F186">
        <v>7</v>
      </c>
      <c r="G186">
        <v>2000</v>
      </c>
      <c r="H186">
        <v>55200</v>
      </c>
      <c r="I186">
        <v>13533.33</v>
      </c>
      <c r="J186">
        <v>41666.67</v>
      </c>
      <c r="K186" t="s">
        <v>1635</v>
      </c>
      <c r="L186">
        <v>2000</v>
      </c>
      <c r="M186" t="s">
        <v>1635</v>
      </c>
      <c r="N186">
        <v>0</v>
      </c>
    </row>
    <row r="187" spans="1:14">
      <c r="A187">
        <v>1</v>
      </c>
      <c r="B187" t="s">
        <v>15</v>
      </c>
      <c r="C187" t="s">
        <v>328</v>
      </c>
      <c r="D187" t="s">
        <v>329</v>
      </c>
      <c r="E187" s="8">
        <v>46003</v>
      </c>
      <c r="F187">
        <v>7</v>
      </c>
      <c r="G187">
        <v>3780</v>
      </c>
      <c r="H187">
        <v>114888</v>
      </c>
      <c r="I187">
        <v>24890</v>
      </c>
      <c r="J187">
        <v>89998</v>
      </c>
      <c r="K187" t="s">
        <v>1635</v>
      </c>
      <c r="L187">
        <v>3780</v>
      </c>
      <c r="M187" t="s">
        <v>1635</v>
      </c>
      <c r="N187">
        <v>0</v>
      </c>
    </row>
    <row r="188" spans="1:14">
      <c r="A188">
        <v>1</v>
      </c>
      <c r="B188" t="s">
        <v>15</v>
      </c>
      <c r="C188" t="s">
        <v>354</v>
      </c>
      <c r="D188" t="s">
        <v>355</v>
      </c>
      <c r="E188" s="8">
        <v>46003</v>
      </c>
      <c r="F188">
        <v>7</v>
      </c>
      <c r="G188">
        <v>3976</v>
      </c>
      <c r="H188">
        <v>117000</v>
      </c>
      <c r="I188">
        <v>26746</v>
      </c>
      <c r="J188">
        <v>90254</v>
      </c>
      <c r="K188" t="s">
        <v>1635</v>
      </c>
      <c r="L188">
        <v>3976</v>
      </c>
      <c r="M188" t="s">
        <v>1635</v>
      </c>
      <c r="N188">
        <v>0</v>
      </c>
    </row>
    <row r="189" spans="1:14">
      <c r="A189">
        <v>1</v>
      </c>
      <c r="B189" t="s">
        <v>15</v>
      </c>
      <c r="C189" t="s">
        <v>356</v>
      </c>
      <c r="D189" t="s">
        <v>357</v>
      </c>
      <c r="E189" s="8">
        <v>46010</v>
      </c>
      <c r="F189">
        <v>7</v>
      </c>
      <c r="G189">
        <v>4176</v>
      </c>
      <c r="H189">
        <v>126800</v>
      </c>
      <c r="I189">
        <v>26876</v>
      </c>
      <c r="J189">
        <v>99924</v>
      </c>
      <c r="K189" t="s">
        <v>1635</v>
      </c>
      <c r="L189">
        <v>4176</v>
      </c>
      <c r="M189" t="s">
        <v>1635</v>
      </c>
      <c r="N189">
        <v>0</v>
      </c>
    </row>
    <row r="190" spans="1:14">
      <c r="A190">
        <v>1</v>
      </c>
      <c r="B190" t="s">
        <v>15</v>
      </c>
      <c r="C190" t="s">
        <v>358</v>
      </c>
      <c r="D190" t="s">
        <v>359</v>
      </c>
      <c r="E190" s="8">
        <v>46010</v>
      </c>
      <c r="F190">
        <v>7</v>
      </c>
      <c r="G190">
        <v>3360</v>
      </c>
      <c r="H190">
        <v>121800</v>
      </c>
      <c r="I190">
        <v>21760</v>
      </c>
      <c r="J190">
        <v>100040</v>
      </c>
      <c r="K190" t="s">
        <v>1635</v>
      </c>
      <c r="L190">
        <v>3360</v>
      </c>
      <c r="M190" t="s">
        <v>1635</v>
      </c>
      <c r="N190">
        <v>0</v>
      </c>
    </row>
    <row r="191" spans="1:14">
      <c r="A191">
        <v>1</v>
      </c>
      <c r="B191" t="s">
        <v>15</v>
      </c>
      <c r="C191" t="s">
        <v>368</v>
      </c>
      <c r="D191" t="s">
        <v>369</v>
      </c>
      <c r="E191" s="8">
        <v>46003</v>
      </c>
      <c r="F191">
        <v>7</v>
      </c>
      <c r="G191">
        <v>1615</v>
      </c>
      <c r="H191">
        <v>28553</v>
      </c>
      <c r="I191">
        <v>11305</v>
      </c>
      <c r="J191">
        <v>17248</v>
      </c>
      <c r="K191" t="s">
        <v>1635</v>
      </c>
      <c r="L191">
        <v>1615</v>
      </c>
      <c r="M191" t="s">
        <v>1635</v>
      </c>
      <c r="N191">
        <v>0</v>
      </c>
    </row>
    <row r="192" spans="1:14">
      <c r="A192">
        <v>1</v>
      </c>
      <c r="B192" t="s">
        <v>15</v>
      </c>
      <c r="C192" t="s">
        <v>377</v>
      </c>
      <c r="D192" t="s">
        <v>378</v>
      </c>
      <c r="E192" s="8">
        <v>46010</v>
      </c>
      <c r="F192">
        <v>7</v>
      </c>
      <c r="G192">
        <v>2200</v>
      </c>
      <c r="H192">
        <v>66000</v>
      </c>
      <c r="I192">
        <v>14800</v>
      </c>
      <c r="J192">
        <v>51200</v>
      </c>
      <c r="K192" t="s">
        <v>1635</v>
      </c>
      <c r="L192">
        <v>2200</v>
      </c>
      <c r="M192" t="s">
        <v>1635</v>
      </c>
      <c r="N192">
        <v>0</v>
      </c>
    </row>
    <row r="193" spans="1:14">
      <c r="A193">
        <v>1</v>
      </c>
      <c r="B193" t="s">
        <v>15</v>
      </c>
      <c r="C193" t="s">
        <v>385</v>
      </c>
      <c r="D193" t="s">
        <v>386</v>
      </c>
      <c r="E193" s="8">
        <v>46003</v>
      </c>
      <c r="F193">
        <v>7</v>
      </c>
      <c r="G193">
        <v>2914</v>
      </c>
      <c r="H193">
        <v>87624</v>
      </c>
      <c r="I193">
        <v>19364</v>
      </c>
      <c r="J193">
        <v>68260</v>
      </c>
      <c r="K193" t="s">
        <v>1635</v>
      </c>
      <c r="L193">
        <v>2914</v>
      </c>
      <c r="M193" t="s">
        <v>1635</v>
      </c>
      <c r="N193">
        <v>0</v>
      </c>
    </row>
    <row r="194" spans="1:14">
      <c r="A194">
        <v>1</v>
      </c>
      <c r="B194" t="s">
        <v>15</v>
      </c>
      <c r="C194" t="s">
        <v>391</v>
      </c>
      <c r="D194" t="s">
        <v>392</v>
      </c>
      <c r="E194" s="8">
        <v>46010</v>
      </c>
      <c r="F194">
        <v>7</v>
      </c>
      <c r="G194">
        <v>4242.12</v>
      </c>
      <c r="H194">
        <v>124469</v>
      </c>
      <c r="I194">
        <v>28465.319999999901</v>
      </c>
      <c r="J194">
        <v>96003.68</v>
      </c>
      <c r="K194" t="s">
        <v>1635</v>
      </c>
      <c r="L194">
        <v>4242.12</v>
      </c>
      <c r="M194" t="s">
        <v>1635</v>
      </c>
      <c r="N194">
        <v>0</v>
      </c>
    </row>
    <row r="195" spans="1:14">
      <c r="A195">
        <v>1</v>
      </c>
      <c r="B195" t="s">
        <v>15</v>
      </c>
      <c r="C195" t="s">
        <v>403</v>
      </c>
      <c r="D195" t="s">
        <v>404</v>
      </c>
      <c r="E195" s="8">
        <v>46010</v>
      </c>
      <c r="F195">
        <v>7</v>
      </c>
      <c r="G195">
        <v>2990</v>
      </c>
      <c r="H195">
        <v>107000</v>
      </c>
      <c r="I195">
        <v>20540</v>
      </c>
      <c r="J195">
        <v>86460</v>
      </c>
      <c r="K195" t="s">
        <v>1635</v>
      </c>
      <c r="L195">
        <v>2990</v>
      </c>
      <c r="M195" t="s">
        <v>1635</v>
      </c>
      <c r="N195">
        <v>0</v>
      </c>
    </row>
    <row r="196" spans="1:14">
      <c r="A196">
        <v>1</v>
      </c>
      <c r="B196" t="s">
        <v>15</v>
      </c>
      <c r="C196" t="s">
        <v>409</v>
      </c>
      <c r="D196" t="s">
        <v>410</v>
      </c>
      <c r="E196" s="8">
        <v>46010</v>
      </c>
      <c r="F196">
        <v>7</v>
      </c>
      <c r="G196">
        <v>2898</v>
      </c>
      <c r="H196">
        <v>88101</v>
      </c>
      <c r="I196">
        <v>17388</v>
      </c>
      <c r="J196">
        <v>70713</v>
      </c>
      <c r="K196" t="s">
        <v>1635</v>
      </c>
      <c r="L196">
        <v>2898</v>
      </c>
      <c r="M196" t="s">
        <v>1635</v>
      </c>
      <c r="N196">
        <v>0</v>
      </c>
    </row>
    <row r="197" spans="1:14">
      <c r="A197">
        <v>1</v>
      </c>
      <c r="B197" t="s">
        <v>15</v>
      </c>
      <c r="C197" t="s">
        <v>411</v>
      </c>
      <c r="D197" t="s">
        <v>412</v>
      </c>
      <c r="E197" s="8">
        <v>46003</v>
      </c>
      <c r="F197">
        <v>7</v>
      </c>
      <c r="G197">
        <v>368</v>
      </c>
      <c r="H197">
        <v>9216</v>
      </c>
      <c r="I197">
        <v>3588</v>
      </c>
      <c r="J197">
        <v>5628</v>
      </c>
      <c r="K197" t="s">
        <v>1635</v>
      </c>
      <c r="L197">
        <v>368</v>
      </c>
      <c r="M197" t="s">
        <v>1635</v>
      </c>
      <c r="N197">
        <v>0</v>
      </c>
    </row>
    <row r="198" spans="1:14">
      <c r="A198">
        <v>1</v>
      </c>
      <c r="B198" t="s">
        <v>15</v>
      </c>
      <c r="C198" t="s">
        <v>413</v>
      </c>
      <c r="D198" t="s">
        <v>414</v>
      </c>
      <c r="E198" s="8">
        <v>46003</v>
      </c>
      <c r="F198">
        <v>7</v>
      </c>
      <c r="G198">
        <v>1734</v>
      </c>
      <c r="H198">
        <v>50000</v>
      </c>
      <c r="I198">
        <v>12138</v>
      </c>
      <c r="J198">
        <v>37862</v>
      </c>
      <c r="K198" t="s">
        <v>1635</v>
      </c>
      <c r="L198">
        <v>1734</v>
      </c>
      <c r="M198" t="s">
        <v>1635</v>
      </c>
      <c r="N198">
        <v>0</v>
      </c>
    </row>
    <row r="199" spans="1:14">
      <c r="A199">
        <v>1</v>
      </c>
      <c r="B199" t="s">
        <v>15</v>
      </c>
      <c r="C199" t="s">
        <v>419</v>
      </c>
      <c r="D199" t="s">
        <v>420</v>
      </c>
      <c r="E199" s="8">
        <v>46010</v>
      </c>
      <c r="F199">
        <v>7</v>
      </c>
      <c r="G199">
        <v>476</v>
      </c>
      <c r="H199">
        <v>8410</v>
      </c>
      <c r="I199">
        <v>3332</v>
      </c>
      <c r="J199">
        <v>5078</v>
      </c>
      <c r="K199" t="s">
        <v>1635</v>
      </c>
      <c r="L199">
        <v>476</v>
      </c>
      <c r="M199" t="s">
        <v>1635</v>
      </c>
      <c r="N199">
        <v>0</v>
      </c>
    </row>
    <row r="200" spans="1:14">
      <c r="A200">
        <v>1</v>
      </c>
      <c r="B200" t="s">
        <v>15</v>
      </c>
      <c r="C200" t="s">
        <v>423</v>
      </c>
      <c r="D200" t="s">
        <v>424</v>
      </c>
      <c r="E200" s="8">
        <v>46010</v>
      </c>
      <c r="F200">
        <v>7</v>
      </c>
      <c r="G200">
        <v>2160</v>
      </c>
      <c r="H200">
        <v>75570</v>
      </c>
      <c r="I200">
        <v>14955</v>
      </c>
      <c r="J200">
        <v>60615</v>
      </c>
      <c r="K200" t="s">
        <v>1635</v>
      </c>
      <c r="L200">
        <v>2160</v>
      </c>
      <c r="M200" t="s">
        <v>1635</v>
      </c>
      <c r="N200">
        <v>0</v>
      </c>
    </row>
    <row r="201" spans="1:14">
      <c r="A201">
        <v>1</v>
      </c>
      <c r="B201" t="s">
        <v>15</v>
      </c>
      <c r="C201" t="s">
        <v>439</v>
      </c>
      <c r="D201" t="s">
        <v>440</v>
      </c>
      <c r="E201" s="8">
        <v>46010</v>
      </c>
      <c r="F201">
        <v>7</v>
      </c>
      <c r="G201">
        <v>1083</v>
      </c>
      <c r="H201">
        <v>20000</v>
      </c>
      <c r="I201">
        <v>7581</v>
      </c>
      <c r="J201">
        <v>12419</v>
      </c>
      <c r="K201" t="s">
        <v>1635</v>
      </c>
      <c r="L201">
        <v>1083</v>
      </c>
      <c r="M201" t="s">
        <v>1635</v>
      </c>
      <c r="N201">
        <v>0</v>
      </c>
    </row>
    <row r="202" spans="1:14">
      <c r="A202">
        <v>1</v>
      </c>
      <c r="B202" t="s">
        <v>15</v>
      </c>
      <c r="C202" t="s">
        <v>441</v>
      </c>
      <c r="D202" t="s">
        <v>442</v>
      </c>
      <c r="E202" s="8">
        <v>46003</v>
      </c>
      <c r="F202">
        <v>7</v>
      </c>
      <c r="G202">
        <v>900</v>
      </c>
      <c r="H202">
        <v>79554</v>
      </c>
      <c r="I202">
        <v>14960</v>
      </c>
      <c r="J202">
        <v>64594</v>
      </c>
      <c r="K202" t="s">
        <v>1635</v>
      </c>
      <c r="L202">
        <v>900</v>
      </c>
      <c r="M202" t="s">
        <v>1635</v>
      </c>
      <c r="N202">
        <v>0</v>
      </c>
    </row>
    <row r="203" spans="1:14">
      <c r="A203">
        <v>1</v>
      </c>
      <c r="B203" t="s">
        <v>15</v>
      </c>
      <c r="C203" t="s">
        <v>445</v>
      </c>
      <c r="D203" t="s">
        <v>446</v>
      </c>
      <c r="E203" s="8">
        <v>46010</v>
      </c>
      <c r="F203">
        <v>7</v>
      </c>
      <c r="G203">
        <v>2520</v>
      </c>
      <c r="H203">
        <v>76666</v>
      </c>
      <c r="I203">
        <v>16800</v>
      </c>
      <c r="J203">
        <v>59866</v>
      </c>
      <c r="K203" t="s">
        <v>1635</v>
      </c>
      <c r="L203">
        <v>2520</v>
      </c>
      <c r="M203" t="s">
        <v>1635</v>
      </c>
      <c r="N203">
        <v>0</v>
      </c>
    </row>
    <row r="204" spans="1:14">
      <c r="A204">
        <v>1</v>
      </c>
      <c r="B204" t="s">
        <v>15</v>
      </c>
      <c r="C204" t="s">
        <v>457</v>
      </c>
      <c r="D204" t="s">
        <v>458</v>
      </c>
      <c r="E204" s="8">
        <v>46010</v>
      </c>
      <c r="F204">
        <v>7</v>
      </c>
      <c r="G204">
        <v>1763</v>
      </c>
      <c r="H204">
        <v>66238</v>
      </c>
      <c r="I204">
        <v>12118</v>
      </c>
      <c r="J204">
        <v>54120</v>
      </c>
      <c r="K204" t="s">
        <v>1635</v>
      </c>
      <c r="L204">
        <v>1763</v>
      </c>
      <c r="M204" t="s">
        <v>1635</v>
      </c>
      <c r="N204">
        <v>0</v>
      </c>
    </row>
    <row r="205" spans="1:14">
      <c r="A205">
        <v>1</v>
      </c>
      <c r="B205" t="s">
        <v>15</v>
      </c>
      <c r="C205" t="s">
        <v>473</v>
      </c>
      <c r="D205" t="s">
        <v>474</v>
      </c>
      <c r="E205" s="8">
        <v>46010</v>
      </c>
      <c r="F205">
        <v>7</v>
      </c>
      <c r="G205">
        <v>1311</v>
      </c>
      <c r="H205">
        <v>23863</v>
      </c>
      <c r="I205">
        <v>9177</v>
      </c>
      <c r="J205">
        <v>14686</v>
      </c>
      <c r="K205" t="s">
        <v>1635</v>
      </c>
      <c r="L205">
        <v>1311</v>
      </c>
      <c r="M205" t="s">
        <v>1635</v>
      </c>
      <c r="N205">
        <v>0</v>
      </c>
    </row>
    <row r="206" spans="1:14">
      <c r="A206">
        <v>1</v>
      </c>
      <c r="B206" t="s">
        <v>15</v>
      </c>
      <c r="C206" t="s">
        <v>475</v>
      </c>
      <c r="D206" t="s">
        <v>476</v>
      </c>
      <c r="E206" s="8">
        <v>46010</v>
      </c>
      <c r="F206">
        <v>7</v>
      </c>
      <c r="G206">
        <v>1566</v>
      </c>
      <c r="H206">
        <v>29297</v>
      </c>
      <c r="I206">
        <v>9744</v>
      </c>
      <c r="J206">
        <v>19553</v>
      </c>
      <c r="K206" t="s">
        <v>1635</v>
      </c>
      <c r="L206">
        <v>1566</v>
      </c>
      <c r="M206" t="s">
        <v>1635</v>
      </c>
      <c r="N206">
        <v>0</v>
      </c>
    </row>
    <row r="207" spans="1:14">
      <c r="A207">
        <v>1</v>
      </c>
      <c r="B207" t="s">
        <v>15</v>
      </c>
      <c r="C207" t="s">
        <v>533</v>
      </c>
      <c r="D207" t="s">
        <v>534</v>
      </c>
      <c r="E207" s="8">
        <v>46010</v>
      </c>
      <c r="F207">
        <v>7</v>
      </c>
      <c r="G207">
        <v>1250</v>
      </c>
      <c r="H207">
        <v>22478</v>
      </c>
      <c r="I207">
        <v>8750</v>
      </c>
      <c r="J207">
        <v>13728</v>
      </c>
      <c r="K207" t="s">
        <v>1635</v>
      </c>
      <c r="L207">
        <v>1250</v>
      </c>
      <c r="M207" t="s">
        <v>1635</v>
      </c>
      <c r="N207">
        <v>0</v>
      </c>
    </row>
    <row r="208" spans="1:14">
      <c r="A208">
        <v>1</v>
      </c>
      <c r="B208" t="s">
        <v>15</v>
      </c>
      <c r="C208" t="s">
        <v>634</v>
      </c>
      <c r="D208" t="s">
        <v>635</v>
      </c>
      <c r="E208" s="8">
        <v>46003</v>
      </c>
      <c r="F208">
        <v>7</v>
      </c>
      <c r="G208">
        <v>1399.92</v>
      </c>
      <c r="H208">
        <v>24606</v>
      </c>
      <c r="I208">
        <v>9799.44</v>
      </c>
      <c r="J208">
        <v>14806.56</v>
      </c>
      <c r="K208" t="s">
        <v>1635</v>
      </c>
      <c r="L208">
        <v>1399.92</v>
      </c>
      <c r="M208" t="s">
        <v>1635</v>
      </c>
      <c r="N208">
        <v>0</v>
      </c>
    </row>
    <row r="209" spans="1:14">
      <c r="A209">
        <v>1</v>
      </c>
      <c r="B209" t="s">
        <v>15</v>
      </c>
      <c r="C209" t="s">
        <v>647</v>
      </c>
      <c r="D209" t="s">
        <v>648</v>
      </c>
      <c r="E209" s="8">
        <v>46010</v>
      </c>
      <c r="F209">
        <v>7</v>
      </c>
      <c r="G209">
        <v>966</v>
      </c>
      <c r="H209">
        <v>17689</v>
      </c>
      <c r="I209">
        <v>6716</v>
      </c>
      <c r="J209">
        <v>10973</v>
      </c>
      <c r="K209" t="s">
        <v>1635</v>
      </c>
      <c r="L209">
        <v>966</v>
      </c>
      <c r="M209" t="s">
        <v>1635</v>
      </c>
      <c r="N209">
        <v>0</v>
      </c>
    </row>
    <row r="210" spans="1:14">
      <c r="A210">
        <v>1</v>
      </c>
      <c r="B210" t="s">
        <v>15</v>
      </c>
      <c r="C210" t="s">
        <v>682</v>
      </c>
      <c r="D210" t="s">
        <v>683</v>
      </c>
      <c r="E210" s="8">
        <v>46010</v>
      </c>
      <c r="F210">
        <v>7</v>
      </c>
      <c r="G210">
        <v>1339</v>
      </c>
      <c r="H210">
        <v>22342</v>
      </c>
      <c r="I210">
        <v>9373</v>
      </c>
      <c r="J210">
        <v>12969</v>
      </c>
      <c r="K210" t="s">
        <v>1635</v>
      </c>
      <c r="L210">
        <v>1339</v>
      </c>
      <c r="M210" t="s">
        <v>1635</v>
      </c>
      <c r="N210">
        <v>0</v>
      </c>
    </row>
    <row r="211" spans="1:14">
      <c r="A211">
        <v>1</v>
      </c>
      <c r="B211" t="s">
        <v>15</v>
      </c>
      <c r="C211" t="s">
        <v>16</v>
      </c>
      <c r="D211" t="s">
        <v>17</v>
      </c>
      <c r="E211" s="8">
        <v>46010</v>
      </c>
      <c r="F211">
        <v>8</v>
      </c>
      <c r="G211">
        <v>5830</v>
      </c>
      <c r="H211">
        <v>97419</v>
      </c>
      <c r="I211">
        <v>34980</v>
      </c>
      <c r="J211">
        <v>62439</v>
      </c>
      <c r="K211" t="s">
        <v>1635</v>
      </c>
      <c r="L211">
        <v>5830</v>
      </c>
      <c r="M211" t="s">
        <v>1635</v>
      </c>
      <c r="N211">
        <v>0</v>
      </c>
    </row>
    <row r="212" spans="1:14">
      <c r="A212">
        <v>1</v>
      </c>
      <c r="B212" t="s">
        <v>15</v>
      </c>
      <c r="C212" t="s">
        <v>96</v>
      </c>
      <c r="D212" t="s">
        <v>97</v>
      </c>
      <c r="E212" s="8">
        <v>46010</v>
      </c>
      <c r="F212">
        <v>8</v>
      </c>
      <c r="G212">
        <v>5740</v>
      </c>
      <c r="H212">
        <v>105000</v>
      </c>
      <c r="I212">
        <v>42980</v>
      </c>
      <c r="J212">
        <v>62020</v>
      </c>
      <c r="K212" t="s">
        <v>1635</v>
      </c>
      <c r="L212">
        <v>5740</v>
      </c>
      <c r="M212" t="s">
        <v>1635</v>
      </c>
      <c r="N212">
        <v>0</v>
      </c>
    </row>
    <row r="213" spans="1:14">
      <c r="A213">
        <v>1</v>
      </c>
      <c r="B213" t="s">
        <v>15</v>
      </c>
      <c r="C213" t="s">
        <v>314</v>
      </c>
      <c r="D213" t="s">
        <v>315</v>
      </c>
      <c r="E213" s="8">
        <v>46010</v>
      </c>
      <c r="F213">
        <v>8</v>
      </c>
      <c r="G213">
        <v>3710</v>
      </c>
      <c r="H213">
        <v>106791.67</v>
      </c>
      <c r="I213">
        <v>25970</v>
      </c>
      <c r="J213">
        <v>80821.67</v>
      </c>
      <c r="K213" t="s">
        <v>1635</v>
      </c>
      <c r="L213">
        <v>3710</v>
      </c>
      <c r="M213" t="s">
        <v>1635</v>
      </c>
      <c r="N213">
        <v>0</v>
      </c>
    </row>
    <row r="214" spans="1:14">
      <c r="A214">
        <v>1</v>
      </c>
      <c r="B214" t="s">
        <v>15</v>
      </c>
      <c r="C214" t="s">
        <v>336</v>
      </c>
      <c r="D214" t="s">
        <v>337</v>
      </c>
      <c r="E214" s="8">
        <v>46003</v>
      </c>
      <c r="F214">
        <v>8</v>
      </c>
      <c r="G214">
        <v>2400</v>
      </c>
      <c r="H214">
        <v>44000</v>
      </c>
      <c r="I214">
        <v>19200</v>
      </c>
      <c r="J214">
        <v>24800</v>
      </c>
      <c r="K214" t="s">
        <v>1635</v>
      </c>
      <c r="L214">
        <v>2400</v>
      </c>
      <c r="M214" t="s">
        <v>1635</v>
      </c>
      <c r="N214">
        <v>0</v>
      </c>
    </row>
    <row r="215" spans="1:14">
      <c r="A215">
        <v>1</v>
      </c>
      <c r="B215" t="s">
        <v>15</v>
      </c>
      <c r="C215" t="s">
        <v>344</v>
      </c>
      <c r="D215" t="s">
        <v>345</v>
      </c>
      <c r="E215" s="8">
        <v>46010</v>
      </c>
      <c r="F215">
        <v>8</v>
      </c>
      <c r="G215">
        <v>4230</v>
      </c>
      <c r="H215">
        <v>119000</v>
      </c>
      <c r="I215">
        <v>31540</v>
      </c>
      <c r="J215">
        <v>87460</v>
      </c>
      <c r="K215" t="s">
        <v>1635</v>
      </c>
      <c r="L215">
        <v>4230</v>
      </c>
      <c r="M215" t="s">
        <v>1635</v>
      </c>
      <c r="N215">
        <v>0</v>
      </c>
    </row>
    <row r="216" spans="1:14">
      <c r="A216">
        <v>1</v>
      </c>
      <c r="B216" t="s">
        <v>15</v>
      </c>
      <c r="C216" t="s">
        <v>481</v>
      </c>
      <c r="D216" t="s">
        <v>482</v>
      </c>
      <c r="E216" s="8">
        <v>46010</v>
      </c>
      <c r="F216">
        <v>8</v>
      </c>
      <c r="G216">
        <v>4636</v>
      </c>
      <c r="H216">
        <v>141000</v>
      </c>
      <c r="I216">
        <v>34792</v>
      </c>
      <c r="J216">
        <v>106208</v>
      </c>
      <c r="K216" t="s">
        <v>1635</v>
      </c>
      <c r="L216">
        <v>4636</v>
      </c>
      <c r="M216" t="s">
        <v>1635</v>
      </c>
      <c r="N216">
        <v>0</v>
      </c>
    </row>
    <row r="217" spans="1:14">
      <c r="A217">
        <v>1</v>
      </c>
      <c r="B217" t="s">
        <v>15</v>
      </c>
      <c r="C217" t="s">
        <v>24</v>
      </c>
      <c r="D217" t="s">
        <v>25</v>
      </c>
      <c r="E217" s="8">
        <v>46003</v>
      </c>
      <c r="F217">
        <v>9</v>
      </c>
      <c r="G217">
        <v>3465</v>
      </c>
      <c r="H217">
        <v>92990</v>
      </c>
      <c r="I217">
        <v>20790</v>
      </c>
      <c r="J217">
        <v>72200</v>
      </c>
      <c r="K217" t="s">
        <v>1635</v>
      </c>
      <c r="L217">
        <v>3465</v>
      </c>
      <c r="M217" t="s">
        <v>1635</v>
      </c>
      <c r="N217">
        <v>0</v>
      </c>
    </row>
    <row r="218" spans="1:14">
      <c r="A218">
        <v>1</v>
      </c>
      <c r="B218" t="s">
        <v>15</v>
      </c>
      <c r="C218" t="s">
        <v>312</v>
      </c>
      <c r="D218" t="s">
        <v>313</v>
      </c>
      <c r="E218" s="8">
        <v>46003</v>
      </c>
      <c r="F218">
        <v>9</v>
      </c>
      <c r="G218">
        <v>1782</v>
      </c>
      <c r="H218">
        <v>52000</v>
      </c>
      <c r="I218">
        <v>16038</v>
      </c>
      <c r="J218">
        <v>35962</v>
      </c>
      <c r="K218" t="s">
        <v>1635</v>
      </c>
      <c r="L218">
        <v>1782</v>
      </c>
      <c r="M218" t="s">
        <v>1635</v>
      </c>
      <c r="N218">
        <v>0</v>
      </c>
    </row>
    <row r="219" spans="1:14">
      <c r="A219">
        <v>1</v>
      </c>
      <c r="B219" t="s">
        <v>15</v>
      </c>
      <c r="C219" t="s">
        <v>20</v>
      </c>
      <c r="D219" t="s">
        <v>21</v>
      </c>
      <c r="E219" s="8">
        <v>46010</v>
      </c>
      <c r="F219">
        <v>11</v>
      </c>
      <c r="G219">
        <v>6885</v>
      </c>
      <c r="H219">
        <v>94060</v>
      </c>
      <c r="I219">
        <v>41310</v>
      </c>
      <c r="J219">
        <v>52750</v>
      </c>
      <c r="K219" t="s">
        <v>1635</v>
      </c>
      <c r="L219">
        <v>6885</v>
      </c>
      <c r="M219" t="s">
        <v>1635</v>
      </c>
      <c r="N219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377C-4B05-4116-99A6-C82E87A06B16}">
  <dimension ref="A1:N152"/>
  <sheetViews>
    <sheetView workbookViewId="0">
      <selection activeCell="K4" sqref="K4"/>
    </sheetView>
  </sheetViews>
  <sheetFormatPr baseColWidth="10" defaultColWidth="8.83203125" defaultRowHeight="14"/>
  <cols>
    <col min="2" max="2" width="31.5" bestFit="1" customWidth="1"/>
    <col min="3" max="3" width="18.33203125" bestFit="1" customWidth="1"/>
    <col min="4" max="4" width="13.83203125" bestFit="1" customWidth="1"/>
    <col min="5" max="5" width="18.33203125" bestFit="1" customWidth="1"/>
    <col min="6" max="6" width="11.6640625" bestFit="1" customWidth="1"/>
    <col min="7" max="8" width="20.5" bestFit="1" customWidth="1"/>
    <col min="9" max="10" width="18.33203125" bestFit="1" customWidth="1"/>
    <col min="11" max="11" width="13.83203125" bestFit="1" customWidth="1"/>
    <col min="12" max="12" width="18.33203125" bestFit="1" customWidth="1"/>
    <col min="13" max="13" width="13.8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304</v>
      </c>
      <c r="D2" t="s">
        <v>305</v>
      </c>
      <c r="E2" s="8">
        <v>46024</v>
      </c>
      <c r="F2">
        <v>4</v>
      </c>
      <c r="G2">
        <v>2470</v>
      </c>
      <c r="H2">
        <v>74000</v>
      </c>
      <c r="I2">
        <v>12350</v>
      </c>
      <c r="J2">
        <v>61650</v>
      </c>
      <c r="K2" t="s">
        <v>1635</v>
      </c>
      <c r="L2">
        <v>2470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18</v>
      </c>
      <c r="D3" t="s">
        <v>19</v>
      </c>
      <c r="E3" s="8">
        <v>46017</v>
      </c>
      <c r="F3">
        <v>5</v>
      </c>
      <c r="G3">
        <v>1211.33</v>
      </c>
      <c r="H3">
        <v>49162</v>
      </c>
      <c r="I3">
        <v>6056.65</v>
      </c>
      <c r="J3">
        <v>43105.35</v>
      </c>
      <c r="K3" t="s">
        <v>1635</v>
      </c>
      <c r="L3">
        <v>1211.33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22</v>
      </c>
      <c r="D4" t="s">
        <v>23</v>
      </c>
      <c r="E4" s="8">
        <v>46017</v>
      </c>
      <c r="F4">
        <v>5</v>
      </c>
      <c r="G4">
        <v>2420</v>
      </c>
      <c r="H4">
        <v>50000</v>
      </c>
      <c r="I4">
        <v>12100</v>
      </c>
      <c r="J4">
        <v>37900</v>
      </c>
      <c r="K4" t="s">
        <v>1635</v>
      </c>
      <c r="L4">
        <v>2420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28</v>
      </c>
      <c r="D5" t="s">
        <v>29</v>
      </c>
      <c r="E5" s="8">
        <v>46024</v>
      </c>
      <c r="F5">
        <v>5</v>
      </c>
      <c r="G5">
        <v>4160</v>
      </c>
      <c r="H5">
        <v>74642</v>
      </c>
      <c r="I5">
        <v>20800</v>
      </c>
      <c r="J5">
        <v>53842</v>
      </c>
      <c r="K5" t="s">
        <v>1635</v>
      </c>
      <c r="L5">
        <v>4160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30</v>
      </c>
      <c r="D6" t="s">
        <v>31</v>
      </c>
      <c r="E6" s="8">
        <v>46017</v>
      </c>
      <c r="F6">
        <v>5</v>
      </c>
      <c r="G6">
        <v>2835</v>
      </c>
      <c r="H6">
        <v>84000</v>
      </c>
      <c r="I6">
        <v>14175</v>
      </c>
      <c r="J6">
        <v>69825</v>
      </c>
      <c r="K6" t="s">
        <v>1635</v>
      </c>
      <c r="L6">
        <v>2835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48</v>
      </c>
      <c r="D7" t="s">
        <v>49</v>
      </c>
      <c r="E7" s="8">
        <v>46024</v>
      </c>
      <c r="F7">
        <v>5</v>
      </c>
      <c r="G7">
        <v>4625</v>
      </c>
      <c r="H7">
        <v>166113</v>
      </c>
      <c r="I7">
        <v>23125</v>
      </c>
      <c r="J7">
        <v>142988</v>
      </c>
      <c r="K7" t="s">
        <v>1635</v>
      </c>
      <c r="L7">
        <v>4625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50</v>
      </c>
      <c r="D8" t="s">
        <v>1642</v>
      </c>
      <c r="E8" s="8">
        <v>46017</v>
      </c>
      <c r="F8">
        <v>5</v>
      </c>
      <c r="G8">
        <v>4853.33</v>
      </c>
      <c r="H8">
        <v>98000</v>
      </c>
      <c r="I8">
        <v>24266.65</v>
      </c>
      <c r="J8">
        <v>73733.350000000006</v>
      </c>
      <c r="K8" t="s">
        <v>1635</v>
      </c>
      <c r="L8">
        <v>4853.33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51</v>
      </c>
      <c r="D9" t="s">
        <v>52</v>
      </c>
      <c r="E9" s="8">
        <v>46024</v>
      </c>
      <c r="F9">
        <v>5</v>
      </c>
      <c r="G9">
        <v>5035</v>
      </c>
      <c r="H9">
        <v>149000</v>
      </c>
      <c r="I9">
        <v>25175</v>
      </c>
      <c r="J9">
        <v>123825</v>
      </c>
      <c r="K9" t="s">
        <v>1635</v>
      </c>
      <c r="L9">
        <v>5035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223</v>
      </c>
      <c r="D10" t="s">
        <v>224</v>
      </c>
      <c r="E10" s="8">
        <v>46017</v>
      </c>
      <c r="F10">
        <v>5</v>
      </c>
      <c r="G10">
        <v>2800</v>
      </c>
      <c r="H10">
        <v>83560</v>
      </c>
      <c r="I10">
        <v>14000</v>
      </c>
      <c r="J10">
        <v>69560</v>
      </c>
      <c r="K10" t="s">
        <v>1635</v>
      </c>
      <c r="L10">
        <v>2800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244</v>
      </c>
      <c r="D11" t="s">
        <v>245</v>
      </c>
      <c r="E11" s="8">
        <v>46024</v>
      </c>
      <c r="F11">
        <v>5</v>
      </c>
      <c r="G11">
        <v>6952</v>
      </c>
      <c r="H11">
        <v>120000</v>
      </c>
      <c r="I11">
        <v>38430</v>
      </c>
      <c r="J11">
        <v>81570</v>
      </c>
      <c r="K11" t="s">
        <v>1635</v>
      </c>
      <c r="L11">
        <v>6952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264</v>
      </c>
      <c r="D12" t="s">
        <v>265</v>
      </c>
      <c r="E12" s="8">
        <v>46017</v>
      </c>
      <c r="F12">
        <v>5</v>
      </c>
      <c r="G12">
        <v>3850</v>
      </c>
      <c r="H12">
        <v>115960</v>
      </c>
      <c r="I12">
        <v>19250</v>
      </c>
      <c r="J12">
        <v>96710</v>
      </c>
      <c r="K12" t="s">
        <v>1635</v>
      </c>
      <c r="L12">
        <v>3850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298</v>
      </c>
      <c r="D13" t="s">
        <v>299</v>
      </c>
      <c r="E13" s="8">
        <v>46017</v>
      </c>
      <c r="F13">
        <v>5</v>
      </c>
      <c r="G13">
        <v>2856</v>
      </c>
      <c r="H13">
        <v>85872</v>
      </c>
      <c r="I13">
        <v>13917.33</v>
      </c>
      <c r="J13">
        <v>71954.67</v>
      </c>
      <c r="K13" t="s">
        <v>1635</v>
      </c>
      <c r="L13">
        <v>2856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479</v>
      </c>
      <c r="D14" t="s">
        <v>480</v>
      </c>
      <c r="E14" s="8">
        <v>46024</v>
      </c>
      <c r="F14">
        <v>5</v>
      </c>
      <c r="G14">
        <v>1118</v>
      </c>
      <c r="H14">
        <v>19456</v>
      </c>
      <c r="I14">
        <v>5590</v>
      </c>
      <c r="J14">
        <v>13866</v>
      </c>
      <c r="K14" t="s">
        <v>1635</v>
      </c>
      <c r="L14">
        <v>1118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529</v>
      </c>
      <c r="D15" t="s">
        <v>530</v>
      </c>
      <c r="E15" s="8">
        <v>46017</v>
      </c>
      <c r="F15">
        <v>5</v>
      </c>
      <c r="G15">
        <v>2970</v>
      </c>
      <c r="H15">
        <v>84000</v>
      </c>
      <c r="I15">
        <v>14850</v>
      </c>
      <c r="J15">
        <v>69150</v>
      </c>
      <c r="K15" t="s">
        <v>1635</v>
      </c>
      <c r="L15">
        <v>2970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537</v>
      </c>
      <c r="D16" t="s">
        <v>538</v>
      </c>
      <c r="E16" s="8">
        <v>46024</v>
      </c>
      <c r="F16">
        <v>5</v>
      </c>
      <c r="G16">
        <v>3472</v>
      </c>
      <c r="H16">
        <v>106500</v>
      </c>
      <c r="I16">
        <v>16318</v>
      </c>
      <c r="J16">
        <v>90182</v>
      </c>
      <c r="K16" t="s">
        <v>1635</v>
      </c>
      <c r="L16">
        <v>3472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588</v>
      </c>
      <c r="D17" t="s">
        <v>589</v>
      </c>
      <c r="E17" s="8">
        <v>46024</v>
      </c>
      <c r="F17">
        <v>5</v>
      </c>
      <c r="G17">
        <v>6624</v>
      </c>
      <c r="H17">
        <v>192989</v>
      </c>
      <c r="I17">
        <v>33120</v>
      </c>
      <c r="J17">
        <v>159869</v>
      </c>
      <c r="K17" t="s">
        <v>1635</v>
      </c>
      <c r="L17">
        <v>6624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592</v>
      </c>
      <c r="D18" t="s">
        <v>593</v>
      </c>
      <c r="E18" s="8">
        <v>46017</v>
      </c>
      <c r="F18">
        <v>5</v>
      </c>
      <c r="G18">
        <v>4466</v>
      </c>
      <c r="H18">
        <v>135000</v>
      </c>
      <c r="I18">
        <v>19934</v>
      </c>
      <c r="J18">
        <v>115066</v>
      </c>
      <c r="K18" t="s">
        <v>1635</v>
      </c>
      <c r="L18">
        <v>4466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642</v>
      </c>
      <c r="D19" t="s">
        <v>643</v>
      </c>
      <c r="E19" s="8">
        <v>46017</v>
      </c>
      <c r="F19">
        <v>5</v>
      </c>
      <c r="G19">
        <v>837</v>
      </c>
      <c r="H19">
        <v>15000</v>
      </c>
      <c r="I19">
        <v>4185</v>
      </c>
      <c r="J19">
        <v>10815</v>
      </c>
      <c r="K19" t="s">
        <v>1635</v>
      </c>
      <c r="L19">
        <v>837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644</v>
      </c>
      <c r="D20" t="s">
        <v>645</v>
      </c>
      <c r="E20" s="8">
        <v>46024</v>
      </c>
      <c r="F20">
        <v>5</v>
      </c>
      <c r="G20">
        <v>864</v>
      </c>
      <c r="H20">
        <v>15000</v>
      </c>
      <c r="I20">
        <v>4320</v>
      </c>
      <c r="J20">
        <v>10680</v>
      </c>
      <c r="K20" t="s">
        <v>1635</v>
      </c>
      <c r="L20">
        <v>864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655</v>
      </c>
      <c r="D21" t="s">
        <v>656</v>
      </c>
      <c r="E21" s="8">
        <v>46017</v>
      </c>
      <c r="F21">
        <v>5</v>
      </c>
      <c r="G21">
        <v>3200</v>
      </c>
      <c r="H21">
        <v>97000</v>
      </c>
      <c r="I21">
        <v>14800</v>
      </c>
      <c r="J21">
        <v>82200</v>
      </c>
      <c r="K21" t="s">
        <v>1635</v>
      </c>
      <c r="L21">
        <v>3200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690</v>
      </c>
      <c r="D22" t="s">
        <v>691</v>
      </c>
      <c r="E22" s="8">
        <v>46017</v>
      </c>
      <c r="F22">
        <v>5</v>
      </c>
      <c r="G22">
        <v>2970</v>
      </c>
      <c r="H22">
        <v>92468</v>
      </c>
      <c r="I22">
        <v>14520</v>
      </c>
      <c r="J22">
        <v>77948</v>
      </c>
      <c r="K22" t="s">
        <v>1635</v>
      </c>
      <c r="L22">
        <v>2970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706</v>
      </c>
      <c r="D23" t="s">
        <v>1654</v>
      </c>
      <c r="E23" s="8">
        <v>46017</v>
      </c>
      <c r="F23">
        <v>5</v>
      </c>
      <c r="G23">
        <v>2784</v>
      </c>
      <c r="H23">
        <v>82721</v>
      </c>
      <c r="I23">
        <v>13056</v>
      </c>
      <c r="J23">
        <v>69665</v>
      </c>
      <c r="K23" t="s">
        <v>1635</v>
      </c>
      <c r="L23">
        <v>2784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709</v>
      </c>
      <c r="D24" t="s">
        <v>710</v>
      </c>
      <c r="E24" s="8">
        <v>46017</v>
      </c>
      <c r="F24">
        <v>5</v>
      </c>
      <c r="G24">
        <v>4500</v>
      </c>
      <c r="H24">
        <v>134461</v>
      </c>
      <c r="I24">
        <v>20000</v>
      </c>
      <c r="J24">
        <v>114461</v>
      </c>
      <c r="K24" t="s">
        <v>1635</v>
      </c>
      <c r="L24">
        <v>4500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721</v>
      </c>
      <c r="D25" t="s">
        <v>722</v>
      </c>
      <c r="E25" s="8">
        <v>46024</v>
      </c>
      <c r="F25">
        <v>5</v>
      </c>
      <c r="G25">
        <v>4263</v>
      </c>
      <c r="H25">
        <v>122888</v>
      </c>
      <c r="I25">
        <v>20167</v>
      </c>
      <c r="J25">
        <v>102721</v>
      </c>
      <c r="K25" t="s">
        <v>1635</v>
      </c>
      <c r="L25">
        <v>4263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747</v>
      </c>
      <c r="D26" t="s">
        <v>748</v>
      </c>
      <c r="E26" s="8">
        <v>46017</v>
      </c>
      <c r="F26">
        <v>5</v>
      </c>
      <c r="G26">
        <v>2610</v>
      </c>
      <c r="H26">
        <v>75000</v>
      </c>
      <c r="I26">
        <v>12315</v>
      </c>
      <c r="J26">
        <v>62685</v>
      </c>
      <c r="K26" t="s">
        <v>1635</v>
      </c>
      <c r="L26">
        <v>2610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753</v>
      </c>
      <c r="D27" t="s">
        <v>754</v>
      </c>
      <c r="E27" s="8">
        <v>46024</v>
      </c>
      <c r="F27">
        <v>5</v>
      </c>
      <c r="G27">
        <v>7150</v>
      </c>
      <c r="H27">
        <v>212390</v>
      </c>
      <c r="I27">
        <v>33000</v>
      </c>
      <c r="J27">
        <v>179390</v>
      </c>
      <c r="K27" t="s">
        <v>1635</v>
      </c>
      <c r="L27">
        <v>7150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755</v>
      </c>
      <c r="D28" t="s">
        <v>756</v>
      </c>
      <c r="E28" s="8">
        <v>46024</v>
      </c>
      <c r="F28">
        <v>5</v>
      </c>
      <c r="G28">
        <v>4346</v>
      </c>
      <c r="H28">
        <v>129820</v>
      </c>
      <c r="I28">
        <v>19554</v>
      </c>
      <c r="J28">
        <v>110266</v>
      </c>
      <c r="K28" t="s">
        <v>1635</v>
      </c>
      <c r="L28">
        <v>4346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763</v>
      </c>
      <c r="D29" t="s">
        <v>764</v>
      </c>
      <c r="E29" s="8">
        <v>46024</v>
      </c>
      <c r="F29">
        <v>5</v>
      </c>
      <c r="G29">
        <v>3402</v>
      </c>
      <c r="H29">
        <v>103000</v>
      </c>
      <c r="I29">
        <v>15768</v>
      </c>
      <c r="J29">
        <v>87232</v>
      </c>
      <c r="K29" t="s">
        <v>1635</v>
      </c>
      <c r="L29">
        <v>3402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765</v>
      </c>
      <c r="D30" t="s">
        <v>766</v>
      </c>
      <c r="E30" s="8">
        <v>46017</v>
      </c>
      <c r="F30">
        <v>5</v>
      </c>
      <c r="G30">
        <v>3960</v>
      </c>
      <c r="H30">
        <v>118145</v>
      </c>
      <c r="I30">
        <v>18480</v>
      </c>
      <c r="J30">
        <v>99665</v>
      </c>
      <c r="K30" t="s">
        <v>1635</v>
      </c>
      <c r="L30">
        <v>3960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774</v>
      </c>
      <c r="D31" t="s">
        <v>775</v>
      </c>
      <c r="E31" s="8">
        <v>46017</v>
      </c>
      <c r="F31">
        <v>5</v>
      </c>
      <c r="G31">
        <v>2664</v>
      </c>
      <c r="H31">
        <v>77000</v>
      </c>
      <c r="I31">
        <v>12186</v>
      </c>
      <c r="J31">
        <v>64814</v>
      </c>
      <c r="K31" t="s">
        <v>1635</v>
      </c>
      <c r="L31">
        <v>2664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780</v>
      </c>
      <c r="D32" t="s">
        <v>781</v>
      </c>
      <c r="E32" s="8">
        <v>46017</v>
      </c>
      <c r="F32">
        <v>5</v>
      </c>
      <c r="G32">
        <v>4500</v>
      </c>
      <c r="H32">
        <v>106935</v>
      </c>
      <c r="I32">
        <v>20100</v>
      </c>
      <c r="J32">
        <v>86835</v>
      </c>
      <c r="K32" t="s">
        <v>1635</v>
      </c>
      <c r="L32">
        <v>4500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782</v>
      </c>
      <c r="D33" t="s">
        <v>783</v>
      </c>
      <c r="E33" s="8">
        <v>46024</v>
      </c>
      <c r="F33">
        <v>5</v>
      </c>
      <c r="G33">
        <v>4400</v>
      </c>
      <c r="H33">
        <v>81000</v>
      </c>
      <c r="I33">
        <v>19600</v>
      </c>
      <c r="J33">
        <v>61400</v>
      </c>
      <c r="K33" t="s">
        <v>1635</v>
      </c>
      <c r="L33">
        <v>4400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786</v>
      </c>
      <c r="D34" t="s">
        <v>787</v>
      </c>
      <c r="E34" s="8">
        <v>46024</v>
      </c>
      <c r="F34">
        <v>5</v>
      </c>
      <c r="G34">
        <v>2790</v>
      </c>
      <c r="H34">
        <v>85000</v>
      </c>
      <c r="I34">
        <v>12960</v>
      </c>
      <c r="J34">
        <v>72040</v>
      </c>
      <c r="K34" t="s">
        <v>1635</v>
      </c>
      <c r="L34">
        <v>2790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788</v>
      </c>
      <c r="D35" t="s">
        <v>789</v>
      </c>
      <c r="E35" s="8">
        <v>46024</v>
      </c>
      <c r="F35">
        <v>5</v>
      </c>
      <c r="G35">
        <v>3010</v>
      </c>
      <c r="H35">
        <v>87928</v>
      </c>
      <c r="I35">
        <v>13810</v>
      </c>
      <c r="J35">
        <v>74118</v>
      </c>
      <c r="K35" t="s">
        <v>1635</v>
      </c>
      <c r="L35">
        <v>3010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800</v>
      </c>
      <c r="D36" t="s">
        <v>801</v>
      </c>
      <c r="E36" s="8">
        <v>46017</v>
      </c>
      <c r="F36">
        <v>5</v>
      </c>
      <c r="G36">
        <v>3960</v>
      </c>
      <c r="H36">
        <v>115000</v>
      </c>
      <c r="I36">
        <v>18340</v>
      </c>
      <c r="J36">
        <v>96660</v>
      </c>
      <c r="K36" t="s">
        <v>1635</v>
      </c>
      <c r="L36">
        <v>3960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804</v>
      </c>
      <c r="D37" t="s">
        <v>805</v>
      </c>
      <c r="E37" s="8">
        <v>46017</v>
      </c>
      <c r="F37">
        <v>5</v>
      </c>
      <c r="G37">
        <v>2806</v>
      </c>
      <c r="H37">
        <v>88000</v>
      </c>
      <c r="I37">
        <v>13064</v>
      </c>
      <c r="J37">
        <v>74936</v>
      </c>
      <c r="K37" t="s">
        <v>1635</v>
      </c>
      <c r="L37">
        <v>2806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808</v>
      </c>
      <c r="D38" t="s">
        <v>809</v>
      </c>
      <c r="E38" s="8">
        <v>46024</v>
      </c>
      <c r="F38">
        <v>5</v>
      </c>
      <c r="G38">
        <v>2772</v>
      </c>
      <c r="H38">
        <v>84000</v>
      </c>
      <c r="I38">
        <v>12768</v>
      </c>
      <c r="J38">
        <v>71232</v>
      </c>
      <c r="K38" t="s">
        <v>1635</v>
      </c>
      <c r="L38">
        <v>2772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810</v>
      </c>
      <c r="D39" t="s">
        <v>811</v>
      </c>
      <c r="E39" s="8">
        <v>46024</v>
      </c>
      <c r="F39">
        <v>5</v>
      </c>
      <c r="G39">
        <v>4503</v>
      </c>
      <c r="H39">
        <v>128888</v>
      </c>
      <c r="I39">
        <v>20392</v>
      </c>
      <c r="J39">
        <v>108496</v>
      </c>
      <c r="K39" t="s">
        <v>1635</v>
      </c>
      <c r="L39">
        <v>4503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59</v>
      </c>
      <c r="D40" t="s">
        <v>60</v>
      </c>
      <c r="E40" s="8">
        <v>46024</v>
      </c>
      <c r="F40">
        <v>6</v>
      </c>
      <c r="G40">
        <v>4897</v>
      </c>
      <c r="H40">
        <v>87339</v>
      </c>
      <c r="I40">
        <v>28425.9899999999</v>
      </c>
      <c r="J40">
        <v>58913.01</v>
      </c>
      <c r="K40" t="s">
        <v>1635</v>
      </c>
      <c r="L40">
        <v>4897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69</v>
      </c>
      <c r="D41" t="s">
        <v>70</v>
      </c>
      <c r="E41" s="8">
        <v>46017</v>
      </c>
      <c r="F41">
        <v>6</v>
      </c>
      <c r="G41">
        <v>2800</v>
      </c>
      <c r="H41">
        <v>95231</v>
      </c>
      <c r="I41">
        <v>16700</v>
      </c>
      <c r="J41">
        <v>78531</v>
      </c>
      <c r="K41" t="s">
        <v>1635</v>
      </c>
      <c r="L41">
        <v>2800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153</v>
      </c>
      <c r="D42" t="s">
        <v>154</v>
      </c>
      <c r="E42" s="8">
        <v>46017</v>
      </c>
      <c r="F42">
        <v>6</v>
      </c>
      <c r="G42">
        <v>3306</v>
      </c>
      <c r="H42">
        <v>100000</v>
      </c>
      <c r="I42">
        <v>19836</v>
      </c>
      <c r="J42">
        <v>80164</v>
      </c>
      <c r="K42" t="s">
        <v>1635</v>
      </c>
      <c r="L42">
        <v>3306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181</v>
      </c>
      <c r="D43" t="s">
        <v>182</v>
      </c>
      <c r="E43" s="8">
        <v>46017</v>
      </c>
      <c r="F43">
        <v>6</v>
      </c>
      <c r="G43">
        <v>4600</v>
      </c>
      <c r="H43">
        <v>84886</v>
      </c>
      <c r="I43">
        <v>27000</v>
      </c>
      <c r="J43">
        <v>57886</v>
      </c>
      <c r="K43" t="s">
        <v>1635</v>
      </c>
      <c r="L43">
        <v>4600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189</v>
      </c>
      <c r="D44" t="s">
        <v>190</v>
      </c>
      <c r="E44" s="8">
        <v>46024</v>
      </c>
      <c r="F44">
        <v>6</v>
      </c>
      <c r="G44">
        <v>3750</v>
      </c>
      <c r="H44">
        <v>88000</v>
      </c>
      <c r="I44">
        <v>22500</v>
      </c>
      <c r="J44">
        <v>65500</v>
      </c>
      <c r="K44" t="s">
        <v>1635</v>
      </c>
      <c r="L44">
        <v>3750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205</v>
      </c>
      <c r="D45" t="s">
        <v>206</v>
      </c>
      <c r="E45" s="8">
        <v>46024</v>
      </c>
      <c r="F45">
        <v>6</v>
      </c>
      <c r="G45">
        <v>5805</v>
      </c>
      <c r="H45">
        <v>172980</v>
      </c>
      <c r="I45">
        <v>33225</v>
      </c>
      <c r="J45">
        <v>139755</v>
      </c>
      <c r="K45" t="s">
        <v>1635</v>
      </c>
      <c r="L45">
        <v>5805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207</v>
      </c>
      <c r="D46" t="s">
        <v>208</v>
      </c>
      <c r="E46" s="8">
        <v>46017</v>
      </c>
      <c r="F46">
        <v>6</v>
      </c>
      <c r="G46">
        <v>2360</v>
      </c>
      <c r="H46">
        <v>73000</v>
      </c>
      <c r="I46">
        <v>13863.33</v>
      </c>
      <c r="J46">
        <v>59136.67</v>
      </c>
      <c r="K46" t="s">
        <v>1635</v>
      </c>
      <c r="L46">
        <v>2360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219</v>
      </c>
      <c r="D47" t="s">
        <v>220</v>
      </c>
      <c r="E47" s="8">
        <v>46017</v>
      </c>
      <c r="F47">
        <v>6</v>
      </c>
      <c r="G47">
        <v>3914</v>
      </c>
      <c r="H47">
        <v>73000</v>
      </c>
      <c r="I47">
        <v>23484</v>
      </c>
      <c r="J47">
        <v>49516</v>
      </c>
      <c r="K47" t="s">
        <v>1635</v>
      </c>
      <c r="L47">
        <v>3914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227</v>
      </c>
      <c r="D48" t="s">
        <v>228</v>
      </c>
      <c r="E48" s="8">
        <v>46024</v>
      </c>
      <c r="F48">
        <v>6</v>
      </c>
      <c r="G48">
        <v>2652</v>
      </c>
      <c r="H48">
        <v>79976</v>
      </c>
      <c r="I48">
        <v>15912</v>
      </c>
      <c r="J48">
        <v>64064</v>
      </c>
      <c r="K48" t="s">
        <v>1635</v>
      </c>
      <c r="L48">
        <v>2652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233</v>
      </c>
      <c r="D49" t="s">
        <v>1645</v>
      </c>
      <c r="E49" s="8">
        <v>46017</v>
      </c>
      <c r="F49">
        <v>6</v>
      </c>
      <c r="G49">
        <v>4320</v>
      </c>
      <c r="H49">
        <v>80000</v>
      </c>
      <c r="I49">
        <v>23520</v>
      </c>
      <c r="J49">
        <v>56480</v>
      </c>
      <c r="K49" t="s">
        <v>1635</v>
      </c>
      <c r="L49">
        <v>4320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242</v>
      </c>
      <c r="D50" t="s">
        <v>243</v>
      </c>
      <c r="E50" s="8">
        <v>46017</v>
      </c>
      <c r="F50">
        <v>6</v>
      </c>
      <c r="G50">
        <v>2886</v>
      </c>
      <c r="H50">
        <v>84677</v>
      </c>
      <c r="I50">
        <v>17316</v>
      </c>
      <c r="J50">
        <v>67361</v>
      </c>
      <c r="K50" t="s">
        <v>1635</v>
      </c>
      <c r="L50">
        <v>2886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246</v>
      </c>
      <c r="D51" t="s">
        <v>247</v>
      </c>
      <c r="E51" s="8">
        <v>46024</v>
      </c>
      <c r="F51">
        <v>6</v>
      </c>
      <c r="G51">
        <v>2756</v>
      </c>
      <c r="H51">
        <v>83985</v>
      </c>
      <c r="I51">
        <v>15686.67</v>
      </c>
      <c r="J51">
        <v>68298.33</v>
      </c>
      <c r="K51" t="s">
        <v>1635</v>
      </c>
      <c r="L51">
        <v>2756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256</v>
      </c>
      <c r="D52" t="s">
        <v>257</v>
      </c>
      <c r="E52" s="8">
        <v>46024</v>
      </c>
      <c r="F52">
        <v>6</v>
      </c>
      <c r="G52">
        <v>3375</v>
      </c>
      <c r="H52">
        <v>105000</v>
      </c>
      <c r="I52">
        <v>20250</v>
      </c>
      <c r="J52">
        <v>84750</v>
      </c>
      <c r="K52" t="s">
        <v>1635</v>
      </c>
      <c r="L52">
        <v>3375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258</v>
      </c>
      <c r="D53" t="s">
        <v>259</v>
      </c>
      <c r="E53" s="8">
        <v>46024</v>
      </c>
      <c r="F53">
        <v>6</v>
      </c>
      <c r="G53">
        <v>4307</v>
      </c>
      <c r="H53">
        <v>79553</v>
      </c>
      <c r="I53">
        <v>24211.67</v>
      </c>
      <c r="J53">
        <v>55341.33</v>
      </c>
      <c r="K53" t="s">
        <v>1635</v>
      </c>
      <c r="L53">
        <v>4307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280</v>
      </c>
      <c r="D54" t="s">
        <v>281</v>
      </c>
      <c r="E54" s="8">
        <v>46024</v>
      </c>
      <c r="F54">
        <v>6</v>
      </c>
      <c r="G54">
        <v>3180</v>
      </c>
      <c r="H54">
        <v>95000</v>
      </c>
      <c r="I54">
        <v>17981.669999999998</v>
      </c>
      <c r="J54">
        <v>77018.33</v>
      </c>
      <c r="K54" t="s">
        <v>1635</v>
      </c>
      <c r="L54">
        <v>3180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330</v>
      </c>
      <c r="D55" t="s">
        <v>331</v>
      </c>
      <c r="E55" s="8">
        <v>46017</v>
      </c>
      <c r="F55">
        <v>6</v>
      </c>
      <c r="G55">
        <v>3519</v>
      </c>
      <c r="H55">
        <v>102530</v>
      </c>
      <c r="I55">
        <v>21114</v>
      </c>
      <c r="J55">
        <v>81416</v>
      </c>
      <c r="K55" t="s">
        <v>1635</v>
      </c>
      <c r="L55">
        <v>3519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425</v>
      </c>
      <c r="D56" t="s">
        <v>426</v>
      </c>
      <c r="E56" s="8">
        <v>46024</v>
      </c>
      <c r="F56">
        <v>6</v>
      </c>
      <c r="G56">
        <v>2714</v>
      </c>
      <c r="H56">
        <v>89000</v>
      </c>
      <c r="I56">
        <v>15410</v>
      </c>
      <c r="J56">
        <v>73590</v>
      </c>
      <c r="K56" t="s">
        <v>1635</v>
      </c>
      <c r="L56">
        <v>2714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497</v>
      </c>
      <c r="D57" t="s">
        <v>498</v>
      </c>
      <c r="E57" s="8">
        <v>46017</v>
      </c>
      <c r="F57">
        <v>6</v>
      </c>
      <c r="G57">
        <v>1679</v>
      </c>
      <c r="H57">
        <v>30363</v>
      </c>
      <c r="I57">
        <v>10074</v>
      </c>
      <c r="J57">
        <v>20289</v>
      </c>
      <c r="K57" t="s">
        <v>1635</v>
      </c>
      <c r="L57">
        <v>1679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543</v>
      </c>
      <c r="D58" t="s">
        <v>1647</v>
      </c>
      <c r="E58" s="8">
        <v>46017</v>
      </c>
      <c r="F58">
        <v>6</v>
      </c>
      <c r="G58">
        <v>1428</v>
      </c>
      <c r="H58">
        <v>26555</v>
      </c>
      <c r="I58">
        <v>8568</v>
      </c>
      <c r="J58">
        <v>17987</v>
      </c>
      <c r="K58" t="s">
        <v>1635</v>
      </c>
      <c r="L58">
        <v>1428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556</v>
      </c>
      <c r="D59" t="s">
        <v>557</v>
      </c>
      <c r="E59" s="8">
        <v>46024</v>
      </c>
      <c r="F59">
        <v>6</v>
      </c>
      <c r="G59">
        <v>3050</v>
      </c>
      <c r="H59">
        <v>91016</v>
      </c>
      <c r="I59">
        <v>17250</v>
      </c>
      <c r="J59">
        <v>73766</v>
      </c>
      <c r="K59" t="s">
        <v>1635</v>
      </c>
      <c r="L59">
        <v>3050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564</v>
      </c>
      <c r="D60" t="s">
        <v>565</v>
      </c>
      <c r="E60" s="8">
        <v>46024</v>
      </c>
      <c r="F60">
        <v>6</v>
      </c>
      <c r="G60">
        <v>1560</v>
      </c>
      <c r="H60">
        <v>27722</v>
      </c>
      <c r="I60">
        <v>9360</v>
      </c>
      <c r="J60">
        <v>18362</v>
      </c>
      <c r="K60" t="s">
        <v>1635</v>
      </c>
      <c r="L60">
        <v>1560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577</v>
      </c>
      <c r="D61" t="s">
        <v>578</v>
      </c>
      <c r="E61" s="8">
        <v>46017</v>
      </c>
      <c r="F61">
        <v>6</v>
      </c>
      <c r="G61">
        <v>2800</v>
      </c>
      <c r="H61">
        <v>179000</v>
      </c>
      <c r="I61">
        <v>30398</v>
      </c>
      <c r="J61">
        <v>148602</v>
      </c>
      <c r="K61" t="s">
        <v>1635</v>
      </c>
      <c r="L61">
        <v>2800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584</v>
      </c>
      <c r="D62" t="s">
        <v>585</v>
      </c>
      <c r="E62" s="8">
        <v>46017</v>
      </c>
      <c r="F62">
        <v>6</v>
      </c>
      <c r="G62">
        <v>3024</v>
      </c>
      <c r="H62">
        <v>86995</v>
      </c>
      <c r="I62">
        <v>16900</v>
      </c>
      <c r="J62">
        <v>70095</v>
      </c>
      <c r="K62" t="s">
        <v>1635</v>
      </c>
      <c r="L62">
        <v>3024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602</v>
      </c>
      <c r="D63" t="s">
        <v>603</v>
      </c>
      <c r="E63" s="8">
        <v>46024</v>
      </c>
      <c r="F63">
        <v>6</v>
      </c>
      <c r="G63">
        <v>2814</v>
      </c>
      <c r="H63">
        <v>95414</v>
      </c>
      <c r="I63">
        <v>16884</v>
      </c>
      <c r="J63">
        <v>78530</v>
      </c>
      <c r="K63" t="s">
        <v>1635</v>
      </c>
      <c r="L63">
        <v>2814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611</v>
      </c>
      <c r="D64" t="s">
        <v>612</v>
      </c>
      <c r="E64" s="8">
        <v>46024</v>
      </c>
      <c r="F64">
        <v>6</v>
      </c>
      <c r="G64">
        <v>3034</v>
      </c>
      <c r="H64">
        <v>91593</v>
      </c>
      <c r="I64">
        <v>16810</v>
      </c>
      <c r="J64">
        <v>74783</v>
      </c>
      <c r="K64" t="s">
        <v>1635</v>
      </c>
      <c r="L64">
        <v>3034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613</v>
      </c>
      <c r="D65" t="s">
        <v>614</v>
      </c>
      <c r="E65" s="8">
        <v>46024</v>
      </c>
      <c r="F65">
        <v>6</v>
      </c>
      <c r="G65">
        <v>3278.5</v>
      </c>
      <c r="H65">
        <v>96397</v>
      </c>
      <c r="I65">
        <v>18102.5</v>
      </c>
      <c r="J65">
        <v>78294.5</v>
      </c>
      <c r="K65" t="s">
        <v>1635</v>
      </c>
      <c r="L65">
        <v>3278.5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628</v>
      </c>
      <c r="D66" t="s">
        <v>629</v>
      </c>
      <c r="E66" s="8">
        <v>46024</v>
      </c>
      <c r="F66">
        <v>6</v>
      </c>
      <c r="G66">
        <v>3640</v>
      </c>
      <c r="H66">
        <v>107767</v>
      </c>
      <c r="I66">
        <v>20280</v>
      </c>
      <c r="J66">
        <v>87487</v>
      </c>
      <c r="K66" t="s">
        <v>1635</v>
      </c>
      <c r="L66">
        <v>3640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630</v>
      </c>
      <c r="D67" t="s">
        <v>631</v>
      </c>
      <c r="E67" s="8">
        <v>46017</v>
      </c>
      <c r="F67">
        <v>6</v>
      </c>
      <c r="G67">
        <v>3772</v>
      </c>
      <c r="H67">
        <v>107350</v>
      </c>
      <c r="I67">
        <v>20850</v>
      </c>
      <c r="J67">
        <v>86500</v>
      </c>
      <c r="K67" t="s">
        <v>1635</v>
      </c>
      <c r="L67">
        <v>3772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681</v>
      </c>
      <c r="D68" t="s">
        <v>1653</v>
      </c>
      <c r="E68" s="8">
        <v>46017</v>
      </c>
      <c r="F68">
        <v>6</v>
      </c>
      <c r="G68">
        <v>2496</v>
      </c>
      <c r="H68">
        <v>75452</v>
      </c>
      <c r="I68">
        <v>14400</v>
      </c>
      <c r="J68">
        <v>61052</v>
      </c>
      <c r="K68" t="s">
        <v>1635</v>
      </c>
      <c r="L68">
        <v>2496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696</v>
      </c>
      <c r="D69" t="s">
        <v>697</v>
      </c>
      <c r="E69" s="8">
        <v>46024</v>
      </c>
      <c r="F69">
        <v>6</v>
      </c>
      <c r="G69">
        <v>3116</v>
      </c>
      <c r="H69">
        <v>94000</v>
      </c>
      <c r="I69">
        <v>17220</v>
      </c>
      <c r="J69">
        <v>76780</v>
      </c>
      <c r="K69" t="s">
        <v>1635</v>
      </c>
      <c r="L69">
        <v>3116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702</v>
      </c>
      <c r="D70" t="s">
        <v>703</v>
      </c>
      <c r="E70" s="8">
        <v>46024</v>
      </c>
      <c r="F70">
        <v>6</v>
      </c>
      <c r="G70">
        <v>3486</v>
      </c>
      <c r="H70">
        <v>98800</v>
      </c>
      <c r="I70">
        <v>19210</v>
      </c>
      <c r="J70">
        <v>79590</v>
      </c>
      <c r="K70" t="s">
        <v>1635</v>
      </c>
      <c r="L70">
        <v>3486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711</v>
      </c>
      <c r="D71" t="s">
        <v>712</v>
      </c>
      <c r="E71" s="8">
        <v>46024</v>
      </c>
      <c r="F71">
        <v>6</v>
      </c>
      <c r="G71">
        <v>3432</v>
      </c>
      <c r="H71">
        <v>99877</v>
      </c>
      <c r="I71">
        <v>19020</v>
      </c>
      <c r="J71">
        <v>80857</v>
      </c>
      <c r="K71" t="s">
        <v>1635</v>
      </c>
      <c r="L71">
        <v>3432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717</v>
      </c>
      <c r="D72" t="s">
        <v>718</v>
      </c>
      <c r="E72" s="8">
        <v>46024</v>
      </c>
      <c r="F72">
        <v>6</v>
      </c>
      <c r="G72">
        <v>4785</v>
      </c>
      <c r="H72">
        <v>142410</v>
      </c>
      <c r="I72">
        <v>26125</v>
      </c>
      <c r="J72">
        <v>116285</v>
      </c>
      <c r="K72" t="s">
        <v>1635</v>
      </c>
      <c r="L72">
        <v>4785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741</v>
      </c>
      <c r="D73" t="s">
        <v>742</v>
      </c>
      <c r="E73" s="8">
        <v>46024</v>
      </c>
      <c r="F73">
        <v>6</v>
      </c>
      <c r="G73">
        <v>2982</v>
      </c>
      <c r="H73">
        <v>86000</v>
      </c>
      <c r="I73">
        <v>16690</v>
      </c>
      <c r="J73">
        <v>69310</v>
      </c>
      <c r="K73" t="s">
        <v>1635</v>
      </c>
      <c r="L73">
        <v>2982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773</v>
      </c>
      <c r="D74" t="s">
        <v>1655</v>
      </c>
      <c r="E74" s="8">
        <v>46017</v>
      </c>
      <c r="F74">
        <v>6</v>
      </c>
      <c r="G74">
        <v>1290</v>
      </c>
      <c r="H74">
        <v>22711</v>
      </c>
      <c r="I74">
        <v>7740</v>
      </c>
      <c r="J74">
        <v>14971</v>
      </c>
      <c r="K74" t="s">
        <v>1635</v>
      </c>
      <c r="L74">
        <v>1290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820</v>
      </c>
      <c r="D75" t="s">
        <v>821</v>
      </c>
      <c r="E75" s="8">
        <v>46024</v>
      </c>
      <c r="F75">
        <v>6</v>
      </c>
      <c r="G75">
        <v>1920</v>
      </c>
      <c r="H75">
        <v>34750</v>
      </c>
      <c r="I75">
        <v>11520</v>
      </c>
      <c r="J75">
        <v>23230</v>
      </c>
      <c r="K75" t="s">
        <v>1635</v>
      </c>
      <c r="L75">
        <v>1920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40</v>
      </c>
      <c r="D76" t="s">
        <v>41</v>
      </c>
      <c r="E76" s="8">
        <v>46017</v>
      </c>
      <c r="F76">
        <v>7</v>
      </c>
      <c r="G76">
        <v>1840</v>
      </c>
      <c r="H76">
        <v>55000</v>
      </c>
      <c r="I76">
        <v>12880</v>
      </c>
      <c r="J76">
        <v>42120</v>
      </c>
      <c r="K76" t="s">
        <v>1635</v>
      </c>
      <c r="L76">
        <v>1840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42</v>
      </c>
      <c r="D77" t="s">
        <v>43</v>
      </c>
      <c r="E77" s="8">
        <v>46024</v>
      </c>
      <c r="F77">
        <v>7</v>
      </c>
      <c r="G77">
        <v>2000</v>
      </c>
      <c r="H77">
        <v>55000</v>
      </c>
      <c r="I77">
        <v>14000</v>
      </c>
      <c r="J77">
        <v>41000</v>
      </c>
      <c r="K77" t="s">
        <v>1635</v>
      </c>
      <c r="L77">
        <v>2000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44</v>
      </c>
      <c r="D78" t="s">
        <v>45</v>
      </c>
      <c r="E78" s="8">
        <v>46024</v>
      </c>
      <c r="F78">
        <v>7</v>
      </c>
      <c r="G78">
        <v>1456</v>
      </c>
      <c r="H78">
        <v>43600</v>
      </c>
      <c r="I78">
        <v>10192</v>
      </c>
      <c r="J78">
        <v>33408</v>
      </c>
      <c r="K78" t="s">
        <v>1635</v>
      </c>
      <c r="L78">
        <v>1456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57</v>
      </c>
      <c r="D79" t="s">
        <v>58</v>
      </c>
      <c r="E79" s="8">
        <v>46017</v>
      </c>
      <c r="F79">
        <v>7</v>
      </c>
      <c r="G79">
        <v>5400</v>
      </c>
      <c r="H79">
        <v>160000</v>
      </c>
      <c r="I79">
        <v>37800</v>
      </c>
      <c r="J79">
        <v>122200</v>
      </c>
      <c r="K79" t="s">
        <v>1635</v>
      </c>
      <c r="L79">
        <v>5400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65</v>
      </c>
      <c r="D80" t="s">
        <v>66</v>
      </c>
      <c r="E80" s="8">
        <v>46017</v>
      </c>
      <c r="F80">
        <v>7</v>
      </c>
      <c r="G80">
        <v>3800</v>
      </c>
      <c r="H80">
        <v>106200</v>
      </c>
      <c r="I80">
        <v>22800</v>
      </c>
      <c r="J80">
        <v>83400</v>
      </c>
      <c r="K80" t="s">
        <v>1635</v>
      </c>
      <c r="L80">
        <v>3800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95</v>
      </c>
      <c r="D81" t="s">
        <v>1643</v>
      </c>
      <c r="E81" s="8">
        <v>46017</v>
      </c>
      <c r="F81">
        <v>7</v>
      </c>
      <c r="G81">
        <v>2700</v>
      </c>
      <c r="H81">
        <v>80000</v>
      </c>
      <c r="I81">
        <v>18900</v>
      </c>
      <c r="J81">
        <v>61100</v>
      </c>
      <c r="K81" t="s">
        <v>1635</v>
      </c>
      <c r="L81">
        <v>2700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110</v>
      </c>
      <c r="D82" t="s">
        <v>1644</v>
      </c>
      <c r="E82" s="8">
        <v>46017</v>
      </c>
      <c r="F82">
        <v>7</v>
      </c>
      <c r="G82">
        <v>3901</v>
      </c>
      <c r="H82">
        <v>73000</v>
      </c>
      <c r="I82">
        <v>26626</v>
      </c>
      <c r="J82">
        <v>46374</v>
      </c>
      <c r="K82" t="s">
        <v>1635</v>
      </c>
      <c r="L82">
        <v>3901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111</v>
      </c>
      <c r="D83" t="s">
        <v>112</v>
      </c>
      <c r="E83" s="8">
        <v>46024</v>
      </c>
      <c r="F83">
        <v>7</v>
      </c>
      <c r="G83">
        <v>2210</v>
      </c>
      <c r="H83">
        <v>78900</v>
      </c>
      <c r="I83">
        <v>15470</v>
      </c>
      <c r="J83">
        <v>63430</v>
      </c>
      <c r="K83" t="s">
        <v>1635</v>
      </c>
      <c r="L83">
        <v>2210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119</v>
      </c>
      <c r="D84" t="s">
        <v>120</v>
      </c>
      <c r="E84" s="8">
        <v>46017</v>
      </c>
      <c r="F84">
        <v>7</v>
      </c>
      <c r="G84">
        <v>3280</v>
      </c>
      <c r="H84">
        <v>95000</v>
      </c>
      <c r="I84">
        <v>22960</v>
      </c>
      <c r="J84">
        <v>72040</v>
      </c>
      <c r="K84" t="s">
        <v>1635</v>
      </c>
      <c r="L84">
        <v>3280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121</v>
      </c>
      <c r="D85" t="s">
        <v>122</v>
      </c>
      <c r="E85" s="8">
        <v>46017</v>
      </c>
      <c r="F85">
        <v>7</v>
      </c>
      <c r="G85">
        <v>3995</v>
      </c>
      <c r="H85">
        <v>73818</v>
      </c>
      <c r="I85">
        <v>27086.67</v>
      </c>
      <c r="J85">
        <v>46731.33</v>
      </c>
      <c r="K85" t="s">
        <v>1635</v>
      </c>
      <c r="L85">
        <v>3995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127</v>
      </c>
      <c r="D86" t="s">
        <v>128</v>
      </c>
      <c r="E86" s="8">
        <v>46024</v>
      </c>
      <c r="F86">
        <v>7</v>
      </c>
      <c r="G86">
        <v>3000</v>
      </c>
      <c r="H86">
        <v>89318</v>
      </c>
      <c r="I86">
        <v>20750</v>
      </c>
      <c r="J86">
        <v>68568</v>
      </c>
      <c r="K86" t="s">
        <v>1635</v>
      </c>
      <c r="L86">
        <v>3000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135</v>
      </c>
      <c r="D87" t="s">
        <v>136</v>
      </c>
      <c r="E87" s="8">
        <v>46017</v>
      </c>
      <c r="F87">
        <v>7</v>
      </c>
      <c r="G87">
        <v>5244</v>
      </c>
      <c r="H87">
        <v>98888</v>
      </c>
      <c r="I87">
        <v>34150.67</v>
      </c>
      <c r="J87">
        <v>64737.33</v>
      </c>
      <c r="K87" t="s">
        <v>1635</v>
      </c>
      <c r="L87">
        <v>5244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137</v>
      </c>
      <c r="D88" t="s">
        <v>138</v>
      </c>
      <c r="E88" s="8">
        <v>46024</v>
      </c>
      <c r="F88">
        <v>7</v>
      </c>
      <c r="G88">
        <v>4664</v>
      </c>
      <c r="H88">
        <v>140559</v>
      </c>
      <c r="I88">
        <v>31504</v>
      </c>
      <c r="J88">
        <v>109055</v>
      </c>
      <c r="K88" t="s">
        <v>1635</v>
      </c>
      <c r="L88">
        <v>4664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139</v>
      </c>
      <c r="D89" t="s">
        <v>140</v>
      </c>
      <c r="E89" s="8">
        <v>46024</v>
      </c>
      <c r="F89">
        <v>7</v>
      </c>
      <c r="G89">
        <v>5382</v>
      </c>
      <c r="H89">
        <v>98888</v>
      </c>
      <c r="I89">
        <v>35152</v>
      </c>
      <c r="J89">
        <v>63736</v>
      </c>
      <c r="K89" t="s">
        <v>1635</v>
      </c>
      <c r="L89">
        <v>5382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141</v>
      </c>
      <c r="D90" t="s">
        <v>142</v>
      </c>
      <c r="E90" s="8">
        <v>46024</v>
      </c>
      <c r="F90">
        <v>7</v>
      </c>
      <c r="G90">
        <v>5382</v>
      </c>
      <c r="H90">
        <v>98888</v>
      </c>
      <c r="I90">
        <v>35152</v>
      </c>
      <c r="J90">
        <v>63736</v>
      </c>
      <c r="K90" t="s">
        <v>1635</v>
      </c>
      <c r="L90">
        <v>5382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143</v>
      </c>
      <c r="D91" t="s">
        <v>144</v>
      </c>
      <c r="E91" s="8">
        <v>46024</v>
      </c>
      <c r="F91">
        <v>7</v>
      </c>
      <c r="G91">
        <v>5704</v>
      </c>
      <c r="H91">
        <v>108000</v>
      </c>
      <c r="I91">
        <v>37600.67</v>
      </c>
      <c r="J91">
        <v>70399.33</v>
      </c>
      <c r="K91" t="s">
        <v>1635</v>
      </c>
      <c r="L91">
        <v>5704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157</v>
      </c>
      <c r="D92" t="s">
        <v>158</v>
      </c>
      <c r="E92" s="8">
        <v>46024</v>
      </c>
      <c r="F92">
        <v>7</v>
      </c>
      <c r="G92">
        <v>2970</v>
      </c>
      <c r="H92">
        <v>89244</v>
      </c>
      <c r="I92">
        <v>20790</v>
      </c>
      <c r="J92">
        <v>68454</v>
      </c>
      <c r="K92" t="s">
        <v>1635</v>
      </c>
      <c r="L92">
        <v>2970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161</v>
      </c>
      <c r="D93" t="s">
        <v>162</v>
      </c>
      <c r="E93" s="8">
        <v>46017</v>
      </c>
      <c r="F93">
        <v>7</v>
      </c>
      <c r="G93">
        <v>2862</v>
      </c>
      <c r="H93">
        <v>86000</v>
      </c>
      <c r="I93">
        <v>19292</v>
      </c>
      <c r="J93">
        <v>66708</v>
      </c>
      <c r="K93" t="s">
        <v>1635</v>
      </c>
      <c r="L93">
        <v>2862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171</v>
      </c>
      <c r="D94" t="s">
        <v>172</v>
      </c>
      <c r="E94" s="8">
        <v>46024</v>
      </c>
      <c r="F94">
        <v>7</v>
      </c>
      <c r="G94">
        <v>5635</v>
      </c>
      <c r="H94">
        <v>169978</v>
      </c>
      <c r="I94">
        <v>38026.67</v>
      </c>
      <c r="J94">
        <v>131951.32999999999</v>
      </c>
      <c r="K94" t="s">
        <v>1635</v>
      </c>
      <c r="L94">
        <v>5635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173</v>
      </c>
      <c r="D95" t="s">
        <v>174</v>
      </c>
      <c r="E95" s="8">
        <v>46024</v>
      </c>
      <c r="F95">
        <v>7</v>
      </c>
      <c r="G95">
        <v>3024</v>
      </c>
      <c r="H95">
        <v>94861</v>
      </c>
      <c r="I95">
        <v>19964</v>
      </c>
      <c r="J95">
        <v>74897</v>
      </c>
      <c r="K95" t="s">
        <v>1635</v>
      </c>
      <c r="L95">
        <v>3024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187</v>
      </c>
      <c r="D96" t="s">
        <v>188</v>
      </c>
      <c r="E96" s="8">
        <v>46024</v>
      </c>
      <c r="F96">
        <v>7</v>
      </c>
      <c r="G96">
        <v>2263</v>
      </c>
      <c r="H96">
        <v>73000</v>
      </c>
      <c r="I96">
        <v>13106</v>
      </c>
      <c r="J96">
        <v>59894</v>
      </c>
      <c r="K96" t="s">
        <v>1635</v>
      </c>
      <c r="L96">
        <v>2263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195</v>
      </c>
      <c r="D97" t="s">
        <v>196</v>
      </c>
      <c r="E97" s="8">
        <v>46024</v>
      </c>
      <c r="F97">
        <v>7</v>
      </c>
      <c r="G97">
        <v>2340</v>
      </c>
      <c r="H97">
        <v>69800</v>
      </c>
      <c r="I97">
        <v>16380</v>
      </c>
      <c r="J97">
        <v>53420</v>
      </c>
      <c r="K97" t="s">
        <v>1635</v>
      </c>
      <c r="L97">
        <v>2340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225</v>
      </c>
      <c r="D98" t="s">
        <v>226</v>
      </c>
      <c r="E98" s="8">
        <v>46024</v>
      </c>
      <c r="F98">
        <v>7</v>
      </c>
      <c r="G98">
        <v>4860</v>
      </c>
      <c r="H98">
        <v>92000</v>
      </c>
      <c r="I98">
        <v>31370</v>
      </c>
      <c r="J98">
        <v>60630</v>
      </c>
      <c r="K98" t="s">
        <v>1635</v>
      </c>
      <c r="L98">
        <v>4860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229</v>
      </c>
      <c r="D99" t="s">
        <v>230</v>
      </c>
      <c r="E99" s="8">
        <v>46024</v>
      </c>
      <c r="F99">
        <v>7</v>
      </c>
      <c r="G99">
        <v>4200</v>
      </c>
      <c r="H99">
        <v>77000</v>
      </c>
      <c r="I99">
        <v>27500</v>
      </c>
      <c r="J99">
        <v>49500</v>
      </c>
      <c r="K99" t="s">
        <v>1635</v>
      </c>
      <c r="L99">
        <v>4200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308</v>
      </c>
      <c r="D100" t="s">
        <v>309</v>
      </c>
      <c r="E100" s="8">
        <v>46024</v>
      </c>
      <c r="F100">
        <v>7</v>
      </c>
      <c r="G100">
        <v>2808</v>
      </c>
      <c r="H100">
        <v>88414</v>
      </c>
      <c r="I100">
        <v>18928</v>
      </c>
      <c r="J100">
        <v>69486</v>
      </c>
      <c r="K100" t="s">
        <v>1635</v>
      </c>
      <c r="L100">
        <v>2808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332</v>
      </c>
      <c r="D101" t="s">
        <v>333</v>
      </c>
      <c r="E101" s="8">
        <v>46024</v>
      </c>
      <c r="F101">
        <v>7</v>
      </c>
      <c r="G101">
        <v>3840</v>
      </c>
      <c r="H101">
        <v>130500</v>
      </c>
      <c r="I101">
        <v>24550</v>
      </c>
      <c r="J101">
        <v>105950</v>
      </c>
      <c r="K101" t="s">
        <v>1635</v>
      </c>
      <c r="L101">
        <v>3840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338</v>
      </c>
      <c r="D102" t="s">
        <v>339</v>
      </c>
      <c r="E102" s="8">
        <v>46024</v>
      </c>
      <c r="F102">
        <v>7</v>
      </c>
      <c r="G102">
        <v>3060</v>
      </c>
      <c r="H102">
        <v>92000</v>
      </c>
      <c r="I102">
        <v>21420</v>
      </c>
      <c r="J102">
        <v>70580</v>
      </c>
      <c r="K102" t="s">
        <v>1635</v>
      </c>
      <c r="L102">
        <v>3060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352</v>
      </c>
      <c r="D103" t="s">
        <v>353</v>
      </c>
      <c r="E103" s="8">
        <v>46017</v>
      </c>
      <c r="F103">
        <v>7</v>
      </c>
      <c r="G103">
        <v>3250</v>
      </c>
      <c r="H103">
        <v>97686</v>
      </c>
      <c r="I103">
        <v>21500</v>
      </c>
      <c r="J103">
        <v>76186</v>
      </c>
      <c r="K103" t="s">
        <v>1635</v>
      </c>
      <c r="L103">
        <v>3250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366</v>
      </c>
      <c r="D104" t="s">
        <v>367</v>
      </c>
      <c r="E104" s="8">
        <v>46017</v>
      </c>
      <c r="F104">
        <v>7</v>
      </c>
      <c r="G104">
        <v>3016</v>
      </c>
      <c r="H104">
        <v>104008</v>
      </c>
      <c r="I104">
        <v>20276</v>
      </c>
      <c r="J104">
        <v>83732</v>
      </c>
      <c r="K104" t="s">
        <v>1635</v>
      </c>
      <c r="L104">
        <v>3016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372</v>
      </c>
      <c r="D105" t="s">
        <v>1646</v>
      </c>
      <c r="E105" s="8">
        <v>46017</v>
      </c>
      <c r="F105">
        <v>7</v>
      </c>
      <c r="G105">
        <v>4015</v>
      </c>
      <c r="H105">
        <v>121169</v>
      </c>
      <c r="I105">
        <v>26290</v>
      </c>
      <c r="J105">
        <v>94879</v>
      </c>
      <c r="K105" t="s">
        <v>1635</v>
      </c>
      <c r="L105">
        <v>4015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375</v>
      </c>
      <c r="D106" t="s">
        <v>376</v>
      </c>
      <c r="E106" s="8">
        <v>46017</v>
      </c>
      <c r="F106">
        <v>7</v>
      </c>
      <c r="G106">
        <v>2652</v>
      </c>
      <c r="H106">
        <v>77033</v>
      </c>
      <c r="I106">
        <v>18564</v>
      </c>
      <c r="J106">
        <v>58469</v>
      </c>
      <c r="K106" t="s">
        <v>1635</v>
      </c>
      <c r="L106">
        <v>2652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379</v>
      </c>
      <c r="D107" t="s">
        <v>380</v>
      </c>
      <c r="E107" s="8">
        <v>46024</v>
      </c>
      <c r="F107">
        <v>7</v>
      </c>
      <c r="G107">
        <v>2000</v>
      </c>
      <c r="H107">
        <v>33828</v>
      </c>
      <c r="I107">
        <v>12000</v>
      </c>
      <c r="J107">
        <v>21828</v>
      </c>
      <c r="K107" t="s">
        <v>1635</v>
      </c>
      <c r="L107">
        <v>2000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393</v>
      </c>
      <c r="D108" t="s">
        <v>394</v>
      </c>
      <c r="E108" s="8">
        <v>46024</v>
      </c>
      <c r="F108">
        <v>7</v>
      </c>
      <c r="G108">
        <v>2585</v>
      </c>
      <c r="H108">
        <v>93000</v>
      </c>
      <c r="I108">
        <v>17710</v>
      </c>
      <c r="J108">
        <v>75290</v>
      </c>
      <c r="K108" t="s">
        <v>1635</v>
      </c>
      <c r="L108">
        <v>2585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395</v>
      </c>
      <c r="D109" t="s">
        <v>396</v>
      </c>
      <c r="E109" s="8">
        <v>46024</v>
      </c>
      <c r="F109">
        <v>7</v>
      </c>
      <c r="G109">
        <v>1512</v>
      </c>
      <c r="H109">
        <v>27000</v>
      </c>
      <c r="I109">
        <v>10584</v>
      </c>
      <c r="J109">
        <v>16416</v>
      </c>
      <c r="K109" t="s">
        <v>1635</v>
      </c>
      <c r="L109">
        <v>1512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397</v>
      </c>
      <c r="D110" t="s">
        <v>398</v>
      </c>
      <c r="E110" s="8">
        <v>46024</v>
      </c>
      <c r="F110">
        <v>7</v>
      </c>
      <c r="G110">
        <v>2800</v>
      </c>
      <c r="H110">
        <v>84713</v>
      </c>
      <c r="I110">
        <v>18400</v>
      </c>
      <c r="J110">
        <v>66313</v>
      </c>
      <c r="K110" t="s">
        <v>1635</v>
      </c>
      <c r="L110">
        <v>2800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399</v>
      </c>
      <c r="D111" t="s">
        <v>400</v>
      </c>
      <c r="E111" s="8">
        <v>46024</v>
      </c>
      <c r="F111">
        <v>7</v>
      </c>
      <c r="G111">
        <v>3080</v>
      </c>
      <c r="H111">
        <v>91000</v>
      </c>
      <c r="I111">
        <v>21560</v>
      </c>
      <c r="J111">
        <v>69440</v>
      </c>
      <c r="K111" t="s">
        <v>1635</v>
      </c>
      <c r="L111">
        <v>3080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417</v>
      </c>
      <c r="D112" t="s">
        <v>418</v>
      </c>
      <c r="E112" s="8">
        <v>46024</v>
      </c>
      <c r="F112">
        <v>7</v>
      </c>
      <c r="G112">
        <v>1500</v>
      </c>
      <c r="H112">
        <v>26749</v>
      </c>
      <c r="I112">
        <v>10500</v>
      </c>
      <c r="J112">
        <v>16249</v>
      </c>
      <c r="K112" t="s">
        <v>1635</v>
      </c>
      <c r="L112">
        <v>1500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421</v>
      </c>
      <c r="D113" t="s">
        <v>422</v>
      </c>
      <c r="E113" s="8">
        <v>46024</v>
      </c>
      <c r="F113">
        <v>7</v>
      </c>
      <c r="G113">
        <v>4100</v>
      </c>
      <c r="H113">
        <v>70000</v>
      </c>
      <c r="I113">
        <v>26659</v>
      </c>
      <c r="J113">
        <v>43341</v>
      </c>
      <c r="K113" t="s">
        <v>1635</v>
      </c>
      <c r="L113">
        <v>4100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435</v>
      </c>
      <c r="D114" t="s">
        <v>436</v>
      </c>
      <c r="E114" s="8">
        <v>46024</v>
      </c>
      <c r="F114">
        <v>7</v>
      </c>
      <c r="G114">
        <v>826</v>
      </c>
      <c r="H114">
        <v>22053</v>
      </c>
      <c r="I114">
        <v>5782</v>
      </c>
      <c r="J114">
        <v>16271</v>
      </c>
      <c r="K114" t="s">
        <v>1635</v>
      </c>
      <c r="L114">
        <v>826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437</v>
      </c>
      <c r="D115" t="s">
        <v>438</v>
      </c>
      <c r="E115" s="8">
        <v>46024</v>
      </c>
      <c r="F115">
        <v>7</v>
      </c>
      <c r="G115">
        <v>3525</v>
      </c>
      <c r="H115">
        <v>105878</v>
      </c>
      <c r="I115">
        <v>24150</v>
      </c>
      <c r="J115">
        <v>81728</v>
      </c>
      <c r="K115" t="s">
        <v>1635</v>
      </c>
      <c r="L115">
        <v>3525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447</v>
      </c>
      <c r="D116" t="s">
        <v>448</v>
      </c>
      <c r="E116" s="8">
        <v>46017</v>
      </c>
      <c r="F116">
        <v>7</v>
      </c>
      <c r="G116">
        <v>2385</v>
      </c>
      <c r="H116">
        <v>71000</v>
      </c>
      <c r="I116">
        <v>16480</v>
      </c>
      <c r="J116">
        <v>54520</v>
      </c>
      <c r="K116" t="s">
        <v>1635</v>
      </c>
      <c r="L116">
        <v>2385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449</v>
      </c>
      <c r="D117" t="s">
        <v>450</v>
      </c>
      <c r="E117" s="8">
        <v>46024</v>
      </c>
      <c r="F117">
        <v>7</v>
      </c>
      <c r="G117">
        <v>1920</v>
      </c>
      <c r="H117">
        <v>69900</v>
      </c>
      <c r="I117">
        <v>13120</v>
      </c>
      <c r="J117">
        <v>56780</v>
      </c>
      <c r="K117" t="s">
        <v>1635</v>
      </c>
      <c r="L117">
        <v>1920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451</v>
      </c>
      <c r="D118" t="s">
        <v>452</v>
      </c>
      <c r="E118" s="8">
        <v>46024</v>
      </c>
      <c r="F118">
        <v>7</v>
      </c>
      <c r="G118">
        <v>2960</v>
      </c>
      <c r="H118">
        <v>106836</v>
      </c>
      <c r="I118">
        <v>17720</v>
      </c>
      <c r="J118">
        <v>89116</v>
      </c>
      <c r="K118" t="s">
        <v>1635</v>
      </c>
      <c r="L118">
        <v>2960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461</v>
      </c>
      <c r="D119" t="s">
        <v>462</v>
      </c>
      <c r="E119" s="8">
        <v>46024</v>
      </c>
      <c r="F119">
        <v>7</v>
      </c>
      <c r="G119">
        <v>2700</v>
      </c>
      <c r="H119">
        <v>78259</v>
      </c>
      <c r="I119">
        <v>18460</v>
      </c>
      <c r="J119">
        <v>59799</v>
      </c>
      <c r="K119" t="s">
        <v>1635</v>
      </c>
      <c r="L119">
        <v>2700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463</v>
      </c>
      <c r="D120" t="s">
        <v>464</v>
      </c>
      <c r="E120" s="8">
        <v>46017</v>
      </c>
      <c r="F120">
        <v>7</v>
      </c>
      <c r="G120">
        <v>3692</v>
      </c>
      <c r="H120">
        <v>112197</v>
      </c>
      <c r="I120">
        <v>24232</v>
      </c>
      <c r="J120">
        <v>87965</v>
      </c>
      <c r="K120" t="s">
        <v>1635</v>
      </c>
      <c r="L120">
        <v>3692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471</v>
      </c>
      <c r="D121" t="s">
        <v>472</v>
      </c>
      <c r="E121" s="8">
        <v>46017</v>
      </c>
      <c r="F121">
        <v>7</v>
      </c>
      <c r="G121">
        <v>3870</v>
      </c>
      <c r="H121">
        <v>118000</v>
      </c>
      <c r="I121">
        <v>25020</v>
      </c>
      <c r="J121">
        <v>92980</v>
      </c>
      <c r="K121" t="s">
        <v>1635</v>
      </c>
      <c r="L121">
        <v>3870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491</v>
      </c>
      <c r="D122" t="s">
        <v>492</v>
      </c>
      <c r="E122" s="8">
        <v>46017</v>
      </c>
      <c r="F122">
        <v>7</v>
      </c>
      <c r="G122">
        <v>1410</v>
      </c>
      <c r="H122">
        <v>132000</v>
      </c>
      <c r="I122">
        <v>25710</v>
      </c>
      <c r="J122">
        <v>106290</v>
      </c>
      <c r="K122" t="s">
        <v>1635</v>
      </c>
      <c r="L122">
        <v>1410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495</v>
      </c>
      <c r="D123" t="s">
        <v>496</v>
      </c>
      <c r="E123" s="8">
        <v>46024</v>
      </c>
      <c r="F123">
        <v>7</v>
      </c>
      <c r="G123">
        <v>1365</v>
      </c>
      <c r="H123">
        <v>24963</v>
      </c>
      <c r="I123">
        <v>9555</v>
      </c>
      <c r="J123">
        <v>15408</v>
      </c>
      <c r="K123" t="s">
        <v>1635</v>
      </c>
      <c r="L123">
        <v>1365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501</v>
      </c>
      <c r="D124" t="s">
        <v>502</v>
      </c>
      <c r="E124" s="8">
        <v>46024</v>
      </c>
      <c r="F124">
        <v>7</v>
      </c>
      <c r="G124">
        <v>3300</v>
      </c>
      <c r="H124">
        <v>99900</v>
      </c>
      <c r="I124">
        <v>22200</v>
      </c>
      <c r="J124">
        <v>77700</v>
      </c>
      <c r="K124" t="s">
        <v>1635</v>
      </c>
      <c r="L124">
        <v>3300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511</v>
      </c>
      <c r="D125" t="s">
        <v>512</v>
      </c>
      <c r="E125" s="8">
        <v>46024</v>
      </c>
      <c r="F125">
        <v>7</v>
      </c>
      <c r="G125">
        <v>2967</v>
      </c>
      <c r="H125">
        <v>90192</v>
      </c>
      <c r="I125">
        <v>19522</v>
      </c>
      <c r="J125">
        <v>70670</v>
      </c>
      <c r="K125" t="s">
        <v>1635</v>
      </c>
      <c r="L125">
        <v>2967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515</v>
      </c>
      <c r="D126" t="s">
        <v>516</v>
      </c>
      <c r="E126" s="8">
        <v>46024</v>
      </c>
      <c r="F126">
        <v>7</v>
      </c>
      <c r="G126">
        <v>2800</v>
      </c>
      <c r="H126">
        <v>50038</v>
      </c>
      <c r="I126">
        <v>19600</v>
      </c>
      <c r="J126">
        <v>30438</v>
      </c>
      <c r="K126" t="s">
        <v>1635</v>
      </c>
      <c r="L126">
        <v>2800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517</v>
      </c>
      <c r="D127" t="s">
        <v>518</v>
      </c>
      <c r="E127" s="8">
        <v>46024</v>
      </c>
      <c r="F127">
        <v>7</v>
      </c>
      <c r="G127">
        <v>2500</v>
      </c>
      <c r="H127">
        <v>44480</v>
      </c>
      <c r="I127">
        <v>15000</v>
      </c>
      <c r="J127">
        <v>29480</v>
      </c>
      <c r="K127" t="s">
        <v>1635</v>
      </c>
      <c r="L127">
        <v>2500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525</v>
      </c>
      <c r="D128" t="s">
        <v>526</v>
      </c>
      <c r="E128" s="8">
        <v>46017</v>
      </c>
      <c r="F128">
        <v>7</v>
      </c>
      <c r="G128">
        <v>1540</v>
      </c>
      <c r="H128">
        <v>27578</v>
      </c>
      <c r="I128">
        <v>10780</v>
      </c>
      <c r="J128">
        <v>16798</v>
      </c>
      <c r="K128" t="s">
        <v>1635</v>
      </c>
      <c r="L128">
        <v>1540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535</v>
      </c>
      <c r="D129" t="s">
        <v>536</v>
      </c>
      <c r="E129" s="8">
        <v>46024</v>
      </c>
      <c r="F129">
        <v>7</v>
      </c>
      <c r="G129">
        <v>3256</v>
      </c>
      <c r="H129">
        <v>98799</v>
      </c>
      <c r="I129">
        <v>21016</v>
      </c>
      <c r="J129">
        <v>77783</v>
      </c>
      <c r="K129" t="s">
        <v>1635</v>
      </c>
      <c r="L129">
        <v>3256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596</v>
      </c>
      <c r="D130" t="s">
        <v>597</v>
      </c>
      <c r="E130" s="8">
        <v>46024</v>
      </c>
      <c r="F130">
        <v>7</v>
      </c>
      <c r="G130">
        <v>3567</v>
      </c>
      <c r="H130">
        <v>107595</v>
      </c>
      <c r="I130">
        <v>23092</v>
      </c>
      <c r="J130">
        <v>84503</v>
      </c>
      <c r="K130" t="s">
        <v>1635</v>
      </c>
      <c r="L130">
        <v>3567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606</v>
      </c>
      <c r="D131" t="s">
        <v>1650</v>
      </c>
      <c r="E131" s="8">
        <v>46017</v>
      </c>
      <c r="F131">
        <v>7</v>
      </c>
      <c r="G131">
        <v>1080</v>
      </c>
      <c r="H131">
        <v>19087</v>
      </c>
      <c r="I131">
        <v>7560</v>
      </c>
      <c r="J131">
        <v>11527</v>
      </c>
      <c r="K131" t="s">
        <v>1635</v>
      </c>
      <c r="L131">
        <v>1080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609</v>
      </c>
      <c r="D132" t="s">
        <v>610</v>
      </c>
      <c r="E132" s="8">
        <v>46024</v>
      </c>
      <c r="F132">
        <v>7</v>
      </c>
      <c r="G132">
        <v>2541</v>
      </c>
      <c r="H132">
        <v>77000</v>
      </c>
      <c r="I132">
        <v>14916</v>
      </c>
      <c r="J132">
        <v>62084</v>
      </c>
      <c r="K132" t="s">
        <v>1635</v>
      </c>
      <c r="L132">
        <v>2541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620</v>
      </c>
      <c r="D133" t="s">
        <v>621</v>
      </c>
      <c r="E133" s="8">
        <v>46024</v>
      </c>
      <c r="F133">
        <v>7</v>
      </c>
      <c r="G133">
        <v>1350</v>
      </c>
      <c r="H133">
        <v>24498</v>
      </c>
      <c r="I133">
        <v>9450</v>
      </c>
      <c r="J133">
        <v>15048</v>
      </c>
      <c r="K133" t="s">
        <v>1635</v>
      </c>
      <c r="L133">
        <v>1350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626</v>
      </c>
      <c r="D134" t="s">
        <v>627</v>
      </c>
      <c r="E134" s="8">
        <v>46017</v>
      </c>
      <c r="F134">
        <v>7</v>
      </c>
      <c r="G134">
        <v>90074</v>
      </c>
      <c r="H134">
        <v>105000</v>
      </c>
      <c r="I134">
        <v>105000</v>
      </c>
      <c r="J134">
        <v>0</v>
      </c>
      <c r="K134" t="s">
        <v>1635</v>
      </c>
      <c r="L134">
        <v>90074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646</v>
      </c>
      <c r="D135" t="s">
        <v>1652</v>
      </c>
      <c r="E135" s="8">
        <v>46024</v>
      </c>
      <c r="F135">
        <v>7</v>
      </c>
      <c r="G135">
        <v>2870</v>
      </c>
      <c r="H135">
        <v>83705</v>
      </c>
      <c r="I135">
        <v>16163</v>
      </c>
      <c r="J135">
        <v>67542</v>
      </c>
      <c r="K135" t="s">
        <v>1635</v>
      </c>
      <c r="L135">
        <v>2870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659</v>
      </c>
      <c r="D136" t="s">
        <v>660</v>
      </c>
      <c r="E136" s="8">
        <v>46024</v>
      </c>
      <c r="F136">
        <v>7</v>
      </c>
      <c r="G136">
        <v>1360</v>
      </c>
      <c r="H136">
        <v>24696</v>
      </c>
      <c r="I136">
        <v>9520</v>
      </c>
      <c r="J136">
        <v>15176</v>
      </c>
      <c r="K136" t="s">
        <v>1635</v>
      </c>
      <c r="L136">
        <v>1360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671</v>
      </c>
      <c r="D137" t="s">
        <v>672</v>
      </c>
      <c r="E137" s="8">
        <v>46024</v>
      </c>
      <c r="F137">
        <v>7</v>
      </c>
      <c r="G137">
        <v>3360</v>
      </c>
      <c r="H137">
        <v>100000</v>
      </c>
      <c r="I137">
        <v>23520</v>
      </c>
      <c r="J137">
        <v>76480</v>
      </c>
      <c r="K137" t="s">
        <v>1635</v>
      </c>
      <c r="L137">
        <v>3360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675</v>
      </c>
      <c r="D138" t="s">
        <v>676</v>
      </c>
      <c r="E138" s="8">
        <v>46024</v>
      </c>
      <c r="F138">
        <v>7</v>
      </c>
      <c r="G138">
        <v>2037</v>
      </c>
      <c r="H138">
        <v>36749</v>
      </c>
      <c r="I138">
        <v>14280</v>
      </c>
      <c r="J138">
        <v>22469</v>
      </c>
      <c r="K138" t="s">
        <v>1635</v>
      </c>
      <c r="L138">
        <v>2037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704</v>
      </c>
      <c r="D139" t="s">
        <v>705</v>
      </c>
      <c r="E139" s="8">
        <v>46024</v>
      </c>
      <c r="F139">
        <v>7</v>
      </c>
      <c r="G139">
        <v>2520</v>
      </c>
      <c r="H139">
        <v>76656</v>
      </c>
      <c r="I139">
        <v>14535</v>
      </c>
      <c r="J139">
        <v>62121</v>
      </c>
      <c r="K139" t="s">
        <v>1635</v>
      </c>
      <c r="L139">
        <v>2520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790</v>
      </c>
      <c r="D140" t="s">
        <v>791</v>
      </c>
      <c r="E140" s="8">
        <v>46024</v>
      </c>
      <c r="F140">
        <v>7</v>
      </c>
      <c r="G140">
        <v>3780</v>
      </c>
      <c r="H140">
        <v>115818</v>
      </c>
      <c r="I140">
        <v>25080</v>
      </c>
      <c r="J140">
        <v>90738</v>
      </c>
      <c r="K140" t="s">
        <v>1635</v>
      </c>
      <c r="L140">
        <v>3780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61</v>
      </c>
      <c r="D141" t="s">
        <v>62</v>
      </c>
      <c r="E141" s="8">
        <v>46024</v>
      </c>
      <c r="F141">
        <v>8</v>
      </c>
      <c r="G141">
        <v>2992</v>
      </c>
      <c r="H141">
        <v>93250</v>
      </c>
      <c r="I141">
        <v>23337.33</v>
      </c>
      <c r="J141">
        <v>69912.67</v>
      </c>
      <c r="K141" t="s">
        <v>1635</v>
      </c>
      <c r="L141">
        <v>2992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71</v>
      </c>
      <c r="D142" t="s">
        <v>72</v>
      </c>
      <c r="E142" s="8">
        <v>46024</v>
      </c>
      <c r="F142">
        <v>8</v>
      </c>
      <c r="G142">
        <v>2415</v>
      </c>
      <c r="H142">
        <v>74625</v>
      </c>
      <c r="I142">
        <v>18917.5</v>
      </c>
      <c r="J142">
        <v>55707.5</v>
      </c>
      <c r="K142" t="s">
        <v>1635</v>
      </c>
      <c r="L142">
        <v>2415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125</v>
      </c>
      <c r="D143" t="s">
        <v>126</v>
      </c>
      <c r="E143" s="8">
        <v>46024</v>
      </c>
      <c r="F143">
        <v>8</v>
      </c>
      <c r="G143">
        <v>2774</v>
      </c>
      <c r="H143">
        <v>84023</v>
      </c>
      <c r="I143">
        <v>22094.67</v>
      </c>
      <c r="J143">
        <v>61928.33</v>
      </c>
      <c r="K143" t="s">
        <v>1635</v>
      </c>
      <c r="L143">
        <v>2774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133</v>
      </c>
      <c r="D144" t="s">
        <v>134</v>
      </c>
      <c r="E144" s="8">
        <v>46017</v>
      </c>
      <c r="F144">
        <v>8</v>
      </c>
      <c r="G144">
        <v>3150</v>
      </c>
      <c r="H144">
        <v>93833</v>
      </c>
      <c r="I144">
        <v>24616.67</v>
      </c>
      <c r="J144">
        <v>69216.33</v>
      </c>
      <c r="K144" t="s">
        <v>1635</v>
      </c>
      <c r="L144">
        <v>3150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250</v>
      </c>
      <c r="D145" t="s">
        <v>251</v>
      </c>
      <c r="E145" s="8">
        <v>46017</v>
      </c>
      <c r="F145">
        <v>8</v>
      </c>
      <c r="G145">
        <v>3432</v>
      </c>
      <c r="H145">
        <v>120000</v>
      </c>
      <c r="I145">
        <v>27294</v>
      </c>
      <c r="J145">
        <v>92706</v>
      </c>
      <c r="K145" t="s">
        <v>1635</v>
      </c>
      <c r="L145">
        <v>3432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362</v>
      </c>
      <c r="D146" t="s">
        <v>363</v>
      </c>
      <c r="E146" s="8">
        <v>46024</v>
      </c>
      <c r="F146">
        <v>8</v>
      </c>
      <c r="G146">
        <v>2035.5</v>
      </c>
      <c r="H146">
        <v>59000</v>
      </c>
      <c r="I146">
        <v>15703.5</v>
      </c>
      <c r="J146">
        <v>43296.5</v>
      </c>
      <c r="K146" t="s">
        <v>1635</v>
      </c>
      <c r="L146">
        <v>2035.5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389</v>
      </c>
      <c r="D147" t="s">
        <v>390</v>
      </c>
      <c r="E147" s="8">
        <v>46024</v>
      </c>
      <c r="F147">
        <v>8</v>
      </c>
      <c r="G147">
        <v>2397</v>
      </c>
      <c r="H147">
        <v>86683</v>
      </c>
      <c r="I147">
        <v>16403</v>
      </c>
      <c r="J147">
        <v>70280</v>
      </c>
      <c r="K147" t="s">
        <v>1635</v>
      </c>
      <c r="L147">
        <v>2397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407</v>
      </c>
      <c r="D148" t="s">
        <v>408</v>
      </c>
      <c r="E148" s="8">
        <v>46024</v>
      </c>
      <c r="F148">
        <v>8</v>
      </c>
      <c r="G148">
        <v>3375</v>
      </c>
      <c r="H148">
        <v>98000</v>
      </c>
      <c r="I148">
        <v>22555</v>
      </c>
      <c r="J148">
        <v>75445</v>
      </c>
      <c r="K148" t="s">
        <v>1635</v>
      </c>
      <c r="L148">
        <v>3375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546</v>
      </c>
      <c r="D149" t="s">
        <v>547</v>
      </c>
      <c r="E149" s="8">
        <v>46024</v>
      </c>
      <c r="F149">
        <v>8</v>
      </c>
      <c r="G149">
        <v>1638</v>
      </c>
      <c r="H149">
        <v>27862</v>
      </c>
      <c r="I149">
        <v>10913</v>
      </c>
      <c r="J149">
        <v>16949</v>
      </c>
      <c r="K149" t="s">
        <v>1635</v>
      </c>
      <c r="L149">
        <v>1638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26</v>
      </c>
      <c r="D150" t="s">
        <v>27</v>
      </c>
      <c r="E150" s="8">
        <v>46024</v>
      </c>
      <c r="F150">
        <v>9</v>
      </c>
      <c r="G150">
        <v>2314</v>
      </c>
      <c r="H150">
        <v>61372</v>
      </c>
      <c r="I150">
        <v>16198</v>
      </c>
      <c r="J150">
        <v>45174</v>
      </c>
      <c r="K150" t="s">
        <v>1635</v>
      </c>
      <c r="L150">
        <v>2314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34</v>
      </c>
      <c r="D151" t="s">
        <v>35</v>
      </c>
      <c r="E151" s="8">
        <v>46024</v>
      </c>
      <c r="F151">
        <v>9</v>
      </c>
      <c r="G151">
        <v>3709.8</v>
      </c>
      <c r="H151">
        <v>109806</v>
      </c>
      <c r="I151">
        <v>31397.729999999901</v>
      </c>
      <c r="J151">
        <v>78408.27</v>
      </c>
      <c r="K151" t="s">
        <v>1635</v>
      </c>
      <c r="L151">
        <v>3709.8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77</v>
      </c>
      <c r="D152" t="s">
        <v>78</v>
      </c>
      <c r="E152" s="8">
        <v>46024</v>
      </c>
      <c r="F152">
        <v>9</v>
      </c>
      <c r="G152">
        <v>4165</v>
      </c>
      <c r="H152">
        <v>78585</v>
      </c>
      <c r="I152">
        <v>32388</v>
      </c>
      <c r="J152">
        <v>46197</v>
      </c>
      <c r="K152" t="s">
        <v>1635</v>
      </c>
      <c r="L152">
        <v>4165</v>
      </c>
      <c r="M152" t="s">
        <v>1635</v>
      </c>
      <c r="N152">
        <v>0</v>
      </c>
    </row>
  </sheetData>
  <autoFilter ref="A1:N152" xr:uid="{D0316BEE-11B0-47DF-B594-C8C77C703822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7AF9-C3FA-40FB-A301-6F40B08CAA3E}">
  <dimension ref="A1:N179"/>
  <sheetViews>
    <sheetView topLeftCell="C1" workbookViewId="0">
      <selection activeCell="L1" sqref="L1:L1048576"/>
    </sheetView>
  </sheetViews>
  <sheetFormatPr baseColWidth="10" defaultColWidth="8.83203125" defaultRowHeight="14"/>
  <cols>
    <col min="1" max="1" width="11.6640625" bestFit="1" customWidth="1"/>
    <col min="2" max="2" width="31.5" bestFit="1" customWidth="1"/>
    <col min="3" max="3" width="18.33203125" bestFit="1" customWidth="1"/>
    <col min="4" max="4" width="13.83203125" bestFit="1" customWidth="1"/>
    <col min="5" max="5" width="18.33203125" bestFit="1" customWidth="1"/>
    <col min="6" max="6" width="9.5" bestFit="1" customWidth="1"/>
    <col min="7" max="8" width="18.33203125" bestFit="1" customWidth="1"/>
    <col min="9" max="10" width="16.1640625" bestFit="1" customWidth="1"/>
    <col min="11" max="11" width="13.83203125" bestFit="1" customWidth="1"/>
    <col min="12" max="12" width="18.33203125" bestFit="1" customWidth="1"/>
    <col min="13" max="14" width="13.8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32</v>
      </c>
      <c r="D2" t="s">
        <v>33</v>
      </c>
      <c r="E2" s="8">
        <v>46038</v>
      </c>
      <c r="F2">
        <v>5</v>
      </c>
      <c r="G2">
        <v>9263</v>
      </c>
      <c r="H2">
        <v>164000</v>
      </c>
      <c r="I2">
        <v>37052</v>
      </c>
      <c r="J2">
        <v>126948</v>
      </c>
      <c r="K2" t="s">
        <v>1635</v>
      </c>
      <c r="L2">
        <v>9263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36</v>
      </c>
      <c r="D3" t="s">
        <v>37</v>
      </c>
      <c r="E3" s="8">
        <v>46031</v>
      </c>
      <c r="F3">
        <v>5</v>
      </c>
      <c r="G3">
        <v>3200</v>
      </c>
      <c r="H3">
        <v>93677</v>
      </c>
      <c r="I3">
        <v>12800</v>
      </c>
      <c r="J3">
        <v>80877</v>
      </c>
      <c r="K3" t="s">
        <v>1635</v>
      </c>
      <c r="L3">
        <v>3200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288</v>
      </c>
      <c r="D4" t="s">
        <v>289</v>
      </c>
      <c r="E4" s="8">
        <v>46038</v>
      </c>
      <c r="F4">
        <v>5</v>
      </c>
      <c r="G4">
        <v>4216</v>
      </c>
      <c r="H4">
        <v>85000</v>
      </c>
      <c r="I4">
        <v>16771</v>
      </c>
      <c r="J4">
        <v>68229</v>
      </c>
      <c r="K4" t="s">
        <v>1635</v>
      </c>
      <c r="L4">
        <v>4216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453</v>
      </c>
      <c r="D5" t="s">
        <v>454</v>
      </c>
      <c r="E5" s="8">
        <v>46031</v>
      </c>
      <c r="F5">
        <v>5</v>
      </c>
      <c r="G5">
        <v>1155</v>
      </c>
      <c r="H5">
        <v>20000</v>
      </c>
      <c r="I5">
        <v>4620</v>
      </c>
      <c r="J5">
        <v>15380</v>
      </c>
      <c r="K5" t="s">
        <v>1635</v>
      </c>
      <c r="L5">
        <v>1155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566</v>
      </c>
      <c r="D6" t="s">
        <v>567</v>
      </c>
      <c r="E6" s="8">
        <v>46031</v>
      </c>
      <c r="F6">
        <v>5</v>
      </c>
      <c r="G6">
        <v>3822</v>
      </c>
      <c r="H6">
        <v>110923</v>
      </c>
      <c r="I6">
        <v>15288</v>
      </c>
      <c r="J6">
        <v>95635</v>
      </c>
      <c r="K6" t="s">
        <v>1635</v>
      </c>
      <c r="L6">
        <v>3822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636</v>
      </c>
      <c r="D7" t="s">
        <v>637</v>
      </c>
      <c r="E7" s="8">
        <v>46038</v>
      </c>
      <c r="F7">
        <v>5</v>
      </c>
      <c r="G7">
        <v>1300</v>
      </c>
      <c r="H7">
        <v>23000</v>
      </c>
      <c r="I7">
        <v>5200</v>
      </c>
      <c r="J7">
        <v>17800</v>
      </c>
      <c r="K7" t="s">
        <v>1635</v>
      </c>
      <c r="L7">
        <v>1300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673</v>
      </c>
      <c r="D8" t="s">
        <v>674</v>
      </c>
      <c r="E8" s="8">
        <v>46031</v>
      </c>
      <c r="F8">
        <v>5</v>
      </c>
      <c r="G8">
        <v>5292</v>
      </c>
      <c r="H8">
        <v>161888</v>
      </c>
      <c r="I8">
        <v>19696</v>
      </c>
      <c r="J8">
        <v>142192</v>
      </c>
      <c r="K8" t="s">
        <v>1635</v>
      </c>
      <c r="L8">
        <v>5292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684</v>
      </c>
      <c r="D9" t="s">
        <v>685</v>
      </c>
      <c r="E9" s="8">
        <v>46038</v>
      </c>
      <c r="F9">
        <v>5</v>
      </c>
      <c r="G9">
        <v>2225</v>
      </c>
      <c r="H9">
        <v>67500</v>
      </c>
      <c r="I9">
        <v>7675</v>
      </c>
      <c r="J9">
        <v>59825</v>
      </c>
      <c r="K9" t="s">
        <v>1635</v>
      </c>
      <c r="L9">
        <v>2225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759</v>
      </c>
      <c r="D10" t="s">
        <v>760</v>
      </c>
      <c r="E10" s="8">
        <v>46031</v>
      </c>
      <c r="F10">
        <v>5</v>
      </c>
      <c r="G10">
        <v>3075</v>
      </c>
      <c r="H10">
        <v>89698</v>
      </c>
      <c r="I10">
        <v>12300</v>
      </c>
      <c r="J10">
        <v>77398</v>
      </c>
      <c r="K10" t="s">
        <v>1635</v>
      </c>
      <c r="L10">
        <v>3075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761</v>
      </c>
      <c r="D11" t="s">
        <v>762</v>
      </c>
      <c r="E11" s="8">
        <v>46038</v>
      </c>
      <c r="F11">
        <v>5</v>
      </c>
      <c r="G11">
        <v>3550</v>
      </c>
      <c r="H11">
        <v>105700</v>
      </c>
      <c r="I11">
        <v>12650</v>
      </c>
      <c r="J11">
        <v>93050</v>
      </c>
      <c r="K11" t="s">
        <v>1635</v>
      </c>
      <c r="L11">
        <v>3550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767</v>
      </c>
      <c r="D12" t="s">
        <v>768</v>
      </c>
      <c r="E12" s="8">
        <v>46031</v>
      </c>
      <c r="F12">
        <v>5</v>
      </c>
      <c r="G12">
        <v>4576</v>
      </c>
      <c r="H12">
        <v>138000</v>
      </c>
      <c r="I12">
        <v>15808</v>
      </c>
      <c r="J12">
        <v>122192</v>
      </c>
      <c r="K12" t="s">
        <v>1635</v>
      </c>
      <c r="L12">
        <v>4576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46</v>
      </c>
      <c r="D13" t="s">
        <v>47</v>
      </c>
      <c r="E13" s="8">
        <v>46031</v>
      </c>
      <c r="F13">
        <v>6</v>
      </c>
      <c r="G13">
        <v>1334</v>
      </c>
      <c r="H13">
        <v>39593</v>
      </c>
      <c r="I13">
        <v>6670</v>
      </c>
      <c r="J13">
        <v>32923</v>
      </c>
      <c r="K13" t="s">
        <v>1635</v>
      </c>
      <c r="L13">
        <v>1334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115</v>
      </c>
      <c r="D14" t="s">
        <v>116</v>
      </c>
      <c r="E14" s="8">
        <v>46031</v>
      </c>
      <c r="F14">
        <v>6</v>
      </c>
      <c r="G14">
        <v>4335</v>
      </c>
      <c r="H14">
        <v>80000</v>
      </c>
      <c r="I14">
        <v>20740</v>
      </c>
      <c r="J14">
        <v>59260</v>
      </c>
      <c r="K14" t="s">
        <v>1635</v>
      </c>
      <c r="L14">
        <v>4335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163</v>
      </c>
      <c r="D15" t="s">
        <v>164</v>
      </c>
      <c r="E15" s="8">
        <v>46031</v>
      </c>
      <c r="F15">
        <v>6</v>
      </c>
      <c r="G15">
        <v>2964</v>
      </c>
      <c r="H15">
        <v>97065</v>
      </c>
      <c r="I15">
        <v>14342.67</v>
      </c>
      <c r="J15">
        <v>82722.33</v>
      </c>
      <c r="K15" t="s">
        <v>1635</v>
      </c>
      <c r="L15">
        <v>2964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165</v>
      </c>
      <c r="D16" t="s">
        <v>166</v>
      </c>
      <c r="E16" s="8">
        <v>46031</v>
      </c>
      <c r="F16">
        <v>6</v>
      </c>
      <c r="G16">
        <v>4235</v>
      </c>
      <c r="H16">
        <v>128998</v>
      </c>
      <c r="I16">
        <v>19048.330000000002</v>
      </c>
      <c r="J16">
        <v>109949.67</v>
      </c>
      <c r="K16" t="s">
        <v>1635</v>
      </c>
      <c r="L16">
        <v>4235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199</v>
      </c>
      <c r="D17" t="s">
        <v>200</v>
      </c>
      <c r="E17" s="8">
        <v>46031</v>
      </c>
      <c r="F17">
        <v>6</v>
      </c>
      <c r="G17">
        <v>4080</v>
      </c>
      <c r="H17">
        <v>79275</v>
      </c>
      <c r="I17">
        <v>19270</v>
      </c>
      <c r="J17">
        <v>60005</v>
      </c>
      <c r="K17" t="s">
        <v>1635</v>
      </c>
      <c r="L17">
        <v>4080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209</v>
      </c>
      <c r="D18" t="s">
        <v>210</v>
      </c>
      <c r="E18" s="8">
        <v>46031</v>
      </c>
      <c r="F18">
        <v>6</v>
      </c>
      <c r="G18">
        <v>5760</v>
      </c>
      <c r="H18">
        <v>187000</v>
      </c>
      <c r="I18">
        <v>28156.67</v>
      </c>
      <c r="J18">
        <v>158843.32999999999</v>
      </c>
      <c r="K18" t="s">
        <v>1635</v>
      </c>
      <c r="L18">
        <v>5760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231</v>
      </c>
      <c r="D19" t="s">
        <v>232</v>
      </c>
      <c r="E19" s="8">
        <v>46031</v>
      </c>
      <c r="F19">
        <v>6</v>
      </c>
      <c r="G19">
        <v>3920</v>
      </c>
      <c r="H19">
        <v>75800</v>
      </c>
      <c r="I19">
        <v>18163.330000000002</v>
      </c>
      <c r="J19">
        <v>57636.67</v>
      </c>
      <c r="K19" t="s">
        <v>1635</v>
      </c>
      <c r="L19">
        <v>3920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234</v>
      </c>
      <c r="D20" t="s">
        <v>235</v>
      </c>
      <c r="E20" s="8">
        <v>46031</v>
      </c>
      <c r="F20">
        <v>6</v>
      </c>
      <c r="G20">
        <v>2850</v>
      </c>
      <c r="H20">
        <v>85800</v>
      </c>
      <c r="I20">
        <v>14150</v>
      </c>
      <c r="J20">
        <v>71650</v>
      </c>
      <c r="K20" t="s">
        <v>1635</v>
      </c>
      <c r="L20">
        <v>2850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244</v>
      </c>
      <c r="D21" t="s">
        <v>245</v>
      </c>
      <c r="E21" s="8">
        <v>46031</v>
      </c>
      <c r="F21">
        <v>6</v>
      </c>
      <c r="G21">
        <v>6952</v>
      </c>
      <c r="H21">
        <v>120000</v>
      </c>
      <c r="I21">
        <v>38430</v>
      </c>
      <c r="J21">
        <v>81570</v>
      </c>
      <c r="K21" t="s">
        <v>1635</v>
      </c>
      <c r="L21">
        <v>6952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248</v>
      </c>
      <c r="D22" t="s">
        <v>249</v>
      </c>
      <c r="E22" s="8">
        <v>46038</v>
      </c>
      <c r="F22">
        <v>6</v>
      </c>
      <c r="G22">
        <v>2940</v>
      </c>
      <c r="H22">
        <v>77000</v>
      </c>
      <c r="I22">
        <v>13290</v>
      </c>
      <c r="J22">
        <v>63710</v>
      </c>
      <c r="K22" t="s">
        <v>1635</v>
      </c>
      <c r="L22">
        <v>2940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252</v>
      </c>
      <c r="D23" t="s">
        <v>253</v>
      </c>
      <c r="E23" s="8">
        <v>46038</v>
      </c>
      <c r="F23">
        <v>6</v>
      </c>
      <c r="G23">
        <v>2409</v>
      </c>
      <c r="H23">
        <v>74625</v>
      </c>
      <c r="I23">
        <v>12045</v>
      </c>
      <c r="J23">
        <v>62580</v>
      </c>
      <c r="K23" t="s">
        <v>1635</v>
      </c>
      <c r="L23">
        <v>2409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266</v>
      </c>
      <c r="D24" t="s">
        <v>267</v>
      </c>
      <c r="E24" s="8">
        <v>46038</v>
      </c>
      <c r="F24">
        <v>6</v>
      </c>
      <c r="G24">
        <v>2300</v>
      </c>
      <c r="H24">
        <v>43500</v>
      </c>
      <c r="I24">
        <v>11090</v>
      </c>
      <c r="J24">
        <v>32410</v>
      </c>
      <c r="K24" t="s">
        <v>1635</v>
      </c>
      <c r="L24">
        <v>2300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268</v>
      </c>
      <c r="D25" t="s">
        <v>269</v>
      </c>
      <c r="E25" s="8">
        <v>46031</v>
      </c>
      <c r="F25">
        <v>6</v>
      </c>
      <c r="G25">
        <v>3990</v>
      </c>
      <c r="H25">
        <v>73000</v>
      </c>
      <c r="I25">
        <v>18643.330000000002</v>
      </c>
      <c r="J25">
        <v>54356.67</v>
      </c>
      <c r="K25" t="s">
        <v>1635</v>
      </c>
      <c r="L25">
        <v>3990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270</v>
      </c>
      <c r="D26" t="s">
        <v>271</v>
      </c>
      <c r="E26" s="8">
        <v>46031</v>
      </c>
      <c r="F26">
        <v>6</v>
      </c>
      <c r="G26">
        <v>4872</v>
      </c>
      <c r="H26">
        <v>121733</v>
      </c>
      <c r="I26">
        <v>22968</v>
      </c>
      <c r="J26">
        <v>98765</v>
      </c>
      <c r="K26" t="s">
        <v>1635</v>
      </c>
      <c r="L26">
        <v>4872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276</v>
      </c>
      <c r="D27" t="s">
        <v>277</v>
      </c>
      <c r="E27" s="8">
        <v>46031</v>
      </c>
      <c r="F27">
        <v>6</v>
      </c>
      <c r="G27">
        <v>2960</v>
      </c>
      <c r="H27">
        <v>82751</v>
      </c>
      <c r="I27">
        <v>14800</v>
      </c>
      <c r="J27">
        <v>67951</v>
      </c>
      <c r="K27" t="s">
        <v>1635</v>
      </c>
      <c r="L27">
        <v>2960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278</v>
      </c>
      <c r="D28" t="s">
        <v>279</v>
      </c>
      <c r="E28" s="8">
        <v>46038</v>
      </c>
      <c r="F28">
        <v>6</v>
      </c>
      <c r="G28">
        <v>4608</v>
      </c>
      <c r="H28">
        <v>84625</v>
      </c>
      <c r="I28">
        <v>21072</v>
      </c>
      <c r="J28">
        <v>63553</v>
      </c>
      <c r="K28" t="s">
        <v>1635</v>
      </c>
      <c r="L28">
        <v>4608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282</v>
      </c>
      <c r="D29" t="s">
        <v>283</v>
      </c>
      <c r="E29" s="8">
        <v>46031</v>
      </c>
      <c r="F29">
        <v>6</v>
      </c>
      <c r="G29">
        <v>2432</v>
      </c>
      <c r="H29">
        <v>73000</v>
      </c>
      <c r="I29">
        <v>12160</v>
      </c>
      <c r="J29">
        <v>60840</v>
      </c>
      <c r="K29" t="s">
        <v>1635</v>
      </c>
      <c r="L29">
        <v>2432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284</v>
      </c>
      <c r="D30" t="s">
        <v>285</v>
      </c>
      <c r="E30" s="8">
        <v>46038</v>
      </c>
      <c r="F30">
        <v>6</v>
      </c>
      <c r="G30">
        <v>6020</v>
      </c>
      <c r="H30">
        <v>111290</v>
      </c>
      <c r="I30">
        <v>29446.67</v>
      </c>
      <c r="J30">
        <v>81843.33</v>
      </c>
      <c r="K30" t="s">
        <v>1635</v>
      </c>
      <c r="L30">
        <v>6020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286</v>
      </c>
      <c r="D31" t="s">
        <v>287</v>
      </c>
      <c r="E31" s="8">
        <v>46031</v>
      </c>
      <c r="F31">
        <v>6</v>
      </c>
      <c r="G31">
        <v>2835</v>
      </c>
      <c r="H31">
        <v>85900</v>
      </c>
      <c r="I31">
        <v>14175</v>
      </c>
      <c r="J31">
        <v>71725</v>
      </c>
      <c r="K31" t="s">
        <v>1635</v>
      </c>
      <c r="L31">
        <v>2835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290</v>
      </c>
      <c r="D32" t="s">
        <v>291</v>
      </c>
      <c r="E32" s="8">
        <v>46031</v>
      </c>
      <c r="F32">
        <v>6</v>
      </c>
      <c r="G32">
        <v>2520</v>
      </c>
      <c r="H32">
        <v>79600</v>
      </c>
      <c r="I32">
        <v>11880</v>
      </c>
      <c r="J32">
        <v>67720</v>
      </c>
      <c r="K32" t="s">
        <v>1635</v>
      </c>
      <c r="L32">
        <v>2520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294</v>
      </c>
      <c r="D33" t="s">
        <v>295</v>
      </c>
      <c r="E33" s="8">
        <v>46038</v>
      </c>
      <c r="F33">
        <v>6</v>
      </c>
      <c r="G33">
        <v>4824</v>
      </c>
      <c r="H33">
        <v>89000</v>
      </c>
      <c r="I33">
        <v>22056</v>
      </c>
      <c r="J33">
        <v>66944</v>
      </c>
      <c r="K33" t="s">
        <v>1635</v>
      </c>
      <c r="L33">
        <v>4824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296</v>
      </c>
      <c r="D34" t="s">
        <v>297</v>
      </c>
      <c r="E34" s="8">
        <v>46031</v>
      </c>
      <c r="F34">
        <v>6</v>
      </c>
      <c r="G34">
        <v>2970</v>
      </c>
      <c r="H34">
        <v>82153</v>
      </c>
      <c r="I34">
        <v>14850</v>
      </c>
      <c r="J34">
        <v>67303</v>
      </c>
      <c r="K34" t="s">
        <v>1635</v>
      </c>
      <c r="L34">
        <v>2970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302</v>
      </c>
      <c r="D35" t="s">
        <v>303</v>
      </c>
      <c r="E35" s="8">
        <v>46038</v>
      </c>
      <c r="F35">
        <v>6</v>
      </c>
      <c r="G35">
        <v>2850</v>
      </c>
      <c r="H35">
        <v>84946</v>
      </c>
      <c r="I35">
        <v>14150</v>
      </c>
      <c r="J35">
        <v>70796</v>
      </c>
      <c r="K35" t="s">
        <v>1635</v>
      </c>
      <c r="L35">
        <v>2850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320</v>
      </c>
      <c r="D36" t="s">
        <v>321</v>
      </c>
      <c r="E36" s="8">
        <v>46031</v>
      </c>
      <c r="F36">
        <v>6</v>
      </c>
      <c r="G36">
        <v>2850</v>
      </c>
      <c r="H36">
        <v>85000</v>
      </c>
      <c r="I36">
        <v>14250</v>
      </c>
      <c r="J36">
        <v>70750</v>
      </c>
      <c r="K36" t="s">
        <v>1635</v>
      </c>
      <c r="L36">
        <v>2850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387</v>
      </c>
      <c r="D37" t="s">
        <v>388</v>
      </c>
      <c r="E37" s="8">
        <v>46031</v>
      </c>
      <c r="F37">
        <v>6</v>
      </c>
      <c r="G37">
        <v>2356</v>
      </c>
      <c r="H37">
        <v>78213</v>
      </c>
      <c r="I37">
        <v>12920</v>
      </c>
      <c r="J37">
        <v>65293</v>
      </c>
      <c r="K37" t="s">
        <v>1635</v>
      </c>
      <c r="L37">
        <v>2356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455</v>
      </c>
      <c r="D38" t="s">
        <v>456</v>
      </c>
      <c r="E38" s="8">
        <v>46031</v>
      </c>
      <c r="F38">
        <v>6</v>
      </c>
      <c r="G38">
        <v>2665</v>
      </c>
      <c r="H38">
        <v>96000</v>
      </c>
      <c r="I38">
        <v>13260</v>
      </c>
      <c r="J38">
        <v>82740</v>
      </c>
      <c r="K38" t="s">
        <v>1635</v>
      </c>
      <c r="L38">
        <v>2665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499</v>
      </c>
      <c r="D39" t="s">
        <v>500</v>
      </c>
      <c r="E39" s="8">
        <v>46038</v>
      </c>
      <c r="F39">
        <v>6</v>
      </c>
      <c r="G39">
        <v>2856</v>
      </c>
      <c r="H39">
        <v>101346</v>
      </c>
      <c r="I39">
        <v>14404</v>
      </c>
      <c r="J39">
        <v>86942</v>
      </c>
      <c r="K39" t="s">
        <v>1635</v>
      </c>
      <c r="L39">
        <v>2856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503</v>
      </c>
      <c r="D40" t="s">
        <v>504</v>
      </c>
      <c r="E40" s="8">
        <v>46038</v>
      </c>
      <c r="F40">
        <v>6</v>
      </c>
      <c r="G40">
        <v>2912.7</v>
      </c>
      <c r="H40">
        <v>82911</v>
      </c>
      <c r="I40">
        <v>14563.5</v>
      </c>
      <c r="J40">
        <v>68347.5</v>
      </c>
      <c r="K40" t="s">
        <v>1635</v>
      </c>
      <c r="L40">
        <v>2912.7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550</v>
      </c>
      <c r="D41" t="s">
        <v>551</v>
      </c>
      <c r="E41" s="8">
        <v>46031</v>
      </c>
      <c r="F41">
        <v>6</v>
      </c>
      <c r="G41">
        <v>1178</v>
      </c>
      <c r="H41">
        <v>20715</v>
      </c>
      <c r="I41">
        <v>5890</v>
      </c>
      <c r="J41">
        <v>14825</v>
      </c>
      <c r="K41" t="s">
        <v>1635</v>
      </c>
      <c r="L41">
        <v>1178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552</v>
      </c>
      <c r="D42" t="s">
        <v>553</v>
      </c>
      <c r="E42" s="8">
        <v>46031</v>
      </c>
      <c r="F42">
        <v>6</v>
      </c>
      <c r="G42">
        <v>1428</v>
      </c>
      <c r="H42">
        <v>25490</v>
      </c>
      <c r="I42">
        <v>7308</v>
      </c>
      <c r="J42">
        <v>18182</v>
      </c>
      <c r="K42" t="s">
        <v>1635</v>
      </c>
      <c r="L42">
        <v>1428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573</v>
      </c>
      <c r="D43" t="s">
        <v>574</v>
      </c>
      <c r="E43" s="8">
        <v>46038</v>
      </c>
      <c r="F43">
        <v>6</v>
      </c>
      <c r="G43">
        <v>1380</v>
      </c>
      <c r="H43">
        <v>25912</v>
      </c>
      <c r="I43">
        <v>6900</v>
      </c>
      <c r="J43">
        <v>19012</v>
      </c>
      <c r="K43" t="s">
        <v>1635</v>
      </c>
      <c r="L43">
        <v>1380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575</v>
      </c>
      <c r="D44" t="s">
        <v>576</v>
      </c>
      <c r="E44" s="8">
        <v>46038</v>
      </c>
      <c r="F44">
        <v>6</v>
      </c>
      <c r="G44">
        <v>2475</v>
      </c>
      <c r="H44">
        <v>78888</v>
      </c>
      <c r="I44">
        <v>11700</v>
      </c>
      <c r="J44">
        <v>67188</v>
      </c>
      <c r="K44" t="s">
        <v>1635</v>
      </c>
      <c r="L44">
        <v>2475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604</v>
      </c>
      <c r="D45" t="s">
        <v>605</v>
      </c>
      <c r="E45" s="8">
        <v>46031</v>
      </c>
      <c r="F45">
        <v>6</v>
      </c>
      <c r="G45">
        <v>1380</v>
      </c>
      <c r="H45">
        <v>26555</v>
      </c>
      <c r="I45">
        <v>6900</v>
      </c>
      <c r="J45">
        <v>19655</v>
      </c>
      <c r="K45" t="s">
        <v>1635</v>
      </c>
      <c r="L45">
        <v>1380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617</v>
      </c>
      <c r="D46" t="s">
        <v>618</v>
      </c>
      <c r="E46" s="8">
        <v>46038</v>
      </c>
      <c r="F46">
        <v>6</v>
      </c>
      <c r="G46">
        <v>2470</v>
      </c>
      <c r="H46">
        <v>73000</v>
      </c>
      <c r="I46">
        <v>12350</v>
      </c>
      <c r="J46">
        <v>60650</v>
      </c>
      <c r="K46" t="s">
        <v>1635</v>
      </c>
      <c r="L46">
        <v>2470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653</v>
      </c>
      <c r="D47" t="s">
        <v>654</v>
      </c>
      <c r="E47" s="8">
        <v>46031</v>
      </c>
      <c r="F47">
        <v>6</v>
      </c>
      <c r="G47">
        <v>2756</v>
      </c>
      <c r="H47">
        <v>82697</v>
      </c>
      <c r="I47">
        <v>13104</v>
      </c>
      <c r="J47">
        <v>69593</v>
      </c>
      <c r="K47" t="s">
        <v>1635</v>
      </c>
      <c r="L47">
        <v>2756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679</v>
      </c>
      <c r="D48" t="s">
        <v>680</v>
      </c>
      <c r="E48" s="8">
        <v>46031</v>
      </c>
      <c r="F48">
        <v>6</v>
      </c>
      <c r="G48">
        <v>2759</v>
      </c>
      <c r="H48">
        <v>80999</v>
      </c>
      <c r="I48">
        <v>13170</v>
      </c>
      <c r="J48">
        <v>67829</v>
      </c>
      <c r="K48" t="s">
        <v>1635</v>
      </c>
      <c r="L48">
        <v>2759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686</v>
      </c>
      <c r="D49" t="s">
        <v>687</v>
      </c>
      <c r="E49" s="8">
        <v>46031</v>
      </c>
      <c r="F49">
        <v>6</v>
      </c>
      <c r="G49">
        <v>1488</v>
      </c>
      <c r="H49">
        <v>26555</v>
      </c>
      <c r="I49">
        <v>7440</v>
      </c>
      <c r="J49">
        <v>19115</v>
      </c>
      <c r="K49" t="s">
        <v>1635</v>
      </c>
      <c r="L49">
        <v>1488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688</v>
      </c>
      <c r="D50" t="s">
        <v>689</v>
      </c>
      <c r="E50" s="8">
        <v>46031</v>
      </c>
      <c r="F50">
        <v>6</v>
      </c>
      <c r="G50">
        <v>2937</v>
      </c>
      <c r="H50">
        <v>88800</v>
      </c>
      <c r="I50">
        <v>13068</v>
      </c>
      <c r="J50">
        <v>75732</v>
      </c>
      <c r="K50" t="s">
        <v>1635</v>
      </c>
      <c r="L50">
        <v>2937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692</v>
      </c>
      <c r="D51" t="s">
        <v>693</v>
      </c>
      <c r="E51" s="8">
        <v>46031</v>
      </c>
      <c r="F51">
        <v>6</v>
      </c>
      <c r="G51">
        <v>675</v>
      </c>
      <c r="H51">
        <v>16502</v>
      </c>
      <c r="I51">
        <v>3375</v>
      </c>
      <c r="J51">
        <v>13127</v>
      </c>
      <c r="K51" t="s">
        <v>1635</v>
      </c>
      <c r="L51">
        <v>675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713</v>
      </c>
      <c r="D52" t="s">
        <v>714</v>
      </c>
      <c r="E52" s="8">
        <v>46031</v>
      </c>
      <c r="F52">
        <v>6</v>
      </c>
      <c r="G52">
        <v>3564</v>
      </c>
      <c r="H52">
        <v>105000</v>
      </c>
      <c r="I52">
        <v>16946</v>
      </c>
      <c r="J52">
        <v>88054</v>
      </c>
      <c r="K52" t="s">
        <v>1635</v>
      </c>
      <c r="L52">
        <v>3564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715</v>
      </c>
      <c r="D53" t="s">
        <v>716</v>
      </c>
      <c r="E53" s="8">
        <v>46031</v>
      </c>
      <c r="F53">
        <v>6</v>
      </c>
      <c r="G53">
        <v>2925</v>
      </c>
      <c r="H53">
        <v>85000</v>
      </c>
      <c r="I53">
        <v>13550</v>
      </c>
      <c r="J53">
        <v>71450</v>
      </c>
      <c r="K53" t="s">
        <v>1635</v>
      </c>
      <c r="L53">
        <v>2925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723</v>
      </c>
      <c r="D54" t="s">
        <v>724</v>
      </c>
      <c r="E54" s="8">
        <v>46038</v>
      </c>
      <c r="F54">
        <v>6</v>
      </c>
      <c r="G54">
        <v>3465</v>
      </c>
      <c r="H54">
        <v>100000</v>
      </c>
      <c r="I54">
        <v>13051.5</v>
      </c>
      <c r="J54">
        <v>86948.5</v>
      </c>
      <c r="K54" t="s">
        <v>1635</v>
      </c>
      <c r="L54">
        <v>3465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727</v>
      </c>
      <c r="D55" t="s">
        <v>728</v>
      </c>
      <c r="E55" s="8">
        <v>46038</v>
      </c>
      <c r="F55">
        <v>6</v>
      </c>
      <c r="G55">
        <v>4316</v>
      </c>
      <c r="H55">
        <v>128253</v>
      </c>
      <c r="I55">
        <v>19344</v>
      </c>
      <c r="J55">
        <v>108909</v>
      </c>
      <c r="K55" t="s">
        <v>1635</v>
      </c>
      <c r="L55">
        <v>4316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729</v>
      </c>
      <c r="D56" t="s">
        <v>730</v>
      </c>
      <c r="E56" s="8">
        <v>46038</v>
      </c>
      <c r="F56">
        <v>6</v>
      </c>
      <c r="G56">
        <v>3168</v>
      </c>
      <c r="H56">
        <v>90580</v>
      </c>
      <c r="I56">
        <v>14692</v>
      </c>
      <c r="J56">
        <v>75888</v>
      </c>
      <c r="K56" t="s">
        <v>1635</v>
      </c>
      <c r="L56">
        <v>3168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733</v>
      </c>
      <c r="D57" t="s">
        <v>734</v>
      </c>
      <c r="E57" s="8">
        <v>46031</v>
      </c>
      <c r="F57">
        <v>6</v>
      </c>
      <c r="G57">
        <v>1575</v>
      </c>
      <c r="H57">
        <v>100000</v>
      </c>
      <c r="I57">
        <v>16085</v>
      </c>
      <c r="J57">
        <v>83915</v>
      </c>
      <c r="K57" t="s">
        <v>1635</v>
      </c>
      <c r="L57">
        <v>1575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737</v>
      </c>
      <c r="D58" t="s">
        <v>738</v>
      </c>
      <c r="E58" s="8">
        <v>46038</v>
      </c>
      <c r="F58">
        <v>6</v>
      </c>
      <c r="G58">
        <v>2745</v>
      </c>
      <c r="H58">
        <v>78544</v>
      </c>
      <c r="I58">
        <v>12880</v>
      </c>
      <c r="J58">
        <v>65664</v>
      </c>
      <c r="K58" t="s">
        <v>1635</v>
      </c>
      <c r="L58">
        <v>2745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743</v>
      </c>
      <c r="D59" t="s">
        <v>744</v>
      </c>
      <c r="E59" s="8">
        <v>46038</v>
      </c>
      <c r="F59">
        <v>6</v>
      </c>
      <c r="G59">
        <v>1575</v>
      </c>
      <c r="H59">
        <v>45000</v>
      </c>
      <c r="I59">
        <v>7635</v>
      </c>
      <c r="J59">
        <v>37365</v>
      </c>
      <c r="K59" t="s">
        <v>1635</v>
      </c>
      <c r="L59">
        <v>1575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749</v>
      </c>
      <c r="D60" t="s">
        <v>750</v>
      </c>
      <c r="E60" s="8">
        <v>46038</v>
      </c>
      <c r="F60">
        <v>6</v>
      </c>
      <c r="G60">
        <v>2760</v>
      </c>
      <c r="H60">
        <v>81657</v>
      </c>
      <c r="I60">
        <v>12930</v>
      </c>
      <c r="J60">
        <v>68727</v>
      </c>
      <c r="K60" t="s">
        <v>1635</v>
      </c>
      <c r="L60">
        <v>2760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751</v>
      </c>
      <c r="D61" t="s">
        <v>752</v>
      </c>
      <c r="E61" s="8">
        <v>46038</v>
      </c>
      <c r="F61">
        <v>6</v>
      </c>
      <c r="G61">
        <v>3285</v>
      </c>
      <c r="H61">
        <v>95000</v>
      </c>
      <c r="I61">
        <v>15040</v>
      </c>
      <c r="J61">
        <v>79960</v>
      </c>
      <c r="K61" t="s">
        <v>1635</v>
      </c>
      <c r="L61">
        <v>3285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769</v>
      </c>
      <c r="D62" t="s">
        <v>770</v>
      </c>
      <c r="E62" s="8">
        <v>46031</v>
      </c>
      <c r="F62">
        <v>6</v>
      </c>
      <c r="G62">
        <v>3420</v>
      </c>
      <c r="H62">
        <v>100900</v>
      </c>
      <c r="I62">
        <v>15250</v>
      </c>
      <c r="J62">
        <v>85650</v>
      </c>
      <c r="K62" t="s">
        <v>1635</v>
      </c>
      <c r="L62">
        <v>3420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784</v>
      </c>
      <c r="D63" t="s">
        <v>785</v>
      </c>
      <c r="E63" s="8">
        <v>46038</v>
      </c>
      <c r="F63">
        <v>6</v>
      </c>
      <c r="G63">
        <v>3953</v>
      </c>
      <c r="H63">
        <v>123000</v>
      </c>
      <c r="I63">
        <v>18492</v>
      </c>
      <c r="J63">
        <v>104508</v>
      </c>
      <c r="K63" t="s">
        <v>1635</v>
      </c>
      <c r="L63">
        <v>3953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798</v>
      </c>
      <c r="D64" t="s">
        <v>799</v>
      </c>
      <c r="E64" s="8">
        <v>46038</v>
      </c>
      <c r="F64">
        <v>6</v>
      </c>
      <c r="G64">
        <v>2205</v>
      </c>
      <c r="H64">
        <v>36744</v>
      </c>
      <c r="I64">
        <v>11025</v>
      </c>
      <c r="J64">
        <v>25719</v>
      </c>
      <c r="K64" t="s">
        <v>1635</v>
      </c>
      <c r="L64">
        <v>2205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816</v>
      </c>
      <c r="D65" t="s">
        <v>817</v>
      </c>
      <c r="E65" s="8">
        <v>46031</v>
      </c>
      <c r="F65">
        <v>6</v>
      </c>
      <c r="G65">
        <v>2254</v>
      </c>
      <c r="H65">
        <v>39074</v>
      </c>
      <c r="I65">
        <v>10906</v>
      </c>
      <c r="J65">
        <v>28168</v>
      </c>
      <c r="K65" t="s">
        <v>1635</v>
      </c>
      <c r="L65">
        <v>2254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83</v>
      </c>
      <c r="D66" t="s">
        <v>84</v>
      </c>
      <c r="E66" s="8">
        <v>46031</v>
      </c>
      <c r="F66">
        <v>7</v>
      </c>
      <c r="G66">
        <v>2970</v>
      </c>
      <c r="H66">
        <v>92789</v>
      </c>
      <c r="I66">
        <v>17820</v>
      </c>
      <c r="J66">
        <v>74969</v>
      </c>
      <c r="K66" t="s">
        <v>1635</v>
      </c>
      <c r="L66">
        <v>2970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87</v>
      </c>
      <c r="D67" t="s">
        <v>88</v>
      </c>
      <c r="E67" s="8">
        <v>46031</v>
      </c>
      <c r="F67">
        <v>7</v>
      </c>
      <c r="G67">
        <v>2464</v>
      </c>
      <c r="H67">
        <v>76000</v>
      </c>
      <c r="I67">
        <v>14784</v>
      </c>
      <c r="J67">
        <v>61216</v>
      </c>
      <c r="K67" t="s">
        <v>1635</v>
      </c>
      <c r="L67">
        <v>2464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89</v>
      </c>
      <c r="D68" t="s">
        <v>90</v>
      </c>
      <c r="E68" s="8">
        <v>46038</v>
      </c>
      <c r="F68">
        <v>7</v>
      </c>
      <c r="G68">
        <v>2900</v>
      </c>
      <c r="H68">
        <v>86585</v>
      </c>
      <c r="I68">
        <v>17400</v>
      </c>
      <c r="J68">
        <v>69185</v>
      </c>
      <c r="K68" t="s">
        <v>1635</v>
      </c>
      <c r="L68">
        <v>2900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104</v>
      </c>
      <c r="D69" t="s">
        <v>105</v>
      </c>
      <c r="E69" s="8">
        <v>46031</v>
      </c>
      <c r="F69">
        <v>7</v>
      </c>
      <c r="G69">
        <v>4150</v>
      </c>
      <c r="H69">
        <v>75285</v>
      </c>
      <c r="I69">
        <v>24900</v>
      </c>
      <c r="J69">
        <v>50385</v>
      </c>
      <c r="K69" t="s">
        <v>1635</v>
      </c>
      <c r="L69">
        <v>4150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117</v>
      </c>
      <c r="D70" t="s">
        <v>118</v>
      </c>
      <c r="E70" s="8">
        <v>46038</v>
      </c>
      <c r="F70">
        <v>7</v>
      </c>
      <c r="G70">
        <v>2520</v>
      </c>
      <c r="H70">
        <v>73000</v>
      </c>
      <c r="I70">
        <v>15120</v>
      </c>
      <c r="J70">
        <v>57880</v>
      </c>
      <c r="K70" t="s">
        <v>1635</v>
      </c>
      <c r="L70">
        <v>2520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151</v>
      </c>
      <c r="D71" t="s">
        <v>152</v>
      </c>
      <c r="E71" s="8">
        <v>46031</v>
      </c>
      <c r="F71">
        <v>7</v>
      </c>
      <c r="G71">
        <v>2543.33</v>
      </c>
      <c r="H71">
        <v>79477</v>
      </c>
      <c r="I71">
        <v>23846.67</v>
      </c>
      <c r="J71">
        <v>55630.33</v>
      </c>
      <c r="K71" t="s">
        <v>1635</v>
      </c>
      <c r="L71">
        <v>2543.33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167</v>
      </c>
      <c r="D72" t="s">
        <v>168</v>
      </c>
      <c r="E72" s="8">
        <v>46031</v>
      </c>
      <c r="F72">
        <v>7</v>
      </c>
      <c r="G72">
        <v>4536</v>
      </c>
      <c r="H72">
        <v>86485</v>
      </c>
      <c r="I72">
        <v>25290</v>
      </c>
      <c r="J72">
        <v>61195</v>
      </c>
      <c r="K72" t="s">
        <v>1635</v>
      </c>
      <c r="L72">
        <v>4536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169</v>
      </c>
      <c r="D73" t="s">
        <v>170</v>
      </c>
      <c r="E73" s="8">
        <v>46038</v>
      </c>
      <c r="F73">
        <v>7</v>
      </c>
      <c r="G73">
        <v>2805</v>
      </c>
      <c r="H73">
        <v>83860</v>
      </c>
      <c r="I73">
        <v>16830</v>
      </c>
      <c r="J73">
        <v>67030</v>
      </c>
      <c r="K73" t="s">
        <v>1635</v>
      </c>
      <c r="L73">
        <v>2805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175</v>
      </c>
      <c r="D74" t="s">
        <v>176</v>
      </c>
      <c r="E74" s="8">
        <v>46038</v>
      </c>
      <c r="F74">
        <v>7</v>
      </c>
      <c r="G74">
        <v>2800</v>
      </c>
      <c r="H74">
        <v>84036</v>
      </c>
      <c r="I74">
        <v>15833.33</v>
      </c>
      <c r="J74">
        <v>68202.67</v>
      </c>
      <c r="K74" t="s">
        <v>1635</v>
      </c>
      <c r="L74">
        <v>2800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179</v>
      </c>
      <c r="D75" t="s">
        <v>180</v>
      </c>
      <c r="E75" s="8">
        <v>46031</v>
      </c>
      <c r="F75">
        <v>7</v>
      </c>
      <c r="G75">
        <v>3933</v>
      </c>
      <c r="H75">
        <v>125000</v>
      </c>
      <c r="I75">
        <v>21700</v>
      </c>
      <c r="J75">
        <v>103300</v>
      </c>
      <c r="K75" t="s">
        <v>1635</v>
      </c>
      <c r="L75">
        <v>3933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183</v>
      </c>
      <c r="D76" t="s">
        <v>184</v>
      </c>
      <c r="E76" s="8">
        <v>46031</v>
      </c>
      <c r="F76">
        <v>7</v>
      </c>
      <c r="G76">
        <v>2924</v>
      </c>
      <c r="H76">
        <v>87520</v>
      </c>
      <c r="I76">
        <v>17163.330000000002</v>
      </c>
      <c r="J76">
        <v>70356.67</v>
      </c>
      <c r="K76" t="s">
        <v>1635</v>
      </c>
      <c r="L76">
        <v>2924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185</v>
      </c>
      <c r="D77" t="s">
        <v>186</v>
      </c>
      <c r="E77" s="8">
        <v>46031</v>
      </c>
      <c r="F77">
        <v>7</v>
      </c>
      <c r="G77">
        <v>5616</v>
      </c>
      <c r="H77">
        <v>106000</v>
      </c>
      <c r="I77">
        <v>32610</v>
      </c>
      <c r="J77">
        <v>73390</v>
      </c>
      <c r="K77" t="s">
        <v>1635</v>
      </c>
      <c r="L77">
        <v>5616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191</v>
      </c>
      <c r="D78" t="s">
        <v>192</v>
      </c>
      <c r="E78" s="8">
        <v>46038</v>
      </c>
      <c r="F78">
        <v>7</v>
      </c>
      <c r="G78">
        <v>3933</v>
      </c>
      <c r="H78">
        <v>74625</v>
      </c>
      <c r="I78">
        <v>23598</v>
      </c>
      <c r="J78">
        <v>51027</v>
      </c>
      <c r="K78" t="s">
        <v>1635</v>
      </c>
      <c r="L78">
        <v>3933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193</v>
      </c>
      <c r="D79" t="s">
        <v>194</v>
      </c>
      <c r="E79" s="8">
        <v>46038</v>
      </c>
      <c r="F79">
        <v>7</v>
      </c>
      <c r="G79">
        <v>4725</v>
      </c>
      <c r="H79">
        <v>88848</v>
      </c>
      <c r="I79">
        <v>25935</v>
      </c>
      <c r="J79">
        <v>62913</v>
      </c>
      <c r="K79" t="s">
        <v>1635</v>
      </c>
      <c r="L79">
        <v>4725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197</v>
      </c>
      <c r="D80" t="s">
        <v>198</v>
      </c>
      <c r="E80" s="8">
        <v>46038</v>
      </c>
      <c r="F80">
        <v>7</v>
      </c>
      <c r="G80">
        <v>2730</v>
      </c>
      <c r="H80">
        <v>84220</v>
      </c>
      <c r="I80">
        <v>16333.33</v>
      </c>
      <c r="J80">
        <v>67886.67</v>
      </c>
      <c r="K80" t="s">
        <v>1635</v>
      </c>
      <c r="L80">
        <v>2730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201</v>
      </c>
      <c r="D81" t="s">
        <v>202</v>
      </c>
      <c r="E81" s="8">
        <v>46031</v>
      </c>
      <c r="F81">
        <v>7</v>
      </c>
      <c r="G81">
        <v>2814</v>
      </c>
      <c r="H81">
        <v>81975</v>
      </c>
      <c r="I81">
        <v>16626.669999999998</v>
      </c>
      <c r="J81">
        <v>65348.33</v>
      </c>
      <c r="K81" t="s">
        <v>1635</v>
      </c>
      <c r="L81">
        <v>2814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213</v>
      </c>
      <c r="D82" t="s">
        <v>214</v>
      </c>
      <c r="E82" s="8">
        <v>46031</v>
      </c>
      <c r="F82">
        <v>7</v>
      </c>
      <c r="G82">
        <v>2940</v>
      </c>
      <c r="H82">
        <v>86200</v>
      </c>
      <c r="I82">
        <v>17640</v>
      </c>
      <c r="J82">
        <v>68560</v>
      </c>
      <c r="K82" t="s">
        <v>1635</v>
      </c>
      <c r="L82">
        <v>2940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221</v>
      </c>
      <c r="D83" t="s">
        <v>222</v>
      </c>
      <c r="E83" s="8">
        <v>46038</v>
      </c>
      <c r="F83">
        <v>7</v>
      </c>
      <c r="G83">
        <v>2420</v>
      </c>
      <c r="H83">
        <v>73000</v>
      </c>
      <c r="I83">
        <v>14116.67</v>
      </c>
      <c r="J83">
        <v>58883.33</v>
      </c>
      <c r="K83" t="s">
        <v>1635</v>
      </c>
      <c r="L83">
        <v>2420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236</v>
      </c>
      <c r="D84" t="s">
        <v>237</v>
      </c>
      <c r="E84" s="8">
        <v>46031</v>
      </c>
      <c r="F84">
        <v>7</v>
      </c>
      <c r="G84">
        <v>2430</v>
      </c>
      <c r="H84">
        <v>73000</v>
      </c>
      <c r="I84">
        <v>13975</v>
      </c>
      <c r="J84">
        <v>59025</v>
      </c>
      <c r="K84" t="s">
        <v>1635</v>
      </c>
      <c r="L84">
        <v>2430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238</v>
      </c>
      <c r="D85" t="s">
        <v>239</v>
      </c>
      <c r="E85" s="8">
        <v>46038</v>
      </c>
      <c r="F85">
        <v>7</v>
      </c>
      <c r="G85">
        <v>4060</v>
      </c>
      <c r="H85">
        <v>74625</v>
      </c>
      <c r="I85">
        <v>22866.67</v>
      </c>
      <c r="J85">
        <v>51758.33</v>
      </c>
      <c r="K85" t="s">
        <v>1635</v>
      </c>
      <c r="L85">
        <v>4060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240</v>
      </c>
      <c r="D86" t="s">
        <v>241</v>
      </c>
      <c r="E86" s="8">
        <v>46038</v>
      </c>
      <c r="F86">
        <v>7</v>
      </c>
      <c r="G86">
        <v>3080</v>
      </c>
      <c r="H86">
        <v>100000</v>
      </c>
      <c r="I86">
        <v>18480</v>
      </c>
      <c r="J86">
        <v>81520</v>
      </c>
      <c r="K86" t="s">
        <v>1635</v>
      </c>
      <c r="L86">
        <v>3080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306</v>
      </c>
      <c r="D87" t="s">
        <v>307</v>
      </c>
      <c r="E87" s="8">
        <v>46038</v>
      </c>
      <c r="F87">
        <v>7</v>
      </c>
      <c r="G87">
        <v>2728</v>
      </c>
      <c r="H87">
        <v>77921</v>
      </c>
      <c r="I87">
        <v>16220</v>
      </c>
      <c r="J87">
        <v>61701</v>
      </c>
      <c r="K87" t="s">
        <v>1635</v>
      </c>
      <c r="L87">
        <v>2728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310</v>
      </c>
      <c r="D88" t="s">
        <v>311</v>
      </c>
      <c r="E88" s="8">
        <v>46031</v>
      </c>
      <c r="F88">
        <v>7</v>
      </c>
      <c r="G88">
        <v>2754</v>
      </c>
      <c r="H88">
        <v>98000</v>
      </c>
      <c r="I88">
        <v>13836</v>
      </c>
      <c r="J88">
        <v>84164</v>
      </c>
      <c r="K88" t="s">
        <v>1635</v>
      </c>
      <c r="L88">
        <v>2754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318</v>
      </c>
      <c r="D89" t="s">
        <v>319</v>
      </c>
      <c r="E89" s="8">
        <v>46031</v>
      </c>
      <c r="F89">
        <v>7</v>
      </c>
      <c r="G89">
        <v>3330</v>
      </c>
      <c r="H89">
        <v>80000</v>
      </c>
      <c r="I89">
        <v>18130</v>
      </c>
      <c r="J89">
        <v>61870</v>
      </c>
      <c r="K89" t="s">
        <v>1635</v>
      </c>
      <c r="L89">
        <v>3330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322</v>
      </c>
      <c r="D90" t="s">
        <v>323</v>
      </c>
      <c r="E90" s="8">
        <v>46031</v>
      </c>
      <c r="F90">
        <v>7</v>
      </c>
      <c r="G90">
        <v>1105</v>
      </c>
      <c r="H90">
        <v>19454</v>
      </c>
      <c r="I90">
        <v>6630</v>
      </c>
      <c r="J90">
        <v>12824</v>
      </c>
      <c r="K90" t="s">
        <v>1635</v>
      </c>
      <c r="L90">
        <v>1105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324</v>
      </c>
      <c r="D91" t="s">
        <v>325</v>
      </c>
      <c r="E91" s="8">
        <v>46031</v>
      </c>
      <c r="F91">
        <v>7</v>
      </c>
      <c r="G91">
        <v>2250</v>
      </c>
      <c r="H91">
        <v>69260</v>
      </c>
      <c r="I91">
        <v>10500</v>
      </c>
      <c r="J91">
        <v>58760</v>
      </c>
      <c r="K91" t="s">
        <v>1635</v>
      </c>
      <c r="L91">
        <v>2250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326</v>
      </c>
      <c r="D92" t="s">
        <v>327</v>
      </c>
      <c r="E92" s="8">
        <v>46031</v>
      </c>
      <c r="F92">
        <v>7</v>
      </c>
      <c r="G92">
        <v>2236.67</v>
      </c>
      <c r="H92">
        <v>122717</v>
      </c>
      <c r="I92">
        <v>24552</v>
      </c>
      <c r="J92">
        <v>98165</v>
      </c>
      <c r="K92" t="s">
        <v>1635</v>
      </c>
      <c r="L92">
        <v>2236.67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334</v>
      </c>
      <c r="D93" t="s">
        <v>335</v>
      </c>
      <c r="E93" s="8">
        <v>46038</v>
      </c>
      <c r="F93">
        <v>7</v>
      </c>
      <c r="G93">
        <v>4060</v>
      </c>
      <c r="H93">
        <v>119788</v>
      </c>
      <c r="I93">
        <v>22966.67</v>
      </c>
      <c r="J93">
        <v>96821.33</v>
      </c>
      <c r="K93" t="s">
        <v>1635</v>
      </c>
      <c r="L93">
        <v>4060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340</v>
      </c>
      <c r="D94" t="s">
        <v>341</v>
      </c>
      <c r="E94" s="8">
        <v>46031</v>
      </c>
      <c r="F94">
        <v>7</v>
      </c>
      <c r="G94">
        <v>3835</v>
      </c>
      <c r="H94">
        <v>118000</v>
      </c>
      <c r="I94">
        <v>21625</v>
      </c>
      <c r="J94">
        <v>96375</v>
      </c>
      <c r="K94" t="s">
        <v>1635</v>
      </c>
      <c r="L94">
        <v>3835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342</v>
      </c>
      <c r="D95" t="s">
        <v>343</v>
      </c>
      <c r="E95" s="8">
        <v>46031</v>
      </c>
      <c r="F95">
        <v>7</v>
      </c>
      <c r="G95">
        <v>5760</v>
      </c>
      <c r="H95">
        <v>173888</v>
      </c>
      <c r="I95">
        <v>32400</v>
      </c>
      <c r="J95">
        <v>141488</v>
      </c>
      <c r="K95" t="s">
        <v>1635</v>
      </c>
      <c r="L95">
        <v>5760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346</v>
      </c>
      <c r="D96" t="s">
        <v>347</v>
      </c>
      <c r="E96" s="8">
        <v>46038</v>
      </c>
      <c r="F96">
        <v>7</v>
      </c>
      <c r="G96">
        <v>3420</v>
      </c>
      <c r="H96">
        <v>109415</v>
      </c>
      <c r="I96">
        <v>19400</v>
      </c>
      <c r="J96">
        <v>90015</v>
      </c>
      <c r="K96" t="s">
        <v>1635</v>
      </c>
      <c r="L96">
        <v>3420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350</v>
      </c>
      <c r="D97" t="s">
        <v>351</v>
      </c>
      <c r="E97" s="8">
        <v>46031</v>
      </c>
      <c r="F97">
        <v>7</v>
      </c>
      <c r="G97">
        <v>2940</v>
      </c>
      <c r="H97">
        <v>90777</v>
      </c>
      <c r="I97">
        <v>17100</v>
      </c>
      <c r="J97">
        <v>73677</v>
      </c>
      <c r="K97" t="s">
        <v>1635</v>
      </c>
      <c r="L97">
        <v>2940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360</v>
      </c>
      <c r="D98" t="s">
        <v>361</v>
      </c>
      <c r="E98" s="8">
        <v>46031</v>
      </c>
      <c r="F98">
        <v>7</v>
      </c>
      <c r="G98">
        <v>2060</v>
      </c>
      <c r="H98">
        <v>80000</v>
      </c>
      <c r="I98">
        <v>16176.6</v>
      </c>
      <c r="J98">
        <v>63823.4</v>
      </c>
      <c r="K98" t="s">
        <v>1635</v>
      </c>
      <c r="L98">
        <v>2060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364</v>
      </c>
      <c r="D99" t="s">
        <v>365</v>
      </c>
      <c r="E99" s="8">
        <v>46031</v>
      </c>
      <c r="F99">
        <v>7</v>
      </c>
      <c r="G99">
        <v>2795</v>
      </c>
      <c r="H99">
        <v>83042</v>
      </c>
      <c r="I99">
        <v>16770</v>
      </c>
      <c r="J99">
        <v>66272</v>
      </c>
      <c r="K99" t="s">
        <v>1635</v>
      </c>
      <c r="L99">
        <v>2795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370</v>
      </c>
      <c r="D100" t="s">
        <v>371</v>
      </c>
      <c r="E100" s="8">
        <v>46038</v>
      </c>
      <c r="F100">
        <v>7</v>
      </c>
      <c r="G100">
        <v>2597</v>
      </c>
      <c r="H100">
        <v>77700</v>
      </c>
      <c r="I100">
        <v>15582</v>
      </c>
      <c r="J100">
        <v>62118</v>
      </c>
      <c r="K100" t="s">
        <v>1635</v>
      </c>
      <c r="L100">
        <v>2597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401</v>
      </c>
      <c r="D101" t="s">
        <v>402</v>
      </c>
      <c r="E101" s="8">
        <v>46038</v>
      </c>
      <c r="F101">
        <v>7</v>
      </c>
      <c r="G101">
        <v>3536</v>
      </c>
      <c r="H101">
        <v>121325</v>
      </c>
      <c r="I101">
        <v>21216</v>
      </c>
      <c r="J101">
        <v>100109</v>
      </c>
      <c r="K101" t="s">
        <v>1635</v>
      </c>
      <c r="L101">
        <v>3536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405</v>
      </c>
      <c r="D102" t="s">
        <v>406</v>
      </c>
      <c r="E102" s="8">
        <v>46031</v>
      </c>
      <c r="F102">
        <v>7</v>
      </c>
      <c r="G102">
        <v>3075</v>
      </c>
      <c r="H102">
        <v>89337</v>
      </c>
      <c r="I102">
        <v>18450</v>
      </c>
      <c r="J102">
        <v>70887</v>
      </c>
      <c r="K102" t="s">
        <v>1635</v>
      </c>
      <c r="L102">
        <v>3075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415</v>
      </c>
      <c r="D103" t="s">
        <v>416</v>
      </c>
      <c r="E103" s="8">
        <v>46038</v>
      </c>
      <c r="F103">
        <v>7</v>
      </c>
      <c r="G103">
        <v>1632</v>
      </c>
      <c r="H103">
        <v>46731</v>
      </c>
      <c r="I103">
        <v>9792</v>
      </c>
      <c r="J103">
        <v>36939</v>
      </c>
      <c r="K103" t="s">
        <v>1635</v>
      </c>
      <c r="L103">
        <v>1632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427</v>
      </c>
      <c r="D104" t="s">
        <v>428</v>
      </c>
      <c r="E104" s="8">
        <v>46038</v>
      </c>
      <c r="F104">
        <v>7</v>
      </c>
      <c r="G104">
        <v>4200</v>
      </c>
      <c r="H104">
        <v>151204</v>
      </c>
      <c r="I104">
        <v>23800</v>
      </c>
      <c r="J104">
        <v>127404</v>
      </c>
      <c r="K104" t="s">
        <v>1635</v>
      </c>
      <c r="L104">
        <v>4200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429</v>
      </c>
      <c r="D105" t="s">
        <v>430</v>
      </c>
      <c r="E105" s="8">
        <v>46038</v>
      </c>
      <c r="F105">
        <v>7</v>
      </c>
      <c r="G105">
        <v>3213</v>
      </c>
      <c r="H105">
        <v>120000</v>
      </c>
      <c r="I105">
        <v>18485</v>
      </c>
      <c r="J105">
        <v>101515</v>
      </c>
      <c r="K105" t="s">
        <v>1635</v>
      </c>
      <c r="L105">
        <v>3213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431</v>
      </c>
      <c r="D106" t="s">
        <v>432</v>
      </c>
      <c r="E106" s="8">
        <v>46038</v>
      </c>
      <c r="F106">
        <v>7</v>
      </c>
      <c r="G106">
        <v>4400</v>
      </c>
      <c r="H106">
        <v>159619</v>
      </c>
      <c r="I106">
        <v>24000</v>
      </c>
      <c r="J106">
        <v>135619</v>
      </c>
      <c r="K106" t="s">
        <v>1635</v>
      </c>
      <c r="L106">
        <v>4400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443</v>
      </c>
      <c r="D107" t="s">
        <v>444</v>
      </c>
      <c r="E107" s="8">
        <v>46038</v>
      </c>
      <c r="F107">
        <v>7</v>
      </c>
      <c r="G107">
        <v>2914</v>
      </c>
      <c r="H107">
        <v>84000</v>
      </c>
      <c r="I107">
        <v>16550</v>
      </c>
      <c r="J107">
        <v>67450</v>
      </c>
      <c r="K107" t="s">
        <v>1635</v>
      </c>
      <c r="L107">
        <v>2914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465</v>
      </c>
      <c r="D108" t="s">
        <v>466</v>
      </c>
      <c r="E108" s="8">
        <v>46031</v>
      </c>
      <c r="F108">
        <v>7</v>
      </c>
      <c r="G108">
        <v>3705</v>
      </c>
      <c r="H108">
        <v>112715</v>
      </c>
      <c r="I108">
        <v>21125</v>
      </c>
      <c r="J108">
        <v>91590</v>
      </c>
      <c r="K108" t="s">
        <v>1635</v>
      </c>
      <c r="L108">
        <v>3705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467</v>
      </c>
      <c r="D109" t="s">
        <v>468</v>
      </c>
      <c r="E109" s="8">
        <v>46031</v>
      </c>
      <c r="F109">
        <v>7</v>
      </c>
      <c r="G109">
        <v>1320</v>
      </c>
      <c r="H109">
        <v>22853</v>
      </c>
      <c r="I109">
        <v>7920</v>
      </c>
      <c r="J109">
        <v>14933</v>
      </c>
      <c r="K109" t="s">
        <v>1635</v>
      </c>
      <c r="L109">
        <v>1320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483</v>
      </c>
      <c r="D110" t="s">
        <v>484</v>
      </c>
      <c r="E110" s="8">
        <v>46031</v>
      </c>
      <c r="F110">
        <v>7</v>
      </c>
      <c r="G110">
        <v>4120</v>
      </c>
      <c r="H110">
        <v>137380</v>
      </c>
      <c r="I110">
        <v>21443</v>
      </c>
      <c r="J110">
        <v>115937</v>
      </c>
      <c r="K110" t="s">
        <v>1635</v>
      </c>
      <c r="L110">
        <v>4120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487</v>
      </c>
      <c r="D111" t="s">
        <v>488</v>
      </c>
      <c r="E111" s="8">
        <v>46031</v>
      </c>
      <c r="F111">
        <v>7</v>
      </c>
      <c r="G111">
        <v>2635.2</v>
      </c>
      <c r="H111">
        <v>77000</v>
      </c>
      <c r="I111">
        <v>15064</v>
      </c>
      <c r="J111">
        <v>61936</v>
      </c>
      <c r="K111" t="s">
        <v>1635</v>
      </c>
      <c r="L111">
        <v>2635.2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489</v>
      </c>
      <c r="D112" t="s">
        <v>490</v>
      </c>
      <c r="E112" s="8">
        <v>46038</v>
      </c>
      <c r="F112">
        <v>7</v>
      </c>
      <c r="G112">
        <v>1650</v>
      </c>
      <c r="H112">
        <v>28225</v>
      </c>
      <c r="I112">
        <v>9900</v>
      </c>
      <c r="J112">
        <v>18325</v>
      </c>
      <c r="K112" t="s">
        <v>1635</v>
      </c>
      <c r="L112">
        <v>1650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493</v>
      </c>
      <c r="D113" t="s">
        <v>494</v>
      </c>
      <c r="E113" s="8">
        <v>46038</v>
      </c>
      <c r="F113">
        <v>7</v>
      </c>
      <c r="G113">
        <v>3538</v>
      </c>
      <c r="H113">
        <v>109196</v>
      </c>
      <c r="I113">
        <v>20010</v>
      </c>
      <c r="J113">
        <v>89186</v>
      </c>
      <c r="K113" t="s">
        <v>1635</v>
      </c>
      <c r="L113">
        <v>3538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507</v>
      </c>
      <c r="D114" t="s">
        <v>508</v>
      </c>
      <c r="E114" s="8">
        <v>46038</v>
      </c>
      <c r="F114">
        <v>7</v>
      </c>
      <c r="G114">
        <v>3480</v>
      </c>
      <c r="H114">
        <v>105075</v>
      </c>
      <c r="I114">
        <v>19000</v>
      </c>
      <c r="J114">
        <v>86075</v>
      </c>
      <c r="K114" t="s">
        <v>1635</v>
      </c>
      <c r="L114">
        <v>3480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509</v>
      </c>
      <c r="D115" t="s">
        <v>510</v>
      </c>
      <c r="E115" s="8">
        <v>46038</v>
      </c>
      <c r="F115">
        <v>7</v>
      </c>
      <c r="G115">
        <v>3922</v>
      </c>
      <c r="H115">
        <v>119603</v>
      </c>
      <c r="I115">
        <v>21730</v>
      </c>
      <c r="J115">
        <v>97873</v>
      </c>
      <c r="K115" t="s">
        <v>1635</v>
      </c>
      <c r="L115">
        <v>3922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513</v>
      </c>
      <c r="D116" t="s">
        <v>514</v>
      </c>
      <c r="E116" s="8">
        <v>46038</v>
      </c>
      <c r="F116">
        <v>7</v>
      </c>
      <c r="G116">
        <v>2565</v>
      </c>
      <c r="H116">
        <v>78200</v>
      </c>
      <c r="I116">
        <v>14625</v>
      </c>
      <c r="J116">
        <v>63575</v>
      </c>
      <c r="K116" t="s">
        <v>1635</v>
      </c>
      <c r="L116">
        <v>2565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519</v>
      </c>
      <c r="D117" t="s">
        <v>520</v>
      </c>
      <c r="E117" s="8">
        <v>46038</v>
      </c>
      <c r="F117">
        <v>7</v>
      </c>
      <c r="G117">
        <v>2200</v>
      </c>
      <c r="H117">
        <v>110000</v>
      </c>
      <c r="I117">
        <v>20770</v>
      </c>
      <c r="J117">
        <v>89230</v>
      </c>
      <c r="K117" t="s">
        <v>1635</v>
      </c>
      <c r="L117">
        <v>2200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521</v>
      </c>
      <c r="D118" t="s">
        <v>522</v>
      </c>
      <c r="E118" s="8">
        <v>46031</v>
      </c>
      <c r="F118">
        <v>7</v>
      </c>
      <c r="G118">
        <v>1302</v>
      </c>
      <c r="H118">
        <v>23001</v>
      </c>
      <c r="I118">
        <v>7812</v>
      </c>
      <c r="J118">
        <v>15189</v>
      </c>
      <c r="K118" t="s">
        <v>1635</v>
      </c>
      <c r="L118">
        <v>1302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523</v>
      </c>
      <c r="D119" t="s">
        <v>524</v>
      </c>
      <c r="E119" s="8">
        <v>46031</v>
      </c>
      <c r="F119">
        <v>7</v>
      </c>
      <c r="G119">
        <v>1755</v>
      </c>
      <c r="H119">
        <v>31400</v>
      </c>
      <c r="I119">
        <v>10530</v>
      </c>
      <c r="J119">
        <v>20870</v>
      </c>
      <c r="K119" t="s">
        <v>1635</v>
      </c>
      <c r="L119">
        <v>1755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527</v>
      </c>
      <c r="D120" t="s">
        <v>528</v>
      </c>
      <c r="E120" s="8">
        <v>46038</v>
      </c>
      <c r="F120">
        <v>7</v>
      </c>
      <c r="G120">
        <v>4575</v>
      </c>
      <c r="H120">
        <v>135731</v>
      </c>
      <c r="I120">
        <v>25925</v>
      </c>
      <c r="J120">
        <v>109806</v>
      </c>
      <c r="K120" t="s">
        <v>1635</v>
      </c>
      <c r="L120">
        <v>4575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539</v>
      </c>
      <c r="D121" t="s">
        <v>540</v>
      </c>
      <c r="E121" s="8">
        <v>46038</v>
      </c>
      <c r="F121">
        <v>7</v>
      </c>
      <c r="G121">
        <v>2745</v>
      </c>
      <c r="H121">
        <v>82476</v>
      </c>
      <c r="I121">
        <v>15525</v>
      </c>
      <c r="J121">
        <v>66951</v>
      </c>
      <c r="K121" t="s">
        <v>1635</v>
      </c>
      <c r="L121">
        <v>2745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541</v>
      </c>
      <c r="D122" t="s">
        <v>542</v>
      </c>
      <c r="E122" s="8">
        <v>46038</v>
      </c>
      <c r="F122">
        <v>7</v>
      </c>
      <c r="G122">
        <v>4290</v>
      </c>
      <c r="H122">
        <v>130000</v>
      </c>
      <c r="I122">
        <v>23650</v>
      </c>
      <c r="J122">
        <v>106350</v>
      </c>
      <c r="K122" t="s">
        <v>1635</v>
      </c>
      <c r="L122">
        <v>4290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544</v>
      </c>
      <c r="D123" t="s">
        <v>545</v>
      </c>
      <c r="E123" s="8">
        <v>46031</v>
      </c>
      <c r="F123">
        <v>7</v>
      </c>
      <c r="G123">
        <v>3339</v>
      </c>
      <c r="H123">
        <v>101368</v>
      </c>
      <c r="I123">
        <v>18815</v>
      </c>
      <c r="J123">
        <v>82553</v>
      </c>
      <c r="K123" t="s">
        <v>1635</v>
      </c>
      <c r="L123">
        <v>3339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554</v>
      </c>
      <c r="D124" t="s">
        <v>555</v>
      </c>
      <c r="E124" s="8">
        <v>46031</v>
      </c>
      <c r="F124">
        <v>7</v>
      </c>
      <c r="G124">
        <v>5358</v>
      </c>
      <c r="H124">
        <v>163831</v>
      </c>
      <c r="I124">
        <v>30500</v>
      </c>
      <c r="J124">
        <v>133331</v>
      </c>
      <c r="K124" t="s">
        <v>1635</v>
      </c>
      <c r="L124">
        <v>5358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558</v>
      </c>
      <c r="D125" t="s">
        <v>559</v>
      </c>
      <c r="E125" s="8">
        <v>46031</v>
      </c>
      <c r="F125">
        <v>7</v>
      </c>
      <c r="G125">
        <v>1440</v>
      </c>
      <c r="H125">
        <v>25912</v>
      </c>
      <c r="I125">
        <v>8640</v>
      </c>
      <c r="J125">
        <v>17272</v>
      </c>
      <c r="K125" t="s">
        <v>1635</v>
      </c>
      <c r="L125">
        <v>1440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571</v>
      </c>
      <c r="D126" t="s">
        <v>572</v>
      </c>
      <c r="E126" s="8">
        <v>46038</v>
      </c>
      <c r="F126">
        <v>7</v>
      </c>
      <c r="G126">
        <v>2271.5</v>
      </c>
      <c r="H126">
        <v>68100</v>
      </c>
      <c r="I126">
        <v>12917.5</v>
      </c>
      <c r="J126">
        <v>55182.5</v>
      </c>
      <c r="K126" t="s">
        <v>1635</v>
      </c>
      <c r="L126">
        <v>2271.5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577</v>
      </c>
      <c r="D127" t="s">
        <v>578</v>
      </c>
      <c r="E127" s="8">
        <v>46038</v>
      </c>
      <c r="F127">
        <v>7</v>
      </c>
      <c r="G127">
        <v>5880</v>
      </c>
      <c r="H127">
        <v>179000</v>
      </c>
      <c r="I127">
        <v>30398</v>
      </c>
      <c r="J127">
        <v>148602</v>
      </c>
      <c r="K127" t="s">
        <v>1635</v>
      </c>
      <c r="L127">
        <v>5880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580</v>
      </c>
      <c r="D128" t="s">
        <v>581</v>
      </c>
      <c r="E128" s="8">
        <v>46038</v>
      </c>
      <c r="F128">
        <v>7</v>
      </c>
      <c r="G128">
        <v>1254</v>
      </c>
      <c r="H128">
        <v>37493</v>
      </c>
      <c r="I128">
        <v>7524</v>
      </c>
      <c r="J128">
        <v>29969</v>
      </c>
      <c r="K128" t="s">
        <v>1635</v>
      </c>
      <c r="L128">
        <v>1254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586</v>
      </c>
      <c r="D129" t="s">
        <v>587</v>
      </c>
      <c r="E129" s="8">
        <v>46038</v>
      </c>
      <c r="F129">
        <v>7</v>
      </c>
      <c r="G129">
        <v>5280</v>
      </c>
      <c r="H129">
        <v>160380</v>
      </c>
      <c r="I129">
        <v>30240</v>
      </c>
      <c r="J129">
        <v>130140</v>
      </c>
      <c r="K129" t="s">
        <v>1635</v>
      </c>
      <c r="L129">
        <v>5280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590</v>
      </c>
      <c r="D130" t="s">
        <v>591</v>
      </c>
      <c r="E130" s="8">
        <v>46031</v>
      </c>
      <c r="F130">
        <v>7</v>
      </c>
      <c r="G130">
        <v>1491</v>
      </c>
      <c r="H130">
        <v>27758</v>
      </c>
      <c r="I130">
        <v>8946</v>
      </c>
      <c r="J130">
        <v>18812</v>
      </c>
      <c r="K130" t="s">
        <v>1635</v>
      </c>
      <c r="L130">
        <v>1491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594</v>
      </c>
      <c r="D131" t="s">
        <v>595</v>
      </c>
      <c r="E131" s="8">
        <v>46038</v>
      </c>
      <c r="F131">
        <v>7</v>
      </c>
      <c r="G131">
        <v>2772</v>
      </c>
      <c r="H131">
        <v>84510</v>
      </c>
      <c r="I131">
        <v>15540</v>
      </c>
      <c r="J131">
        <v>68970</v>
      </c>
      <c r="K131" t="s">
        <v>1635</v>
      </c>
      <c r="L131">
        <v>2772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598</v>
      </c>
      <c r="D132" t="s">
        <v>599</v>
      </c>
      <c r="E132" s="8">
        <v>46038</v>
      </c>
      <c r="F132">
        <v>7</v>
      </c>
      <c r="G132">
        <v>4650</v>
      </c>
      <c r="H132">
        <v>138500</v>
      </c>
      <c r="I132">
        <v>25830</v>
      </c>
      <c r="J132">
        <v>112670</v>
      </c>
      <c r="K132" t="s">
        <v>1635</v>
      </c>
      <c r="L132">
        <v>4650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600</v>
      </c>
      <c r="D133" t="s">
        <v>601</v>
      </c>
      <c r="E133" s="8">
        <v>46031</v>
      </c>
      <c r="F133">
        <v>7</v>
      </c>
      <c r="G133">
        <v>4524</v>
      </c>
      <c r="H133">
        <v>136666</v>
      </c>
      <c r="I133">
        <v>24700</v>
      </c>
      <c r="J133">
        <v>111966</v>
      </c>
      <c r="K133" t="s">
        <v>1635</v>
      </c>
      <c r="L133">
        <v>4524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615</v>
      </c>
      <c r="D134" t="s">
        <v>616</v>
      </c>
      <c r="E134" s="8">
        <v>46038</v>
      </c>
      <c r="F134">
        <v>7</v>
      </c>
      <c r="G134">
        <v>2250</v>
      </c>
      <c r="H134">
        <v>68787</v>
      </c>
      <c r="I134">
        <v>13050</v>
      </c>
      <c r="J134">
        <v>55737</v>
      </c>
      <c r="K134" t="s">
        <v>1635</v>
      </c>
      <c r="L134">
        <v>2250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632</v>
      </c>
      <c r="D135" t="s">
        <v>633</v>
      </c>
      <c r="E135" s="8">
        <v>46031</v>
      </c>
      <c r="F135">
        <v>7</v>
      </c>
      <c r="G135">
        <v>2928</v>
      </c>
      <c r="H135">
        <v>85000</v>
      </c>
      <c r="I135">
        <v>16660</v>
      </c>
      <c r="J135">
        <v>68340</v>
      </c>
      <c r="K135" t="s">
        <v>1635</v>
      </c>
      <c r="L135">
        <v>2928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638</v>
      </c>
      <c r="D136" t="s">
        <v>639</v>
      </c>
      <c r="E136" s="8">
        <v>46031</v>
      </c>
      <c r="F136">
        <v>7</v>
      </c>
      <c r="G136">
        <v>1273</v>
      </c>
      <c r="H136">
        <v>22732</v>
      </c>
      <c r="I136">
        <v>7638</v>
      </c>
      <c r="J136">
        <v>15094</v>
      </c>
      <c r="K136" t="s">
        <v>1635</v>
      </c>
      <c r="L136">
        <v>1273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640</v>
      </c>
      <c r="D137" t="s">
        <v>641</v>
      </c>
      <c r="E137" s="8">
        <v>46038</v>
      </c>
      <c r="F137">
        <v>7</v>
      </c>
      <c r="G137">
        <v>2520</v>
      </c>
      <c r="H137">
        <v>76300</v>
      </c>
      <c r="I137">
        <v>14400</v>
      </c>
      <c r="J137">
        <v>61900</v>
      </c>
      <c r="K137" t="s">
        <v>1635</v>
      </c>
      <c r="L137">
        <v>2520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651</v>
      </c>
      <c r="D138" t="s">
        <v>652</v>
      </c>
      <c r="E138" s="8">
        <v>46038</v>
      </c>
      <c r="F138">
        <v>7</v>
      </c>
      <c r="G138">
        <v>4875</v>
      </c>
      <c r="H138">
        <v>148000</v>
      </c>
      <c r="I138">
        <v>26975</v>
      </c>
      <c r="J138">
        <v>121025</v>
      </c>
      <c r="K138" t="s">
        <v>1635</v>
      </c>
      <c r="L138">
        <v>4875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661</v>
      </c>
      <c r="D139" t="s">
        <v>662</v>
      </c>
      <c r="E139" s="8">
        <v>46038</v>
      </c>
      <c r="F139">
        <v>7</v>
      </c>
      <c r="G139">
        <v>4005</v>
      </c>
      <c r="H139">
        <v>121500</v>
      </c>
      <c r="I139">
        <v>21825</v>
      </c>
      <c r="J139">
        <v>99675</v>
      </c>
      <c r="K139" t="s">
        <v>1635</v>
      </c>
      <c r="L139">
        <v>4005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665</v>
      </c>
      <c r="D140" t="s">
        <v>666</v>
      </c>
      <c r="E140" s="8">
        <v>46038</v>
      </c>
      <c r="F140">
        <v>7</v>
      </c>
      <c r="G140">
        <v>1749</v>
      </c>
      <c r="H140">
        <v>30538</v>
      </c>
      <c r="I140">
        <v>10890</v>
      </c>
      <c r="J140">
        <v>19648</v>
      </c>
      <c r="K140" t="s">
        <v>1635</v>
      </c>
      <c r="L140">
        <v>1749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669</v>
      </c>
      <c r="D141" t="s">
        <v>670</v>
      </c>
      <c r="E141" s="8">
        <v>46038</v>
      </c>
      <c r="F141">
        <v>7</v>
      </c>
      <c r="G141">
        <v>3834</v>
      </c>
      <c r="H141">
        <v>111671</v>
      </c>
      <c r="I141">
        <v>21430</v>
      </c>
      <c r="J141">
        <v>90241</v>
      </c>
      <c r="K141" t="s">
        <v>1635</v>
      </c>
      <c r="L141">
        <v>3834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677</v>
      </c>
      <c r="D142" t="s">
        <v>678</v>
      </c>
      <c r="E142" s="8">
        <v>46038</v>
      </c>
      <c r="F142">
        <v>7</v>
      </c>
      <c r="G142">
        <v>2576</v>
      </c>
      <c r="H142">
        <v>75768</v>
      </c>
      <c r="I142">
        <v>14770</v>
      </c>
      <c r="J142">
        <v>60998</v>
      </c>
      <c r="K142" t="s">
        <v>1635</v>
      </c>
      <c r="L142">
        <v>2576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694</v>
      </c>
      <c r="D143" t="s">
        <v>695</v>
      </c>
      <c r="E143" s="8">
        <v>46038</v>
      </c>
      <c r="F143">
        <v>7</v>
      </c>
      <c r="G143">
        <v>1320</v>
      </c>
      <c r="H143">
        <v>26600</v>
      </c>
      <c r="I143">
        <v>7920</v>
      </c>
      <c r="J143">
        <v>18680</v>
      </c>
      <c r="K143" t="s">
        <v>1635</v>
      </c>
      <c r="L143">
        <v>1320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707</v>
      </c>
      <c r="D144" t="s">
        <v>708</v>
      </c>
      <c r="E144" s="8">
        <v>46038</v>
      </c>
      <c r="F144">
        <v>7</v>
      </c>
      <c r="G144">
        <v>3354</v>
      </c>
      <c r="H144">
        <v>103822</v>
      </c>
      <c r="I144">
        <v>18490</v>
      </c>
      <c r="J144">
        <v>85332</v>
      </c>
      <c r="K144" t="s">
        <v>1635</v>
      </c>
      <c r="L144">
        <v>3354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38</v>
      </c>
      <c r="D145" t="s">
        <v>39</v>
      </c>
      <c r="E145" s="8">
        <v>46038</v>
      </c>
      <c r="F145">
        <v>8</v>
      </c>
      <c r="G145">
        <v>1840</v>
      </c>
      <c r="H145">
        <v>55000</v>
      </c>
      <c r="I145">
        <v>12880</v>
      </c>
      <c r="J145">
        <v>42120</v>
      </c>
      <c r="K145" t="s">
        <v>1635</v>
      </c>
      <c r="L145">
        <v>1840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53</v>
      </c>
      <c r="D146" t="s">
        <v>54</v>
      </c>
      <c r="E146" s="8">
        <v>46031</v>
      </c>
      <c r="F146">
        <v>8</v>
      </c>
      <c r="G146">
        <v>3471</v>
      </c>
      <c r="H146">
        <v>103759</v>
      </c>
      <c r="I146">
        <v>24297</v>
      </c>
      <c r="J146">
        <v>79462</v>
      </c>
      <c r="K146" t="s">
        <v>1635</v>
      </c>
      <c r="L146">
        <v>3471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55</v>
      </c>
      <c r="D147" t="s">
        <v>56</v>
      </c>
      <c r="E147" s="8">
        <v>46038</v>
      </c>
      <c r="F147">
        <v>8</v>
      </c>
      <c r="G147">
        <v>3045</v>
      </c>
      <c r="H147">
        <v>90955</v>
      </c>
      <c r="I147">
        <v>18270</v>
      </c>
      <c r="J147">
        <v>72685</v>
      </c>
      <c r="K147" t="s">
        <v>1635</v>
      </c>
      <c r="L147">
        <v>3045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75</v>
      </c>
      <c r="D148" t="s">
        <v>76</v>
      </c>
      <c r="E148" s="8">
        <v>46038</v>
      </c>
      <c r="F148">
        <v>8</v>
      </c>
      <c r="G148">
        <v>4108</v>
      </c>
      <c r="H148">
        <v>75868</v>
      </c>
      <c r="I148">
        <v>26728</v>
      </c>
      <c r="J148">
        <v>49140</v>
      </c>
      <c r="K148" t="s">
        <v>1635</v>
      </c>
      <c r="L148">
        <v>4108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102</v>
      </c>
      <c r="D149" t="s">
        <v>103</v>
      </c>
      <c r="E149" s="8">
        <v>46038</v>
      </c>
      <c r="F149">
        <v>8</v>
      </c>
      <c r="G149">
        <v>5460</v>
      </c>
      <c r="H149">
        <v>100000</v>
      </c>
      <c r="I149">
        <v>35310</v>
      </c>
      <c r="J149">
        <v>64690</v>
      </c>
      <c r="K149" t="s">
        <v>1635</v>
      </c>
      <c r="L149">
        <v>5460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106</v>
      </c>
      <c r="D150" t="s">
        <v>107</v>
      </c>
      <c r="E150" s="8">
        <v>46031</v>
      </c>
      <c r="F150">
        <v>8</v>
      </c>
      <c r="G150">
        <v>2926</v>
      </c>
      <c r="H150">
        <v>91996</v>
      </c>
      <c r="I150">
        <v>20482</v>
      </c>
      <c r="J150">
        <v>71514</v>
      </c>
      <c r="K150" t="s">
        <v>1635</v>
      </c>
      <c r="L150">
        <v>2926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108</v>
      </c>
      <c r="D151" t="s">
        <v>109</v>
      </c>
      <c r="E151" s="8">
        <v>46031</v>
      </c>
      <c r="F151">
        <v>8</v>
      </c>
      <c r="G151">
        <v>2709</v>
      </c>
      <c r="H151">
        <v>85845</v>
      </c>
      <c r="I151">
        <v>18624</v>
      </c>
      <c r="J151">
        <v>67221</v>
      </c>
      <c r="K151" t="s">
        <v>1635</v>
      </c>
      <c r="L151">
        <v>2709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123</v>
      </c>
      <c r="D152" t="s">
        <v>124</v>
      </c>
      <c r="E152" s="8">
        <v>46031</v>
      </c>
      <c r="F152">
        <v>8</v>
      </c>
      <c r="G152">
        <v>2700</v>
      </c>
      <c r="H152">
        <v>78148</v>
      </c>
      <c r="I152">
        <v>17775</v>
      </c>
      <c r="J152">
        <v>60373</v>
      </c>
      <c r="K152" t="s">
        <v>1635</v>
      </c>
      <c r="L152">
        <v>2700</v>
      </c>
      <c r="M152" t="s">
        <v>1635</v>
      </c>
      <c r="N152">
        <v>0</v>
      </c>
    </row>
    <row r="153" spans="1:14">
      <c r="A153">
        <v>1</v>
      </c>
      <c r="B153" t="s">
        <v>15</v>
      </c>
      <c r="C153" t="s">
        <v>129</v>
      </c>
      <c r="D153" t="s">
        <v>130</v>
      </c>
      <c r="E153" s="8">
        <v>46038</v>
      </c>
      <c r="F153">
        <v>8</v>
      </c>
      <c r="G153">
        <v>3080</v>
      </c>
      <c r="H153">
        <v>94515</v>
      </c>
      <c r="I153">
        <v>21364</v>
      </c>
      <c r="J153">
        <v>73151</v>
      </c>
      <c r="K153" t="s">
        <v>1635</v>
      </c>
      <c r="L153">
        <v>3080</v>
      </c>
      <c r="M153" t="s">
        <v>1635</v>
      </c>
      <c r="N153">
        <v>0</v>
      </c>
    </row>
    <row r="154" spans="1:14">
      <c r="A154">
        <v>1</v>
      </c>
      <c r="B154" t="s">
        <v>15</v>
      </c>
      <c r="C154" t="s">
        <v>131</v>
      </c>
      <c r="D154" t="s">
        <v>132</v>
      </c>
      <c r="E154" s="8">
        <v>46038</v>
      </c>
      <c r="F154">
        <v>8</v>
      </c>
      <c r="G154">
        <v>3250</v>
      </c>
      <c r="H154">
        <v>98883</v>
      </c>
      <c r="I154">
        <v>22100</v>
      </c>
      <c r="J154">
        <v>76783</v>
      </c>
      <c r="K154" t="s">
        <v>1635</v>
      </c>
      <c r="L154">
        <v>3250</v>
      </c>
      <c r="M154" t="s">
        <v>1635</v>
      </c>
      <c r="N154">
        <v>0</v>
      </c>
    </row>
    <row r="155" spans="1:14">
      <c r="A155">
        <v>1</v>
      </c>
      <c r="B155" t="s">
        <v>15</v>
      </c>
      <c r="C155" t="s">
        <v>145</v>
      </c>
      <c r="D155" t="s">
        <v>146</v>
      </c>
      <c r="E155" s="8">
        <v>46031</v>
      </c>
      <c r="F155">
        <v>8</v>
      </c>
      <c r="G155">
        <v>2237.1999999999998</v>
      </c>
      <c r="H155">
        <v>78000</v>
      </c>
      <c r="I155">
        <v>15660.4</v>
      </c>
      <c r="J155">
        <v>62339.6</v>
      </c>
      <c r="K155" t="s">
        <v>1635</v>
      </c>
      <c r="L155">
        <v>2237.1999999999998</v>
      </c>
      <c r="M155" t="s">
        <v>1635</v>
      </c>
      <c r="N155">
        <v>0</v>
      </c>
    </row>
    <row r="156" spans="1:14">
      <c r="A156">
        <v>1</v>
      </c>
      <c r="B156" t="s">
        <v>15</v>
      </c>
      <c r="C156" t="s">
        <v>149</v>
      </c>
      <c r="D156" t="s">
        <v>150</v>
      </c>
      <c r="E156" s="8">
        <v>46038</v>
      </c>
      <c r="F156">
        <v>8</v>
      </c>
      <c r="G156">
        <v>3445</v>
      </c>
      <c r="H156">
        <v>104637</v>
      </c>
      <c r="I156">
        <v>23053.33</v>
      </c>
      <c r="J156">
        <v>81583.67</v>
      </c>
      <c r="K156" t="s">
        <v>1635</v>
      </c>
      <c r="L156">
        <v>3445</v>
      </c>
      <c r="M156" t="s">
        <v>1635</v>
      </c>
      <c r="N156">
        <v>0</v>
      </c>
    </row>
    <row r="157" spans="1:14">
      <c r="A157">
        <v>1</v>
      </c>
      <c r="B157" t="s">
        <v>15</v>
      </c>
      <c r="C157" t="s">
        <v>177</v>
      </c>
      <c r="D157" t="s">
        <v>178</v>
      </c>
      <c r="E157" s="8">
        <v>46038</v>
      </c>
      <c r="F157">
        <v>8</v>
      </c>
      <c r="G157">
        <v>3055</v>
      </c>
      <c r="H157">
        <v>73660</v>
      </c>
      <c r="I157">
        <v>20930</v>
      </c>
      <c r="J157">
        <v>52730</v>
      </c>
      <c r="K157" t="s">
        <v>1635</v>
      </c>
      <c r="L157">
        <v>3055</v>
      </c>
      <c r="M157" t="s">
        <v>1635</v>
      </c>
      <c r="N157">
        <v>0</v>
      </c>
    </row>
    <row r="158" spans="1:14">
      <c r="A158">
        <v>1</v>
      </c>
      <c r="B158" t="s">
        <v>15</v>
      </c>
      <c r="C158" t="s">
        <v>328</v>
      </c>
      <c r="D158" t="s">
        <v>329</v>
      </c>
      <c r="E158" s="8">
        <v>46038</v>
      </c>
      <c r="F158">
        <v>8</v>
      </c>
      <c r="G158">
        <v>3780</v>
      </c>
      <c r="H158">
        <v>114888</v>
      </c>
      <c r="I158">
        <v>24890</v>
      </c>
      <c r="J158">
        <v>89998</v>
      </c>
      <c r="K158" t="s">
        <v>1635</v>
      </c>
      <c r="L158">
        <v>3780</v>
      </c>
      <c r="M158" t="s">
        <v>1635</v>
      </c>
      <c r="N158">
        <v>0</v>
      </c>
    </row>
    <row r="159" spans="1:14">
      <c r="A159">
        <v>1</v>
      </c>
      <c r="B159" t="s">
        <v>15</v>
      </c>
      <c r="C159" t="s">
        <v>354</v>
      </c>
      <c r="D159" t="s">
        <v>355</v>
      </c>
      <c r="E159" s="8">
        <v>46031</v>
      </c>
      <c r="F159">
        <v>8</v>
      </c>
      <c r="G159">
        <v>3976</v>
      </c>
      <c r="H159">
        <v>117000</v>
      </c>
      <c r="I159">
        <v>26746</v>
      </c>
      <c r="J159">
        <v>90254</v>
      </c>
      <c r="K159" t="s">
        <v>1635</v>
      </c>
      <c r="L159">
        <v>3976</v>
      </c>
      <c r="M159" t="s">
        <v>1635</v>
      </c>
      <c r="N159">
        <v>0</v>
      </c>
    </row>
    <row r="160" spans="1:14">
      <c r="A160">
        <v>1</v>
      </c>
      <c r="B160" t="s">
        <v>15</v>
      </c>
      <c r="C160" t="s">
        <v>356</v>
      </c>
      <c r="D160" t="s">
        <v>357</v>
      </c>
      <c r="E160" s="8">
        <v>46038</v>
      </c>
      <c r="F160">
        <v>8</v>
      </c>
      <c r="G160">
        <v>4176</v>
      </c>
      <c r="H160">
        <v>126800</v>
      </c>
      <c r="I160">
        <v>26876</v>
      </c>
      <c r="J160">
        <v>99924</v>
      </c>
      <c r="K160" t="s">
        <v>1635</v>
      </c>
      <c r="L160">
        <v>4176</v>
      </c>
      <c r="M160" t="s">
        <v>1635</v>
      </c>
      <c r="N160">
        <v>0</v>
      </c>
    </row>
    <row r="161" spans="1:14">
      <c r="A161">
        <v>1</v>
      </c>
      <c r="B161" t="s">
        <v>15</v>
      </c>
      <c r="C161" t="s">
        <v>368</v>
      </c>
      <c r="D161" t="s">
        <v>369</v>
      </c>
      <c r="E161" s="8">
        <v>46031</v>
      </c>
      <c r="F161">
        <v>8</v>
      </c>
      <c r="G161">
        <v>1615</v>
      </c>
      <c r="H161">
        <v>28553</v>
      </c>
      <c r="I161">
        <v>11305</v>
      </c>
      <c r="J161">
        <v>17248</v>
      </c>
      <c r="K161" t="s">
        <v>1635</v>
      </c>
      <c r="L161">
        <v>1615</v>
      </c>
      <c r="M161" t="s">
        <v>1635</v>
      </c>
      <c r="N161">
        <v>0</v>
      </c>
    </row>
    <row r="162" spans="1:14">
      <c r="A162">
        <v>1</v>
      </c>
      <c r="B162" t="s">
        <v>15</v>
      </c>
      <c r="C162" t="s">
        <v>383</v>
      </c>
      <c r="D162" t="s">
        <v>384</v>
      </c>
      <c r="E162" s="8">
        <v>46031</v>
      </c>
      <c r="F162">
        <v>8</v>
      </c>
      <c r="G162">
        <v>1540</v>
      </c>
      <c r="H162">
        <v>44340</v>
      </c>
      <c r="I162">
        <v>9240</v>
      </c>
      <c r="J162">
        <v>35100</v>
      </c>
      <c r="K162" t="s">
        <v>1635</v>
      </c>
      <c r="L162">
        <v>1540</v>
      </c>
      <c r="M162" t="s">
        <v>1635</v>
      </c>
      <c r="N162">
        <v>0</v>
      </c>
    </row>
    <row r="163" spans="1:14">
      <c r="A163">
        <v>1</v>
      </c>
      <c r="B163" t="s">
        <v>15</v>
      </c>
      <c r="C163" t="s">
        <v>385</v>
      </c>
      <c r="D163" t="s">
        <v>386</v>
      </c>
      <c r="E163" s="8">
        <v>46031</v>
      </c>
      <c r="F163">
        <v>8</v>
      </c>
      <c r="G163">
        <v>2914</v>
      </c>
      <c r="H163">
        <v>87624</v>
      </c>
      <c r="I163">
        <v>19364</v>
      </c>
      <c r="J163">
        <v>68260</v>
      </c>
      <c r="K163" t="s">
        <v>1635</v>
      </c>
      <c r="L163">
        <v>2914</v>
      </c>
      <c r="M163" t="s">
        <v>1635</v>
      </c>
      <c r="N163">
        <v>0</v>
      </c>
    </row>
    <row r="164" spans="1:14">
      <c r="A164">
        <v>1</v>
      </c>
      <c r="B164" t="s">
        <v>15</v>
      </c>
      <c r="C164" t="s">
        <v>411</v>
      </c>
      <c r="D164" t="s">
        <v>412</v>
      </c>
      <c r="E164" s="8">
        <v>46031</v>
      </c>
      <c r="F164">
        <v>8</v>
      </c>
      <c r="G164">
        <v>368</v>
      </c>
      <c r="H164">
        <v>9216</v>
      </c>
      <c r="I164">
        <v>3588</v>
      </c>
      <c r="J164">
        <v>5628</v>
      </c>
      <c r="K164" t="s">
        <v>1635</v>
      </c>
      <c r="L164">
        <v>368</v>
      </c>
      <c r="M164" t="s">
        <v>1635</v>
      </c>
      <c r="N164">
        <v>0</v>
      </c>
    </row>
    <row r="165" spans="1:14">
      <c r="A165">
        <v>1</v>
      </c>
      <c r="B165" t="s">
        <v>15</v>
      </c>
      <c r="C165" t="s">
        <v>413</v>
      </c>
      <c r="D165" t="s">
        <v>414</v>
      </c>
      <c r="E165" s="8">
        <v>46038</v>
      </c>
      <c r="F165">
        <v>8</v>
      </c>
      <c r="G165">
        <v>1734</v>
      </c>
      <c r="H165">
        <v>50000</v>
      </c>
      <c r="I165">
        <v>12138</v>
      </c>
      <c r="J165">
        <v>37862</v>
      </c>
      <c r="K165" t="s">
        <v>1635</v>
      </c>
      <c r="L165">
        <v>1734</v>
      </c>
      <c r="M165" t="s">
        <v>1635</v>
      </c>
      <c r="N165">
        <v>0</v>
      </c>
    </row>
    <row r="166" spans="1:14">
      <c r="A166">
        <v>1</v>
      </c>
      <c r="B166" t="s">
        <v>15</v>
      </c>
      <c r="C166" t="s">
        <v>421</v>
      </c>
      <c r="D166" t="s">
        <v>422</v>
      </c>
      <c r="E166" s="8">
        <v>46038</v>
      </c>
      <c r="F166">
        <v>8</v>
      </c>
      <c r="G166">
        <v>1650</v>
      </c>
      <c r="H166">
        <v>70000</v>
      </c>
      <c r="I166">
        <v>26659</v>
      </c>
      <c r="J166">
        <v>43341</v>
      </c>
      <c r="K166" t="s">
        <v>1635</v>
      </c>
      <c r="L166">
        <v>1650</v>
      </c>
      <c r="M166" t="s">
        <v>1635</v>
      </c>
      <c r="N166">
        <v>0</v>
      </c>
    </row>
    <row r="167" spans="1:14">
      <c r="A167">
        <v>1</v>
      </c>
      <c r="B167" t="s">
        <v>15</v>
      </c>
      <c r="C167" t="s">
        <v>433</v>
      </c>
      <c r="D167" t="s">
        <v>434</v>
      </c>
      <c r="E167" s="8">
        <v>46031</v>
      </c>
      <c r="F167">
        <v>8</v>
      </c>
      <c r="G167">
        <v>2460</v>
      </c>
      <c r="H167">
        <v>76000</v>
      </c>
      <c r="I167">
        <v>17426</v>
      </c>
      <c r="J167">
        <v>58574</v>
      </c>
      <c r="K167" t="s">
        <v>1635</v>
      </c>
      <c r="L167">
        <v>2460</v>
      </c>
      <c r="M167" t="s">
        <v>1635</v>
      </c>
      <c r="N167">
        <v>0</v>
      </c>
    </row>
    <row r="168" spans="1:14">
      <c r="A168">
        <v>1</v>
      </c>
      <c r="B168" t="s">
        <v>15</v>
      </c>
      <c r="C168" t="s">
        <v>441</v>
      </c>
      <c r="D168" t="s">
        <v>442</v>
      </c>
      <c r="E168" s="8">
        <v>46031</v>
      </c>
      <c r="F168">
        <v>8</v>
      </c>
      <c r="G168">
        <v>2550</v>
      </c>
      <c r="H168">
        <v>79554</v>
      </c>
      <c r="I168">
        <v>14960</v>
      </c>
      <c r="J168">
        <v>64594</v>
      </c>
      <c r="K168" t="s">
        <v>1635</v>
      </c>
      <c r="L168">
        <v>2550</v>
      </c>
      <c r="M168" t="s">
        <v>1635</v>
      </c>
      <c r="N168">
        <v>0</v>
      </c>
    </row>
    <row r="169" spans="1:14">
      <c r="A169">
        <v>1</v>
      </c>
      <c r="B169" t="s">
        <v>15</v>
      </c>
      <c r="C169" t="s">
        <v>457</v>
      </c>
      <c r="D169" t="s">
        <v>458</v>
      </c>
      <c r="E169" s="8">
        <v>46038</v>
      </c>
      <c r="F169">
        <v>8</v>
      </c>
      <c r="G169">
        <v>1763</v>
      </c>
      <c r="H169">
        <v>66238</v>
      </c>
      <c r="I169">
        <v>12118</v>
      </c>
      <c r="J169">
        <v>54120</v>
      </c>
      <c r="K169" t="s">
        <v>1635</v>
      </c>
      <c r="L169">
        <v>1763</v>
      </c>
      <c r="M169" t="s">
        <v>1635</v>
      </c>
      <c r="N169">
        <v>0</v>
      </c>
    </row>
    <row r="170" spans="1:14">
      <c r="A170">
        <v>1</v>
      </c>
      <c r="B170" t="s">
        <v>15</v>
      </c>
      <c r="C170" t="s">
        <v>475</v>
      </c>
      <c r="D170" t="s">
        <v>476</v>
      </c>
      <c r="E170" s="8">
        <v>46038</v>
      </c>
      <c r="F170">
        <v>8</v>
      </c>
      <c r="G170">
        <v>1566</v>
      </c>
      <c r="H170">
        <v>29297</v>
      </c>
      <c r="I170">
        <v>9744</v>
      </c>
      <c r="J170">
        <v>19553</v>
      </c>
      <c r="K170" t="s">
        <v>1635</v>
      </c>
      <c r="L170">
        <v>1566</v>
      </c>
      <c r="M170" t="s">
        <v>1635</v>
      </c>
      <c r="N170">
        <v>0</v>
      </c>
    </row>
    <row r="171" spans="1:14">
      <c r="A171">
        <v>1</v>
      </c>
      <c r="B171" t="s">
        <v>15</v>
      </c>
      <c r="C171" t="s">
        <v>491</v>
      </c>
      <c r="D171" t="s">
        <v>492</v>
      </c>
      <c r="E171" s="8">
        <v>46038</v>
      </c>
      <c r="F171">
        <v>8</v>
      </c>
      <c r="G171">
        <v>4361</v>
      </c>
      <c r="H171">
        <v>132000</v>
      </c>
      <c r="I171">
        <v>25710</v>
      </c>
      <c r="J171">
        <v>106290</v>
      </c>
      <c r="K171" t="s">
        <v>1635</v>
      </c>
      <c r="L171">
        <v>4361</v>
      </c>
      <c r="M171" t="s">
        <v>1635</v>
      </c>
      <c r="N171">
        <v>0</v>
      </c>
    </row>
    <row r="172" spans="1:14">
      <c r="A172">
        <v>1</v>
      </c>
      <c r="B172" t="s">
        <v>15</v>
      </c>
      <c r="C172" t="s">
        <v>634</v>
      </c>
      <c r="D172" t="s">
        <v>635</v>
      </c>
      <c r="E172" s="8">
        <v>46031</v>
      </c>
      <c r="F172">
        <v>8</v>
      </c>
      <c r="G172">
        <v>1399.92</v>
      </c>
      <c r="H172">
        <v>24606</v>
      </c>
      <c r="I172">
        <v>9799.44</v>
      </c>
      <c r="J172">
        <v>14806.56</v>
      </c>
      <c r="K172" t="s">
        <v>1635</v>
      </c>
      <c r="L172">
        <v>1399.92</v>
      </c>
      <c r="M172" t="s">
        <v>1635</v>
      </c>
      <c r="N172">
        <v>0</v>
      </c>
    </row>
    <row r="173" spans="1:14">
      <c r="A173">
        <v>1</v>
      </c>
      <c r="B173" t="s">
        <v>15</v>
      </c>
      <c r="C173" t="s">
        <v>96</v>
      </c>
      <c r="D173" t="s">
        <v>97</v>
      </c>
      <c r="E173" s="8">
        <v>46038</v>
      </c>
      <c r="F173">
        <v>9</v>
      </c>
      <c r="G173">
        <v>5740</v>
      </c>
      <c r="H173">
        <v>105000</v>
      </c>
      <c r="I173">
        <v>42980</v>
      </c>
      <c r="J173">
        <v>62020</v>
      </c>
      <c r="K173" t="s">
        <v>1635</v>
      </c>
      <c r="L173">
        <v>5740</v>
      </c>
      <c r="M173" t="s">
        <v>1635</v>
      </c>
      <c r="N173">
        <v>0</v>
      </c>
    </row>
    <row r="174" spans="1:14">
      <c r="A174">
        <v>1</v>
      </c>
      <c r="B174" t="s">
        <v>15</v>
      </c>
      <c r="C174" t="s">
        <v>336</v>
      </c>
      <c r="D174" t="s">
        <v>337</v>
      </c>
      <c r="E174" s="8">
        <v>46031</v>
      </c>
      <c r="F174">
        <v>9</v>
      </c>
      <c r="G174">
        <v>2400</v>
      </c>
      <c r="H174">
        <v>44000</v>
      </c>
      <c r="I174">
        <v>19200</v>
      </c>
      <c r="J174">
        <v>24800</v>
      </c>
      <c r="K174" t="s">
        <v>1635</v>
      </c>
      <c r="L174">
        <v>2400</v>
      </c>
      <c r="M174" t="s">
        <v>1635</v>
      </c>
      <c r="N174">
        <v>0</v>
      </c>
    </row>
    <row r="175" spans="1:14">
      <c r="A175">
        <v>1</v>
      </c>
      <c r="B175" t="s">
        <v>15</v>
      </c>
      <c r="C175" t="s">
        <v>481</v>
      </c>
      <c r="D175" t="s">
        <v>482</v>
      </c>
      <c r="E175" s="8">
        <v>46038</v>
      </c>
      <c r="F175">
        <v>9</v>
      </c>
      <c r="G175">
        <v>4636</v>
      </c>
      <c r="H175">
        <v>141000</v>
      </c>
      <c r="I175">
        <v>34792</v>
      </c>
      <c r="J175">
        <v>106208</v>
      </c>
      <c r="K175" t="s">
        <v>1635</v>
      </c>
      <c r="L175">
        <v>4636</v>
      </c>
      <c r="M175" t="s">
        <v>1635</v>
      </c>
      <c r="N175">
        <v>0</v>
      </c>
    </row>
    <row r="176" spans="1:14">
      <c r="A176">
        <v>1</v>
      </c>
      <c r="B176" t="s">
        <v>15</v>
      </c>
      <c r="C176" t="s">
        <v>24</v>
      </c>
      <c r="D176" t="s">
        <v>25</v>
      </c>
      <c r="E176" s="8">
        <v>46038</v>
      </c>
      <c r="F176">
        <v>10</v>
      </c>
      <c r="G176">
        <v>3465</v>
      </c>
      <c r="H176">
        <v>92990</v>
      </c>
      <c r="I176">
        <v>20790</v>
      </c>
      <c r="J176">
        <v>72200</v>
      </c>
      <c r="K176" t="s">
        <v>1635</v>
      </c>
      <c r="L176">
        <v>3465</v>
      </c>
      <c r="M176" t="s">
        <v>1635</v>
      </c>
      <c r="N176">
        <v>0</v>
      </c>
    </row>
    <row r="177" spans="1:14">
      <c r="A177">
        <v>1</v>
      </c>
      <c r="B177" t="s">
        <v>15</v>
      </c>
      <c r="C177" t="s">
        <v>312</v>
      </c>
      <c r="D177" t="s">
        <v>313</v>
      </c>
      <c r="E177" s="8">
        <v>46031</v>
      </c>
      <c r="F177">
        <v>10</v>
      </c>
      <c r="G177">
        <v>1782</v>
      </c>
      <c r="H177">
        <v>52000</v>
      </c>
      <c r="I177">
        <v>16038</v>
      </c>
      <c r="J177">
        <v>35962</v>
      </c>
      <c r="K177" t="s">
        <v>1635</v>
      </c>
      <c r="L177">
        <v>1782</v>
      </c>
      <c r="M177" t="s">
        <v>1635</v>
      </c>
      <c r="N177">
        <v>0</v>
      </c>
    </row>
    <row r="178" spans="1:14">
      <c r="A178">
        <v>1</v>
      </c>
      <c r="B178" t="s">
        <v>15</v>
      </c>
      <c r="C178" t="s">
        <v>316</v>
      </c>
      <c r="D178" t="s">
        <v>317</v>
      </c>
      <c r="E178" s="8">
        <v>46031</v>
      </c>
      <c r="F178">
        <v>10</v>
      </c>
      <c r="G178">
        <v>2790</v>
      </c>
      <c r="H178">
        <v>77507.5</v>
      </c>
      <c r="I178">
        <v>16740</v>
      </c>
      <c r="J178">
        <v>60767.5</v>
      </c>
      <c r="K178" t="s">
        <v>1635</v>
      </c>
      <c r="L178">
        <v>2790</v>
      </c>
      <c r="M178" t="s">
        <v>1635</v>
      </c>
      <c r="N178">
        <v>0</v>
      </c>
    </row>
    <row r="179" spans="1:14">
      <c r="A179">
        <v>1</v>
      </c>
      <c r="B179" t="s">
        <v>15</v>
      </c>
      <c r="C179" t="s">
        <v>20</v>
      </c>
      <c r="D179" t="s">
        <v>21</v>
      </c>
      <c r="E179" s="8">
        <v>46038</v>
      </c>
      <c r="F179">
        <v>12</v>
      </c>
      <c r="G179">
        <v>6885</v>
      </c>
      <c r="H179">
        <v>94060</v>
      </c>
      <c r="I179">
        <v>41310</v>
      </c>
      <c r="J179">
        <v>52750</v>
      </c>
      <c r="K179" t="s">
        <v>1635</v>
      </c>
      <c r="L179">
        <v>6885</v>
      </c>
      <c r="M179" t="s">
        <v>1635</v>
      </c>
      <c r="N179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12BD-9E39-4A0A-BB6A-8508628B2556}">
  <dimension ref="A1:N156"/>
  <sheetViews>
    <sheetView workbookViewId="0">
      <selection activeCell="I122" sqref="I122"/>
    </sheetView>
  </sheetViews>
  <sheetFormatPr baseColWidth="10" defaultColWidth="8.83203125" defaultRowHeight="14"/>
  <cols>
    <col min="4" max="4" width="13.83203125" bestFit="1" customWidth="1"/>
    <col min="5" max="5" width="17.1640625" bestFit="1" customWidth="1"/>
    <col min="7" max="8" width="17.1640625" bestFit="1" customWidth="1"/>
    <col min="9" max="9" width="20.5" bestFit="1" customWidth="1"/>
    <col min="10" max="10" width="19.33203125" bestFit="1" customWidth="1"/>
    <col min="11" max="11" width="13" bestFit="1" customWidth="1"/>
    <col min="12" max="12" width="17.1640625" bestFit="1" customWidth="1"/>
    <col min="13" max="13" width="13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6" t="s">
        <v>14</v>
      </c>
      <c r="B2" t="s">
        <v>15</v>
      </c>
      <c r="C2" t="s">
        <v>469</v>
      </c>
      <c r="D2" t="s">
        <v>470</v>
      </c>
      <c r="E2" s="8">
        <v>46045</v>
      </c>
      <c r="F2">
        <v>5</v>
      </c>
      <c r="G2">
        <v>2736</v>
      </c>
      <c r="H2">
        <v>89000</v>
      </c>
      <c r="I2">
        <v>11706</v>
      </c>
      <c r="J2">
        <v>77294</v>
      </c>
      <c r="K2" t="s">
        <v>1635</v>
      </c>
      <c r="L2">
        <v>2736</v>
      </c>
      <c r="M2" t="s">
        <v>1635</v>
      </c>
      <c r="N2">
        <v>0</v>
      </c>
    </row>
    <row r="3" spans="1:14">
      <c r="A3" s="6" t="s">
        <v>14</v>
      </c>
      <c r="B3" t="s">
        <v>15</v>
      </c>
      <c r="C3" t="s">
        <v>792</v>
      </c>
      <c r="D3" t="s">
        <v>793</v>
      </c>
      <c r="E3" s="8">
        <v>46045</v>
      </c>
      <c r="F3">
        <v>5</v>
      </c>
      <c r="G3">
        <v>4620</v>
      </c>
      <c r="H3">
        <v>137000</v>
      </c>
      <c r="I3">
        <v>21280</v>
      </c>
      <c r="J3">
        <v>115720</v>
      </c>
      <c r="K3" t="s">
        <v>1635</v>
      </c>
      <c r="L3">
        <v>4620</v>
      </c>
      <c r="M3" t="s">
        <v>1635</v>
      </c>
      <c r="N3">
        <v>0</v>
      </c>
    </row>
    <row r="4" spans="1:14">
      <c r="A4" s="6" t="s">
        <v>14</v>
      </c>
      <c r="B4" t="s">
        <v>15</v>
      </c>
      <c r="C4" t="s">
        <v>812</v>
      </c>
      <c r="D4" t="s">
        <v>813</v>
      </c>
      <c r="E4" s="8">
        <v>46045</v>
      </c>
      <c r="F4">
        <v>5</v>
      </c>
      <c r="G4">
        <v>3600</v>
      </c>
      <c r="H4">
        <v>98000</v>
      </c>
      <c r="I4">
        <v>17240</v>
      </c>
      <c r="J4">
        <v>80760</v>
      </c>
      <c r="K4" t="s">
        <v>1635</v>
      </c>
      <c r="L4">
        <v>3600</v>
      </c>
      <c r="M4" t="s">
        <v>1635</v>
      </c>
      <c r="N4">
        <v>0</v>
      </c>
    </row>
    <row r="5" spans="1:14">
      <c r="A5" s="6" t="s">
        <v>14</v>
      </c>
      <c r="B5" t="s">
        <v>15</v>
      </c>
      <c r="C5" t="s">
        <v>22</v>
      </c>
      <c r="D5" t="s">
        <v>23</v>
      </c>
      <c r="E5" s="8">
        <v>46045</v>
      </c>
      <c r="F5">
        <v>6</v>
      </c>
      <c r="G5">
        <v>2420</v>
      </c>
      <c r="H5">
        <v>50000</v>
      </c>
      <c r="I5">
        <v>14520</v>
      </c>
      <c r="J5">
        <v>35480</v>
      </c>
      <c r="K5" t="s">
        <v>1635</v>
      </c>
      <c r="L5">
        <v>2420</v>
      </c>
      <c r="M5" t="s">
        <v>1635</v>
      </c>
      <c r="N5">
        <v>0</v>
      </c>
    </row>
    <row r="6" spans="1:14">
      <c r="A6" s="6" t="s">
        <v>14</v>
      </c>
      <c r="B6" t="s">
        <v>15</v>
      </c>
      <c r="C6" t="s">
        <v>28</v>
      </c>
      <c r="D6" t="s">
        <v>29</v>
      </c>
      <c r="E6" s="8">
        <v>46052</v>
      </c>
      <c r="F6">
        <v>6</v>
      </c>
      <c r="G6">
        <v>4160</v>
      </c>
      <c r="H6">
        <v>74642</v>
      </c>
      <c r="I6">
        <v>24960</v>
      </c>
      <c r="J6">
        <v>49682</v>
      </c>
      <c r="K6" t="s">
        <v>1635</v>
      </c>
      <c r="L6">
        <v>4160</v>
      </c>
      <c r="M6" t="s">
        <v>1635</v>
      </c>
      <c r="N6">
        <v>0</v>
      </c>
    </row>
    <row r="7" spans="1:14">
      <c r="A7" s="6" t="s">
        <v>14</v>
      </c>
      <c r="B7" t="s">
        <v>15</v>
      </c>
      <c r="C7" t="s">
        <v>30</v>
      </c>
      <c r="D7" t="s">
        <v>31</v>
      </c>
      <c r="E7" s="8">
        <v>46045</v>
      </c>
      <c r="F7">
        <v>6</v>
      </c>
      <c r="G7">
        <v>2835</v>
      </c>
      <c r="H7">
        <v>84000</v>
      </c>
      <c r="I7">
        <v>17010</v>
      </c>
      <c r="J7">
        <v>66990</v>
      </c>
      <c r="K7" t="s">
        <v>1635</v>
      </c>
      <c r="L7">
        <v>2835</v>
      </c>
      <c r="M7" t="s">
        <v>1635</v>
      </c>
      <c r="N7">
        <v>0</v>
      </c>
    </row>
    <row r="8" spans="1:14">
      <c r="A8" s="6" t="s">
        <v>14</v>
      </c>
      <c r="B8" t="s">
        <v>15</v>
      </c>
      <c r="C8" t="s">
        <v>50</v>
      </c>
      <c r="D8" t="s">
        <v>1642</v>
      </c>
      <c r="E8" s="8">
        <v>46052</v>
      </c>
      <c r="F8">
        <v>6</v>
      </c>
      <c r="G8">
        <v>4853.33</v>
      </c>
      <c r="H8">
        <v>98000</v>
      </c>
      <c r="I8" s="6">
        <v>29119.98</v>
      </c>
      <c r="J8" s="6">
        <v>68880.019999999902</v>
      </c>
      <c r="K8" t="s">
        <v>1635</v>
      </c>
      <c r="L8">
        <v>4853.33</v>
      </c>
      <c r="M8" t="s">
        <v>1635</v>
      </c>
      <c r="N8">
        <v>0</v>
      </c>
    </row>
    <row r="9" spans="1:14">
      <c r="A9" s="6" t="s">
        <v>14</v>
      </c>
      <c r="B9" t="s">
        <v>15</v>
      </c>
      <c r="C9" t="s">
        <v>223</v>
      </c>
      <c r="D9" t="s">
        <v>224</v>
      </c>
      <c r="E9" s="8">
        <v>46045</v>
      </c>
      <c r="F9">
        <v>6</v>
      </c>
      <c r="G9">
        <v>2800</v>
      </c>
      <c r="H9">
        <v>83560</v>
      </c>
      <c r="I9">
        <v>16800</v>
      </c>
      <c r="J9">
        <v>66760</v>
      </c>
      <c r="K9" t="s">
        <v>1635</v>
      </c>
      <c r="L9">
        <v>2800</v>
      </c>
      <c r="M9" t="s">
        <v>1635</v>
      </c>
      <c r="N9">
        <v>0</v>
      </c>
    </row>
    <row r="10" spans="1:14">
      <c r="A10" s="6" t="s">
        <v>14</v>
      </c>
      <c r="B10" t="s">
        <v>15</v>
      </c>
      <c r="C10" t="s">
        <v>254</v>
      </c>
      <c r="D10" t="s">
        <v>255</v>
      </c>
      <c r="E10" s="8">
        <v>46045</v>
      </c>
      <c r="F10">
        <v>6</v>
      </c>
      <c r="G10">
        <v>3840</v>
      </c>
      <c r="H10">
        <v>115413</v>
      </c>
      <c r="I10">
        <v>23040</v>
      </c>
      <c r="J10">
        <v>92373</v>
      </c>
      <c r="K10" t="s">
        <v>1635</v>
      </c>
      <c r="L10">
        <v>3840</v>
      </c>
      <c r="M10" t="s">
        <v>1635</v>
      </c>
      <c r="N10">
        <v>0</v>
      </c>
    </row>
    <row r="11" spans="1:14">
      <c r="A11" s="6" t="s">
        <v>14</v>
      </c>
      <c r="B11" t="s">
        <v>15</v>
      </c>
      <c r="C11" t="s">
        <v>260</v>
      </c>
      <c r="D11" t="s">
        <v>261</v>
      </c>
      <c r="E11" s="8">
        <v>46045</v>
      </c>
      <c r="F11">
        <v>6</v>
      </c>
      <c r="G11">
        <v>2660</v>
      </c>
      <c r="H11">
        <v>78299</v>
      </c>
      <c r="I11">
        <v>15960</v>
      </c>
      <c r="J11">
        <v>62339</v>
      </c>
      <c r="K11" t="s">
        <v>1635</v>
      </c>
      <c r="L11">
        <v>2660</v>
      </c>
      <c r="M11" t="s">
        <v>1635</v>
      </c>
      <c r="N11">
        <v>0</v>
      </c>
    </row>
    <row r="12" spans="1:14">
      <c r="A12" s="6" t="s">
        <v>14</v>
      </c>
      <c r="B12" t="s">
        <v>15</v>
      </c>
      <c r="C12" t="s">
        <v>264</v>
      </c>
      <c r="D12" t="s">
        <v>265</v>
      </c>
      <c r="E12" s="8">
        <v>46045</v>
      </c>
      <c r="F12">
        <v>6</v>
      </c>
      <c r="G12">
        <v>3850</v>
      </c>
      <c r="H12">
        <v>115960</v>
      </c>
      <c r="I12">
        <v>23100</v>
      </c>
      <c r="J12">
        <v>92860</v>
      </c>
      <c r="K12" t="s">
        <v>1635</v>
      </c>
      <c r="L12">
        <v>3850</v>
      </c>
      <c r="M12" t="s">
        <v>1635</v>
      </c>
      <c r="N12">
        <v>0</v>
      </c>
    </row>
    <row r="13" spans="1:14">
      <c r="A13" s="6" t="s">
        <v>14</v>
      </c>
      <c r="B13" t="s">
        <v>15</v>
      </c>
      <c r="C13" t="s">
        <v>292</v>
      </c>
      <c r="D13" t="s">
        <v>293</v>
      </c>
      <c r="E13" s="8">
        <v>46045</v>
      </c>
      <c r="F13">
        <v>6</v>
      </c>
      <c r="G13">
        <v>2250</v>
      </c>
      <c r="H13">
        <v>78580</v>
      </c>
      <c r="I13">
        <v>13500</v>
      </c>
      <c r="J13">
        <v>65080</v>
      </c>
      <c r="K13" t="s">
        <v>1635</v>
      </c>
      <c r="L13">
        <v>2250</v>
      </c>
      <c r="M13" t="s">
        <v>1635</v>
      </c>
      <c r="N13">
        <v>0</v>
      </c>
    </row>
    <row r="14" spans="1:14">
      <c r="A14" s="6" t="s">
        <v>14</v>
      </c>
      <c r="B14" t="s">
        <v>15</v>
      </c>
      <c r="C14" t="s">
        <v>298</v>
      </c>
      <c r="D14" t="s">
        <v>299</v>
      </c>
      <c r="E14" s="8">
        <v>46045</v>
      </c>
      <c r="F14">
        <v>6</v>
      </c>
      <c r="G14">
        <v>2856</v>
      </c>
      <c r="H14">
        <v>85872</v>
      </c>
      <c r="I14">
        <v>16773.330000000002</v>
      </c>
      <c r="J14">
        <v>69098.67</v>
      </c>
      <c r="K14" t="s">
        <v>1635</v>
      </c>
      <c r="L14">
        <v>2856</v>
      </c>
      <c r="M14" t="s">
        <v>1635</v>
      </c>
      <c r="N14">
        <v>0</v>
      </c>
    </row>
    <row r="15" spans="1:14">
      <c r="A15" s="6" t="s">
        <v>14</v>
      </c>
      <c r="B15" t="s">
        <v>15</v>
      </c>
      <c r="C15" t="s">
        <v>300</v>
      </c>
      <c r="D15" t="s">
        <v>301</v>
      </c>
      <c r="E15" s="8">
        <v>46045</v>
      </c>
      <c r="F15">
        <v>6</v>
      </c>
      <c r="G15">
        <v>2520</v>
      </c>
      <c r="H15">
        <v>75800</v>
      </c>
      <c r="I15">
        <v>14900</v>
      </c>
      <c r="J15">
        <v>60900</v>
      </c>
      <c r="K15" t="s">
        <v>1635</v>
      </c>
      <c r="L15">
        <v>2520</v>
      </c>
      <c r="M15" t="s">
        <v>1635</v>
      </c>
      <c r="N15">
        <v>0</v>
      </c>
    </row>
    <row r="16" spans="1:14">
      <c r="A16" s="6" t="s">
        <v>14</v>
      </c>
      <c r="B16" t="s">
        <v>15</v>
      </c>
      <c r="C16" t="s">
        <v>348</v>
      </c>
      <c r="D16" t="s">
        <v>349</v>
      </c>
      <c r="E16" s="8">
        <v>46045</v>
      </c>
      <c r="F16">
        <v>6</v>
      </c>
      <c r="G16">
        <v>3120</v>
      </c>
      <c r="H16">
        <v>99693</v>
      </c>
      <c r="I16">
        <v>17750</v>
      </c>
      <c r="J16">
        <v>81943</v>
      </c>
      <c r="K16" t="s">
        <v>1635</v>
      </c>
      <c r="L16">
        <v>3120</v>
      </c>
      <c r="M16" t="s">
        <v>1635</v>
      </c>
      <c r="N16">
        <v>0</v>
      </c>
    </row>
    <row r="17" spans="1:14">
      <c r="A17" s="6" t="s">
        <v>14</v>
      </c>
      <c r="B17" t="s">
        <v>15</v>
      </c>
      <c r="C17" t="s">
        <v>529</v>
      </c>
      <c r="D17" t="s">
        <v>530</v>
      </c>
      <c r="E17" s="8">
        <v>46045</v>
      </c>
      <c r="F17">
        <v>6</v>
      </c>
      <c r="G17">
        <v>2970</v>
      </c>
      <c r="H17">
        <v>84000</v>
      </c>
      <c r="I17">
        <v>17820</v>
      </c>
      <c r="J17">
        <v>66180</v>
      </c>
      <c r="K17" t="s">
        <v>1635</v>
      </c>
      <c r="L17">
        <v>2970</v>
      </c>
      <c r="M17" t="s">
        <v>1635</v>
      </c>
      <c r="N17">
        <v>0</v>
      </c>
    </row>
    <row r="18" spans="1:14">
      <c r="A18" s="6" t="s">
        <v>14</v>
      </c>
      <c r="B18" t="s">
        <v>15</v>
      </c>
      <c r="C18" t="s">
        <v>537</v>
      </c>
      <c r="D18" t="s">
        <v>538</v>
      </c>
      <c r="E18" s="8">
        <v>46052</v>
      </c>
      <c r="F18">
        <v>6</v>
      </c>
      <c r="G18">
        <v>3472</v>
      </c>
      <c r="H18">
        <v>106500</v>
      </c>
      <c r="I18">
        <v>19790</v>
      </c>
      <c r="J18">
        <v>86710</v>
      </c>
      <c r="K18" t="s">
        <v>1635</v>
      </c>
      <c r="L18">
        <v>3472</v>
      </c>
      <c r="M18" t="s">
        <v>1635</v>
      </c>
      <c r="N18">
        <v>0</v>
      </c>
    </row>
    <row r="19" spans="1:14">
      <c r="A19" s="6" t="s">
        <v>14</v>
      </c>
      <c r="B19" t="s">
        <v>15</v>
      </c>
      <c r="C19" t="s">
        <v>592</v>
      </c>
      <c r="D19" t="s">
        <v>593</v>
      </c>
      <c r="E19" s="8">
        <v>46045</v>
      </c>
      <c r="F19">
        <v>6</v>
      </c>
      <c r="G19">
        <v>4466</v>
      </c>
      <c r="H19">
        <v>135000</v>
      </c>
      <c r="I19">
        <v>24400</v>
      </c>
      <c r="J19">
        <v>110600</v>
      </c>
      <c r="K19" t="s">
        <v>1635</v>
      </c>
      <c r="L19">
        <v>4466</v>
      </c>
      <c r="M19" t="s">
        <v>1635</v>
      </c>
      <c r="N19">
        <v>0</v>
      </c>
    </row>
    <row r="20" spans="1:14">
      <c r="A20" s="6" t="s">
        <v>14</v>
      </c>
      <c r="B20" t="s">
        <v>15</v>
      </c>
      <c r="C20" t="s">
        <v>607</v>
      </c>
      <c r="D20" t="s">
        <v>608</v>
      </c>
      <c r="E20" s="8">
        <v>46045</v>
      </c>
      <c r="F20">
        <v>6</v>
      </c>
      <c r="G20">
        <v>2420</v>
      </c>
      <c r="H20">
        <v>97745</v>
      </c>
      <c r="I20">
        <v>17350</v>
      </c>
      <c r="J20">
        <v>80395</v>
      </c>
      <c r="K20" t="s">
        <v>1635</v>
      </c>
      <c r="L20">
        <v>2420</v>
      </c>
      <c r="M20" t="s">
        <v>1635</v>
      </c>
      <c r="N20">
        <v>0</v>
      </c>
    </row>
    <row r="21" spans="1:14">
      <c r="A21" s="6" t="s">
        <v>14</v>
      </c>
      <c r="B21" t="s">
        <v>15</v>
      </c>
      <c r="C21" t="s">
        <v>642</v>
      </c>
      <c r="D21" t="s">
        <v>643</v>
      </c>
      <c r="E21" s="8">
        <v>46045</v>
      </c>
      <c r="F21">
        <v>6</v>
      </c>
      <c r="G21">
        <v>837</v>
      </c>
      <c r="H21">
        <v>15000</v>
      </c>
      <c r="I21">
        <v>5022</v>
      </c>
      <c r="J21">
        <v>9978</v>
      </c>
      <c r="K21" t="s">
        <v>1635</v>
      </c>
      <c r="L21">
        <v>837</v>
      </c>
      <c r="M21" t="s">
        <v>1635</v>
      </c>
      <c r="N21">
        <v>0</v>
      </c>
    </row>
    <row r="22" spans="1:14">
      <c r="A22" s="6" t="s">
        <v>14</v>
      </c>
      <c r="B22" t="s">
        <v>15</v>
      </c>
      <c r="C22" t="s">
        <v>644</v>
      </c>
      <c r="D22" t="s">
        <v>645</v>
      </c>
      <c r="E22" s="8">
        <v>46052</v>
      </c>
      <c r="F22">
        <v>6</v>
      </c>
      <c r="G22">
        <v>864</v>
      </c>
      <c r="H22">
        <v>15000</v>
      </c>
      <c r="I22">
        <v>5184</v>
      </c>
      <c r="J22">
        <v>9816</v>
      </c>
      <c r="K22" t="s">
        <v>1635</v>
      </c>
      <c r="L22">
        <v>864</v>
      </c>
      <c r="M22" t="s">
        <v>1635</v>
      </c>
      <c r="N22">
        <v>0</v>
      </c>
    </row>
    <row r="23" spans="1:14">
      <c r="A23" s="6" t="s">
        <v>14</v>
      </c>
      <c r="B23" t="s">
        <v>15</v>
      </c>
      <c r="C23" t="s">
        <v>649</v>
      </c>
      <c r="D23" t="s">
        <v>650</v>
      </c>
      <c r="E23" s="8">
        <v>46045</v>
      </c>
      <c r="F23">
        <v>6</v>
      </c>
      <c r="G23">
        <v>3672</v>
      </c>
      <c r="H23">
        <v>106000</v>
      </c>
      <c r="I23">
        <v>20620</v>
      </c>
      <c r="J23">
        <v>85380</v>
      </c>
      <c r="K23" t="s">
        <v>1635</v>
      </c>
      <c r="L23">
        <v>3672</v>
      </c>
      <c r="M23" t="s">
        <v>1635</v>
      </c>
      <c r="N23">
        <v>0</v>
      </c>
    </row>
    <row r="24" spans="1:14">
      <c r="A24" s="6" t="s">
        <v>14</v>
      </c>
      <c r="B24" t="s">
        <v>15</v>
      </c>
      <c r="C24" t="s">
        <v>655</v>
      </c>
      <c r="D24" t="s">
        <v>656</v>
      </c>
      <c r="E24" s="8">
        <v>46045</v>
      </c>
      <c r="F24">
        <v>6</v>
      </c>
      <c r="G24">
        <v>3200</v>
      </c>
      <c r="H24">
        <v>97000</v>
      </c>
      <c r="I24">
        <v>18000</v>
      </c>
      <c r="J24">
        <v>79000</v>
      </c>
      <c r="K24" t="s">
        <v>1635</v>
      </c>
      <c r="L24">
        <v>3200</v>
      </c>
      <c r="M24" t="s">
        <v>1635</v>
      </c>
      <c r="N24">
        <v>0</v>
      </c>
    </row>
    <row r="25" spans="1:14">
      <c r="A25" s="6" t="s">
        <v>14</v>
      </c>
      <c r="B25" t="s">
        <v>15</v>
      </c>
      <c r="C25" t="s">
        <v>690</v>
      </c>
      <c r="D25" t="s">
        <v>691</v>
      </c>
      <c r="E25" s="8">
        <v>46052</v>
      </c>
      <c r="F25">
        <v>6</v>
      </c>
      <c r="G25">
        <v>2970</v>
      </c>
      <c r="H25">
        <v>92468</v>
      </c>
      <c r="I25">
        <v>17490</v>
      </c>
      <c r="J25">
        <v>74978</v>
      </c>
      <c r="K25" t="s">
        <v>1635</v>
      </c>
      <c r="L25">
        <v>2970</v>
      </c>
      <c r="M25" t="s">
        <v>1635</v>
      </c>
      <c r="N25">
        <v>0</v>
      </c>
    </row>
    <row r="26" spans="1:14">
      <c r="A26" s="6" t="s">
        <v>14</v>
      </c>
      <c r="B26" t="s">
        <v>15</v>
      </c>
      <c r="C26" t="s">
        <v>698</v>
      </c>
      <c r="D26" t="s">
        <v>699</v>
      </c>
      <c r="E26" s="8">
        <v>46045</v>
      </c>
      <c r="F26">
        <v>6</v>
      </c>
      <c r="G26">
        <v>4380</v>
      </c>
      <c r="H26">
        <v>129825</v>
      </c>
      <c r="I26">
        <v>24300</v>
      </c>
      <c r="J26">
        <v>105525</v>
      </c>
      <c r="K26" t="s">
        <v>1635</v>
      </c>
      <c r="L26">
        <v>4380</v>
      </c>
      <c r="M26" t="s">
        <v>1635</v>
      </c>
      <c r="N26">
        <v>0</v>
      </c>
    </row>
    <row r="27" spans="1:14">
      <c r="A27" s="6" t="s">
        <v>14</v>
      </c>
      <c r="B27" t="s">
        <v>15</v>
      </c>
      <c r="C27" t="s">
        <v>700</v>
      </c>
      <c r="D27" t="s">
        <v>701</v>
      </c>
      <c r="E27" s="8">
        <v>46045</v>
      </c>
      <c r="F27">
        <v>6</v>
      </c>
      <c r="G27">
        <v>3870</v>
      </c>
      <c r="H27">
        <v>115000</v>
      </c>
      <c r="I27">
        <v>21150</v>
      </c>
      <c r="J27">
        <v>93850</v>
      </c>
      <c r="K27" t="s">
        <v>1635</v>
      </c>
      <c r="L27">
        <v>3870</v>
      </c>
      <c r="M27" t="s">
        <v>1635</v>
      </c>
      <c r="N27">
        <v>0</v>
      </c>
    </row>
    <row r="28" spans="1:14">
      <c r="A28" s="6" t="s">
        <v>14</v>
      </c>
      <c r="B28" t="s">
        <v>15</v>
      </c>
      <c r="C28" t="s">
        <v>706</v>
      </c>
      <c r="D28" t="s">
        <v>1654</v>
      </c>
      <c r="E28" s="8">
        <v>46052</v>
      </c>
      <c r="F28">
        <v>6</v>
      </c>
      <c r="G28">
        <v>2784</v>
      </c>
      <c r="H28">
        <v>82721</v>
      </c>
      <c r="I28">
        <v>15840</v>
      </c>
      <c r="J28">
        <v>66881</v>
      </c>
      <c r="K28" t="s">
        <v>1635</v>
      </c>
      <c r="L28">
        <v>2784</v>
      </c>
      <c r="M28" t="s">
        <v>1635</v>
      </c>
      <c r="N28">
        <v>0</v>
      </c>
    </row>
    <row r="29" spans="1:14">
      <c r="A29" s="6" t="s">
        <v>14</v>
      </c>
      <c r="B29" t="s">
        <v>15</v>
      </c>
      <c r="C29" t="s">
        <v>709</v>
      </c>
      <c r="D29" t="s">
        <v>710</v>
      </c>
      <c r="E29" s="8">
        <v>46045</v>
      </c>
      <c r="F29">
        <v>6</v>
      </c>
      <c r="G29">
        <v>4500</v>
      </c>
      <c r="H29">
        <v>134461</v>
      </c>
      <c r="I29">
        <v>24500</v>
      </c>
      <c r="J29">
        <v>109961</v>
      </c>
      <c r="K29" t="s">
        <v>1635</v>
      </c>
      <c r="L29">
        <v>4500</v>
      </c>
      <c r="M29" t="s">
        <v>1635</v>
      </c>
      <c r="N29">
        <v>0</v>
      </c>
    </row>
    <row r="30" spans="1:14">
      <c r="A30" s="6" t="s">
        <v>14</v>
      </c>
      <c r="B30" t="s">
        <v>15</v>
      </c>
      <c r="C30" t="s">
        <v>719</v>
      </c>
      <c r="D30" t="s">
        <v>720</v>
      </c>
      <c r="E30" s="8">
        <v>46045</v>
      </c>
      <c r="F30">
        <v>6</v>
      </c>
      <c r="G30">
        <v>3800</v>
      </c>
      <c r="H30">
        <v>112151</v>
      </c>
      <c r="I30">
        <v>21050</v>
      </c>
      <c r="J30">
        <v>91101</v>
      </c>
      <c r="K30" t="s">
        <v>1635</v>
      </c>
      <c r="L30">
        <v>3800</v>
      </c>
      <c r="M30" t="s">
        <v>1635</v>
      </c>
      <c r="N30">
        <v>0</v>
      </c>
    </row>
    <row r="31" spans="1:14">
      <c r="A31" s="6" t="s">
        <v>14</v>
      </c>
      <c r="B31" t="s">
        <v>15</v>
      </c>
      <c r="C31" t="s">
        <v>731</v>
      </c>
      <c r="D31" t="s">
        <v>732</v>
      </c>
      <c r="E31" s="8">
        <v>46045</v>
      </c>
      <c r="F31">
        <v>6</v>
      </c>
      <c r="G31">
        <v>1750</v>
      </c>
      <c r="H31">
        <v>35714</v>
      </c>
      <c r="I31">
        <v>10500</v>
      </c>
      <c r="J31">
        <v>25214</v>
      </c>
      <c r="K31" t="s">
        <v>1635</v>
      </c>
      <c r="L31">
        <v>1750</v>
      </c>
      <c r="M31" t="s">
        <v>1635</v>
      </c>
      <c r="N31">
        <v>0</v>
      </c>
    </row>
    <row r="32" spans="1:14">
      <c r="A32" s="6" t="s">
        <v>14</v>
      </c>
      <c r="B32" t="s">
        <v>15</v>
      </c>
      <c r="C32" t="s">
        <v>735</v>
      </c>
      <c r="D32" t="s">
        <v>736</v>
      </c>
      <c r="E32" s="8">
        <v>46045</v>
      </c>
      <c r="F32">
        <v>6</v>
      </c>
      <c r="G32">
        <v>3465</v>
      </c>
      <c r="H32">
        <v>100000</v>
      </c>
      <c r="I32">
        <v>19550</v>
      </c>
      <c r="J32">
        <v>80450</v>
      </c>
      <c r="K32" t="s">
        <v>1635</v>
      </c>
      <c r="L32">
        <v>3465</v>
      </c>
      <c r="M32" t="s">
        <v>1635</v>
      </c>
      <c r="N32">
        <v>0</v>
      </c>
    </row>
    <row r="33" spans="1:14">
      <c r="A33" s="6" t="s">
        <v>14</v>
      </c>
      <c r="B33" t="s">
        <v>15</v>
      </c>
      <c r="C33" t="s">
        <v>739</v>
      </c>
      <c r="D33" t="s">
        <v>740</v>
      </c>
      <c r="E33" s="8">
        <v>46045</v>
      </c>
      <c r="F33">
        <v>6</v>
      </c>
      <c r="G33">
        <v>5076</v>
      </c>
      <c r="H33">
        <v>149690</v>
      </c>
      <c r="I33">
        <v>28225</v>
      </c>
      <c r="J33">
        <v>121465</v>
      </c>
      <c r="K33" t="s">
        <v>1635</v>
      </c>
      <c r="L33">
        <v>5076</v>
      </c>
      <c r="M33" t="s">
        <v>1635</v>
      </c>
      <c r="N33">
        <v>0</v>
      </c>
    </row>
    <row r="34" spans="1:14">
      <c r="A34" s="6" t="s">
        <v>14</v>
      </c>
      <c r="B34" t="s">
        <v>15</v>
      </c>
      <c r="C34" t="s">
        <v>747</v>
      </c>
      <c r="D34" t="s">
        <v>748</v>
      </c>
      <c r="E34" s="8">
        <v>46045</v>
      </c>
      <c r="F34">
        <v>6</v>
      </c>
      <c r="G34">
        <v>2610</v>
      </c>
      <c r="H34">
        <v>75000</v>
      </c>
      <c r="I34">
        <v>14925</v>
      </c>
      <c r="J34">
        <v>60075</v>
      </c>
      <c r="K34" t="s">
        <v>1635</v>
      </c>
      <c r="L34">
        <v>2610</v>
      </c>
      <c r="M34" t="s">
        <v>1635</v>
      </c>
      <c r="N34">
        <v>0</v>
      </c>
    </row>
    <row r="35" spans="1:14">
      <c r="A35" s="6" t="s">
        <v>14</v>
      </c>
      <c r="B35" t="s">
        <v>15</v>
      </c>
      <c r="C35" t="s">
        <v>757</v>
      </c>
      <c r="D35" t="s">
        <v>758</v>
      </c>
      <c r="E35" s="8">
        <v>46045</v>
      </c>
      <c r="F35">
        <v>6</v>
      </c>
      <c r="G35">
        <v>4980</v>
      </c>
      <c r="H35">
        <v>143403</v>
      </c>
      <c r="I35">
        <v>27400</v>
      </c>
      <c r="J35">
        <v>116003</v>
      </c>
      <c r="K35" t="s">
        <v>1635</v>
      </c>
      <c r="L35">
        <v>4980</v>
      </c>
      <c r="M35" t="s">
        <v>1635</v>
      </c>
      <c r="N35">
        <v>0</v>
      </c>
    </row>
    <row r="36" spans="1:14">
      <c r="A36" s="6" t="s">
        <v>14</v>
      </c>
      <c r="B36" t="s">
        <v>15</v>
      </c>
      <c r="C36" t="s">
        <v>763</v>
      </c>
      <c r="D36" t="s">
        <v>764</v>
      </c>
      <c r="E36" s="8">
        <v>46052</v>
      </c>
      <c r="F36">
        <v>6</v>
      </c>
      <c r="G36">
        <v>3402</v>
      </c>
      <c r="H36">
        <v>103000</v>
      </c>
      <c r="I36">
        <v>19170</v>
      </c>
      <c r="J36">
        <v>83830</v>
      </c>
      <c r="K36" t="s">
        <v>1635</v>
      </c>
      <c r="L36">
        <v>3402</v>
      </c>
      <c r="M36" t="s">
        <v>1635</v>
      </c>
      <c r="N36">
        <v>0</v>
      </c>
    </row>
    <row r="37" spans="1:14">
      <c r="A37" s="6" t="s">
        <v>14</v>
      </c>
      <c r="B37" t="s">
        <v>15</v>
      </c>
      <c r="C37" t="s">
        <v>765</v>
      </c>
      <c r="D37" t="s">
        <v>766</v>
      </c>
      <c r="E37" s="8">
        <v>46045</v>
      </c>
      <c r="F37">
        <v>6</v>
      </c>
      <c r="G37">
        <v>3960</v>
      </c>
      <c r="H37">
        <v>118145</v>
      </c>
      <c r="I37">
        <v>22440</v>
      </c>
      <c r="J37">
        <v>95705</v>
      </c>
      <c r="K37" t="s">
        <v>1635</v>
      </c>
      <c r="L37">
        <v>3960</v>
      </c>
      <c r="M37" t="s">
        <v>1635</v>
      </c>
      <c r="N37">
        <v>0</v>
      </c>
    </row>
    <row r="38" spans="1:14">
      <c r="A38" s="6" t="s">
        <v>14</v>
      </c>
      <c r="B38" t="s">
        <v>15</v>
      </c>
      <c r="C38" t="s">
        <v>771</v>
      </c>
      <c r="D38" t="s">
        <v>772</v>
      </c>
      <c r="E38" s="8">
        <v>46045</v>
      </c>
      <c r="F38">
        <v>6</v>
      </c>
      <c r="G38">
        <v>5325</v>
      </c>
      <c r="H38">
        <v>158407</v>
      </c>
      <c r="I38">
        <v>29625</v>
      </c>
      <c r="J38">
        <v>128782</v>
      </c>
      <c r="K38" t="s">
        <v>1635</v>
      </c>
      <c r="L38">
        <v>5325</v>
      </c>
      <c r="M38" t="s">
        <v>1635</v>
      </c>
      <c r="N38">
        <v>0</v>
      </c>
    </row>
    <row r="39" spans="1:14">
      <c r="A39" s="6" t="s">
        <v>14</v>
      </c>
      <c r="B39" t="s">
        <v>15</v>
      </c>
      <c r="C39" t="s">
        <v>774</v>
      </c>
      <c r="D39" t="s">
        <v>775</v>
      </c>
      <c r="E39" s="8">
        <v>46045</v>
      </c>
      <c r="F39">
        <v>6</v>
      </c>
      <c r="G39">
        <v>2664</v>
      </c>
      <c r="H39">
        <v>77000</v>
      </c>
      <c r="I39">
        <v>14850</v>
      </c>
      <c r="J39">
        <v>62150</v>
      </c>
      <c r="K39" t="s">
        <v>1635</v>
      </c>
      <c r="L39">
        <v>2664</v>
      </c>
      <c r="M39" t="s">
        <v>1635</v>
      </c>
      <c r="N39">
        <v>0</v>
      </c>
    </row>
    <row r="40" spans="1:14">
      <c r="A40" s="6" t="s">
        <v>14</v>
      </c>
      <c r="B40" t="s">
        <v>15</v>
      </c>
      <c r="C40" t="s">
        <v>780</v>
      </c>
      <c r="D40" t="s">
        <v>781</v>
      </c>
      <c r="E40" s="8">
        <v>46045</v>
      </c>
      <c r="F40">
        <v>6</v>
      </c>
      <c r="G40">
        <v>4500</v>
      </c>
      <c r="H40">
        <v>106935</v>
      </c>
      <c r="I40">
        <v>24600</v>
      </c>
      <c r="J40">
        <v>82335</v>
      </c>
      <c r="K40" t="s">
        <v>1635</v>
      </c>
      <c r="L40">
        <v>4500</v>
      </c>
      <c r="M40" t="s">
        <v>1635</v>
      </c>
      <c r="N40">
        <v>0</v>
      </c>
    </row>
    <row r="41" spans="1:14">
      <c r="A41" s="6" t="s">
        <v>14</v>
      </c>
      <c r="B41" t="s">
        <v>15</v>
      </c>
      <c r="C41" t="s">
        <v>788</v>
      </c>
      <c r="D41" t="s">
        <v>789</v>
      </c>
      <c r="E41" s="8">
        <v>46052</v>
      </c>
      <c r="F41">
        <v>6</v>
      </c>
      <c r="G41">
        <v>3010</v>
      </c>
      <c r="H41">
        <v>87928</v>
      </c>
      <c r="I41">
        <v>16820</v>
      </c>
      <c r="J41">
        <v>71108</v>
      </c>
      <c r="K41" t="s">
        <v>1635</v>
      </c>
      <c r="L41">
        <v>3010</v>
      </c>
      <c r="M41" t="s">
        <v>1635</v>
      </c>
      <c r="N41">
        <v>0</v>
      </c>
    </row>
    <row r="42" spans="1:14">
      <c r="A42" s="6" t="s">
        <v>14</v>
      </c>
      <c r="B42" t="s">
        <v>15</v>
      </c>
      <c r="C42" t="s">
        <v>794</v>
      </c>
      <c r="D42" t="s">
        <v>795</v>
      </c>
      <c r="E42" s="8">
        <v>46045</v>
      </c>
      <c r="F42">
        <v>6</v>
      </c>
      <c r="G42">
        <v>3024</v>
      </c>
      <c r="H42">
        <v>86288</v>
      </c>
      <c r="I42">
        <v>16900</v>
      </c>
      <c r="J42">
        <v>69388</v>
      </c>
      <c r="K42" t="s">
        <v>1635</v>
      </c>
      <c r="L42">
        <v>3024</v>
      </c>
      <c r="M42" t="s">
        <v>1635</v>
      </c>
      <c r="N42">
        <v>0</v>
      </c>
    </row>
    <row r="43" spans="1:14">
      <c r="A43" s="6" t="s">
        <v>14</v>
      </c>
      <c r="B43" t="s">
        <v>15</v>
      </c>
      <c r="C43" t="s">
        <v>800</v>
      </c>
      <c r="D43" t="s">
        <v>801</v>
      </c>
      <c r="E43" s="8">
        <v>46052</v>
      </c>
      <c r="F43">
        <v>6</v>
      </c>
      <c r="G43">
        <v>3960</v>
      </c>
      <c r="H43">
        <v>115000</v>
      </c>
      <c r="I43">
        <v>22300</v>
      </c>
      <c r="J43">
        <v>92700</v>
      </c>
      <c r="K43" t="s">
        <v>1635</v>
      </c>
      <c r="L43">
        <v>3960</v>
      </c>
      <c r="M43" t="s">
        <v>1635</v>
      </c>
      <c r="N43">
        <v>0</v>
      </c>
    </row>
    <row r="44" spans="1:14">
      <c r="A44" s="6" t="s">
        <v>14</v>
      </c>
      <c r="B44" t="s">
        <v>15</v>
      </c>
      <c r="C44" t="s">
        <v>802</v>
      </c>
      <c r="D44" t="s">
        <v>803</v>
      </c>
      <c r="E44" s="8">
        <v>46045</v>
      </c>
      <c r="F44">
        <v>6</v>
      </c>
      <c r="G44">
        <v>3402</v>
      </c>
      <c r="H44">
        <v>100146</v>
      </c>
      <c r="I44">
        <v>19580</v>
      </c>
      <c r="J44">
        <v>80566</v>
      </c>
      <c r="K44" t="s">
        <v>1635</v>
      </c>
      <c r="L44">
        <v>3402</v>
      </c>
      <c r="M44" t="s">
        <v>1635</v>
      </c>
      <c r="N44">
        <v>0</v>
      </c>
    </row>
    <row r="45" spans="1:14">
      <c r="A45" s="6" t="s">
        <v>14</v>
      </c>
      <c r="B45" t="s">
        <v>15</v>
      </c>
      <c r="C45" t="s">
        <v>804</v>
      </c>
      <c r="D45" t="s">
        <v>805</v>
      </c>
      <c r="E45" s="8">
        <v>46045</v>
      </c>
      <c r="F45">
        <v>6</v>
      </c>
      <c r="G45">
        <v>2806</v>
      </c>
      <c r="H45">
        <v>88000</v>
      </c>
      <c r="I45">
        <v>15870</v>
      </c>
      <c r="J45">
        <v>72130</v>
      </c>
      <c r="K45" t="s">
        <v>1635</v>
      </c>
      <c r="L45">
        <v>2806</v>
      </c>
      <c r="M45" t="s">
        <v>1635</v>
      </c>
      <c r="N45">
        <v>0</v>
      </c>
    </row>
    <row r="46" spans="1:14">
      <c r="A46" s="6" t="s">
        <v>14</v>
      </c>
      <c r="B46" t="s">
        <v>15</v>
      </c>
      <c r="C46" t="s">
        <v>806</v>
      </c>
      <c r="D46" t="s">
        <v>807</v>
      </c>
      <c r="E46" s="8">
        <v>46045</v>
      </c>
      <c r="F46">
        <v>6</v>
      </c>
      <c r="G46">
        <v>2250</v>
      </c>
      <c r="H46">
        <v>70000</v>
      </c>
      <c r="I46">
        <v>13250</v>
      </c>
      <c r="J46">
        <v>56750</v>
      </c>
      <c r="K46" t="s">
        <v>1635</v>
      </c>
      <c r="L46">
        <v>2250</v>
      </c>
      <c r="M46" t="s">
        <v>1635</v>
      </c>
      <c r="N46">
        <v>0</v>
      </c>
    </row>
    <row r="47" spans="1:14">
      <c r="A47" s="6" t="s">
        <v>14</v>
      </c>
      <c r="B47" t="s">
        <v>15</v>
      </c>
      <c r="C47" t="s">
        <v>808</v>
      </c>
      <c r="D47" t="s">
        <v>809</v>
      </c>
      <c r="E47" s="8">
        <v>46052</v>
      </c>
      <c r="F47">
        <v>6</v>
      </c>
      <c r="G47">
        <v>2772</v>
      </c>
      <c r="H47">
        <v>84000</v>
      </c>
      <c r="I47">
        <v>15540</v>
      </c>
      <c r="J47">
        <v>68460</v>
      </c>
      <c r="K47" t="s">
        <v>1635</v>
      </c>
      <c r="L47">
        <v>2772</v>
      </c>
      <c r="M47" t="s">
        <v>1635</v>
      </c>
      <c r="N47">
        <v>0</v>
      </c>
    </row>
    <row r="48" spans="1:14">
      <c r="A48" s="6" t="s">
        <v>14</v>
      </c>
      <c r="B48" t="s">
        <v>15</v>
      </c>
      <c r="C48" t="s">
        <v>810</v>
      </c>
      <c r="D48" t="s">
        <v>811</v>
      </c>
      <c r="E48" s="8">
        <v>46052</v>
      </c>
      <c r="F48">
        <v>6</v>
      </c>
      <c r="G48">
        <v>4503</v>
      </c>
      <c r="H48">
        <v>128888</v>
      </c>
      <c r="I48">
        <v>24895</v>
      </c>
      <c r="J48">
        <v>103993</v>
      </c>
      <c r="K48" t="s">
        <v>1635</v>
      </c>
      <c r="L48">
        <v>4503</v>
      </c>
      <c r="M48" t="s">
        <v>1635</v>
      </c>
      <c r="N48">
        <v>0</v>
      </c>
    </row>
    <row r="49" spans="1:14">
      <c r="A49" s="6" t="s">
        <v>14</v>
      </c>
      <c r="B49" t="s">
        <v>15</v>
      </c>
      <c r="C49" t="s">
        <v>814</v>
      </c>
      <c r="D49" t="s">
        <v>815</v>
      </c>
      <c r="E49" s="8">
        <v>46045</v>
      </c>
      <c r="F49">
        <v>6</v>
      </c>
      <c r="G49">
        <v>1520</v>
      </c>
      <c r="H49">
        <v>27939</v>
      </c>
      <c r="I49">
        <v>9120</v>
      </c>
      <c r="J49">
        <v>18819</v>
      </c>
      <c r="K49" t="s">
        <v>1635</v>
      </c>
      <c r="L49">
        <v>1520</v>
      </c>
      <c r="M49" t="s">
        <v>1635</v>
      </c>
      <c r="N49">
        <v>0</v>
      </c>
    </row>
    <row r="50" spans="1:14">
      <c r="A50" s="6" t="s">
        <v>14</v>
      </c>
      <c r="B50" t="s">
        <v>15</v>
      </c>
      <c r="C50" t="s">
        <v>822</v>
      </c>
      <c r="D50" t="s">
        <v>823</v>
      </c>
      <c r="E50" s="8">
        <v>46045</v>
      </c>
      <c r="F50">
        <v>6</v>
      </c>
      <c r="G50">
        <v>2546</v>
      </c>
      <c r="H50">
        <v>77000</v>
      </c>
      <c r="I50">
        <v>14250</v>
      </c>
      <c r="J50">
        <v>62750</v>
      </c>
      <c r="K50" t="s">
        <v>1635</v>
      </c>
      <c r="L50">
        <v>2546</v>
      </c>
      <c r="M50" t="s">
        <v>1635</v>
      </c>
      <c r="N50">
        <v>0</v>
      </c>
    </row>
    <row r="51" spans="1:14">
      <c r="A51" s="6" t="s">
        <v>14</v>
      </c>
      <c r="B51" t="s">
        <v>15</v>
      </c>
      <c r="C51" t="s">
        <v>824</v>
      </c>
      <c r="D51" t="s">
        <v>825</v>
      </c>
      <c r="E51" s="8">
        <v>46045</v>
      </c>
      <c r="F51">
        <v>6</v>
      </c>
      <c r="G51">
        <v>2596</v>
      </c>
      <c r="H51">
        <v>75265</v>
      </c>
      <c r="I51">
        <v>14790</v>
      </c>
      <c r="J51">
        <v>60475</v>
      </c>
      <c r="K51" t="s">
        <v>1635</v>
      </c>
      <c r="L51">
        <v>2596</v>
      </c>
      <c r="M51" t="s">
        <v>1635</v>
      </c>
      <c r="N51">
        <v>0</v>
      </c>
    </row>
    <row r="52" spans="1:14">
      <c r="A52" s="6" t="s">
        <v>14</v>
      </c>
      <c r="B52" t="s">
        <v>15</v>
      </c>
      <c r="C52" t="s">
        <v>59</v>
      </c>
      <c r="D52" t="s">
        <v>60</v>
      </c>
      <c r="E52" s="8">
        <v>46052</v>
      </c>
      <c r="F52">
        <v>7</v>
      </c>
      <c r="G52">
        <v>4897</v>
      </c>
      <c r="H52">
        <v>87339</v>
      </c>
      <c r="I52">
        <v>33322.99</v>
      </c>
      <c r="J52">
        <v>54016.01</v>
      </c>
      <c r="K52" t="s">
        <v>1635</v>
      </c>
      <c r="L52">
        <v>4897</v>
      </c>
      <c r="M52" t="s">
        <v>1635</v>
      </c>
      <c r="N52">
        <v>0</v>
      </c>
    </row>
    <row r="53" spans="1:14">
      <c r="A53" s="6" t="s">
        <v>14</v>
      </c>
      <c r="B53" t="s">
        <v>15</v>
      </c>
      <c r="C53" t="s">
        <v>63</v>
      </c>
      <c r="D53" t="s">
        <v>64</v>
      </c>
      <c r="E53" s="8">
        <v>46045</v>
      </c>
      <c r="F53">
        <v>7</v>
      </c>
      <c r="G53">
        <v>4200</v>
      </c>
      <c r="H53">
        <v>76400</v>
      </c>
      <c r="I53">
        <v>29400</v>
      </c>
      <c r="J53">
        <v>47000</v>
      </c>
      <c r="K53" t="s">
        <v>1635</v>
      </c>
      <c r="L53">
        <v>4200</v>
      </c>
      <c r="M53" t="s">
        <v>1635</v>
      </c>
      <c r="N53">
        <v>0</v>
      </c>
    </row>
    <row r="54" spans="1:14">
      <c r="A54" s="6" t="s">
        <v>14</v>
      </c>
      <c r="B54" t="s">
        <v>15</v>
      </c>
      <c r="C54" t="s">
        <v>67</v>
      </c>
      <c r="D54" t="s">
        <v>68</v>
      </c>
      <c r="E54" s="8">
        <v>46045</v>
      </c>
      <c r="F54">
        <v>7</v>
      </c>
      <c r="G54">
        <v>4089</v>
      </c>
      <c r="H54">
        <v>120631</v>
      </c>
      <c r="I54">
        <v>28623</v>
      </c>
      <c r="J54">
        <v>92008</v>
      </c>
      <c r="K54" t="s">
        <v>1635</v>
      </c>
      <c r="L54">
        <v>4089</v>
      </c>
      <c r="M54" t="s">
        <v>1635</v>
      </c>
      <c r="N54">
        <v>0</v>
      </c>
    </row>
    <row r="55" spans="1:14">
      <c r="A55" s="6" t="s">
        <v>14</v>
      </c>
      <c r="B55" t="s">
        <v>15</v>
      </c>
      <c r="C55" t="s">
        <v>69</v>
      </c>
      <c r="D55" t="s">
        <v>70</v>
      </c>
      <c r="E55" s="8">
        <v>46052</v>
      </c>
      <c r="F55">
        <v>7</v>
      </c>
      <c r="G55">
        <v>2800</v>
      </c>
      <c r="H55">
        <v>95231</v>
      </c>
      <c r="I55">
        <v>19500</v>
      </c>
      <c r="J55">
        <v>75731</v>
      </c>
      <c r="K55" t="s">
        <v>1635</v>
      </c>
      <c r="L55">
        <v>2800</v>
      </c>
      <c r="M55" t="s">
        <v>1635</v>
      </c>
      <c r="N55">
        <v>0</v>
      </c>
    </row>
    <row r="56" spans="1:14">
      <c r="A56" s="6" t="s">
        <v>14</v>
      </c>
      <c r="B56" t="s">
        <v>15</v>
      </c>
      <c r="C56" t="s">
        <v>73</v>
      </c>
      <c r="D56" t="s">
        <v>74</v>
      </c>
      <c r="E56" s="8">
        <v>46045</v>
      </c>
      <c r="F56">
        <v>7</v>
      </c>
      <c r="G56">
        <v>2400</v>
      </c>
      <c r="H56">
        <v>73000</v>
      </c>
      <c r="I56">
        <v>16800</v>
      </c>
      <c r="J56">
        <v>56200</v>
      </c>
      <c r="K56" t="s">
        <v>1635</v>
      </c>
      <c r="L56">
        <v>2400</v>
      </c>
      <c r="M56" t="s">
        <v>1635</v>
      </c>
      <c r="N56">
        <v>0</v>
      </c>
    </row>
    <row r="57" spans="1:14">
      <c r="A57" s="6" t="s">
        <v>14</v>
      </c>
      <c r="B57" t="s">
        <v>15</v>
      </c>
      <c r="C57" t="s">
        <v>81</v>
      </c>
      <c r="D57" t="s">
        <v>82</v>
      </c>
      <c r="E57" s="8">
        <v>46045</v>
      </c>
      <c r="F57">
        <v>7</v>
      </c>
      <c r="G57">
        <v>4732</v>
      </c>
      <c r="H57">
        <v>88947</v>
      </c>
      <c r="I57">
        <v>31697</v>
      </c>
      <c r="J57">
        <v>57250</v>
      </c>
      <c r="K57" t="s">
        <v>1635</v>
      </c>
      <c r="L57">
        <v>4732</v>
      </c>
      <c r="M57" t="s">
        <v>1635</v>
      </c>
      <c r="N57">
        <v>0</v>
      </c>
    </row>
    <row r="58" spans="1:14">
      <c r="A58" s="6" t="s">
        <v>14</v>
      </c>
      <c r="B58" t="s">
        <v>15</v>
      </c>
      <c r="C58" t="s">
        <v>153</v>
      </c>
      <c r="D58" t="s">
        <v>154</v>
      </c>
      <c r="E58" s="8">
        <v>46045</v>
      </c>
      <c r="F58">
        <v>7</v>
      </c>
      <c r="G58">
        <v>3306</v>
      </c>
      <c r="H58">
        <v>100000</v>
      </c>
      <c r="I58">
        <v>23142</v>
      </c>
      <c r="J58">
        <v>76858</v>
      </c>
      <c r="K58" t="s">
        <v>1635</v>
      </c>
      <c r="L58">
        <v>3306</v>
      </c>
      <c r="M58" t="s">
        <v>1635</v>
      </c>
      <c r="N58">
        <v>0</v>
      </c>
    </row>
    <row r="59" spans="1:14">
      <c r="A59" s="6" t="s">
        <v>14</v>
      </c>
      <c r="B59" t="s">
        <v>15</v>
      </c>
      <c r="C59" t="s">
        <v>155</v>
      </c>
      <c r="D59" t="s">
        <v>156</v>
      </c>
      <c r="E59" s="8">
        <v>46045</v>
      </c>
      <c r="F59">
        <v>7</v>
      </c>
      <c r="G59">
        <v>5520</v>
      </c>
      <c r="H59">
        <v>170000</v>
      </c>
      <c r="I59">
        <v>38080</v>
      </c>
      <c r="J59">
        <v>131920</v>
      </c>
      <c r="K59" t="s">
        <v>1635</v>
      </c>
      <c r="L59">
        <v>5520</v>
      </c>
      <c r="M59" t="s">
        <v>1635</v>
      </c>
      <c r="N59">
        <v>0</v>
      </c>
    </row>
    <row r="60" spans="1:14">
      <c r="A60" s="6" t="s">
        <v>14</v>
      </c>
      <c r="B60" t="s">
        <v>15</v>
      </c>
      <c r="C60" t="s">
        <v>159</v>
      </c>
      <c r="D60" t="s">
        <v>160</v>
      </c>
      <c r="E60" s="8">
        <v>46045</v>
      </c>
      <c r="F60">
        <v>7</v>
      </c>
      <c r="G60">
        <v>5428</v>
      </c>
      <c r="H60">
        <v>100000</v>
      </c>
      <c r="I60">
        <v>36991.33</v>
      </c>
      <c r="J60">
        <v>63008.67</v>
      </c>
      <c r="K60" t="s">
        <v>1635</v>
      </c>
      <c r="L60">
        <v>5428</v>
      </c>
      <c r="M60" t="s">
        <v>1635</v>
      </c>
      <c r="N60">
        <v>0</v>
      </c>
    </row>
    <row r="61" spans="1:14">
      <c r="A61" s="6" t="s">
        <v>14</v>
      </c>
      <c r="B61" t="s">
        <v>15</v>
      </c>
      <c r="C61" t="s">
        <v>181</v>
      </c>
      <c r="D61" t="s">
        <v>182</v>
      </c>
      <c r="E61" s="8">
        <v>46045</v>
      </c>
      <c r="F61">
        <v>7</v>
      </c>
      <c r="G61">
        <v>4600</v>
      </c>
      <c r="H61">
        <v>84886</v>
      </c>
      <c r="I61">
        <v>31600</v>
      </c>
      <c r="J61">
        <v>53286</v>
      </c>
      <c r="K61" t="s">
        <v>1635</v>
      </c>
      <c r="L61">
        <v>4600</v>
      </c>
      <c r="M61" t="s">
        <v>1635</v>
      </c>
      <c r="N61">
        <v>0</v>
      </c>
    </row>
    <row r="62" spans="1:14">
      <c r="A62" s="6" t="s">
        <v>14</v>
      </c>
      <c r="B62" t="s">
        <v>15</v>
      </c>
      <c r="C62" t="s">
        <v>203</v>
      </c>
      <c r="D62" t="s">
        <v>204</v>
      </c>
      <c r="E62" s="8">
        <v>46045</v>
      </c>
      <c r="F62">
        <v>7</v>
      </c>
      <c r="G62">
        <v>2460</v>
      </c>
      <c r="H62">
        <v>74625</v>
      </c>
      <c r="I62">
        <v>16960</v>
      </c>
      <c r="J62">
        <v>57665</v>
      </c>
      <c r="K62" t="s">
        <v>1635</v>
      </c>
      <c r="L62">
        <v>2460</v>
      </c>
      <c r="M62" t="s">
        <v>1635</v>
      </c>
      <c r="N62">
        <v>0</v>
      </c>
    </row>
    <row r="63" spans="1:14">
      <c r="A63" s="6" t="s">
        <v>14</v>
      </c>
      <c r="B63" t="s">
        <v>15</v>
      </c>
      <c r="C63" t="s">
        <v>207</v>
      </c>
      <c r="D63" t="s">
        <v>208</v>
      </c>
      <c r="E63" s="8">
        <v>46052</v>
      </c>
      <c r="F63">
        <v>7</v>
      </c>
      <c r="G63">
        <v>2360</v>
      </c>
      <c r="H63">
        <v>73000</v>
      </c>
      <c r="I63">
        <v>16223.33</v>
      </c>
      <c r="J63">
        <v>56776.67</v>
      </c>
      <c r="K63" t="s">
        <v>1635</v>
      </c>
      <c r="L63">
        <v>2360</v>
      </c>
      <c r="M63" t="s">
        <v>1635</v>
      </c>
      <c r="N63">
        <v>0</v>
      </c>
    </row>
    <row r="64" spans="1:14">
      <c r="A64" s="6" t="s">
        <v>14</v>
      </c>
      <c r="B64" t="s">
        <v>15</v>
      </c>
      <c r="C64" t="s">
        <v>215</v>
      </c>
      <c r="D64" t="s">
        <v>216</v>
      </c>
      <c r="E64" s="8">
        <v>46045</v>
      </c>
      <c r="F64">
        <v>7</v>
      </c>
      <c r="G64">
        <v>2640</v>
      </c>
      <c r="H64">
        <v>78314</v>
      </c>
      <c r="I64">
        <v>18480</v>
      </c>
      <c r="J64">
        <v>59834</v>
      </c>
      <c r="K64" t="s">
        <v>1635</v>
      </c>
      <c r="L64">
        <v>2640</v>
      </c>
      <c r="M64" t="s">
        <v>1635</v>
      </c>
      <c r="N64">
        <v>0</v>
      </c>
    </row>
    <row r="65" spans="1:14">
      <c r="A65" s="6" t="s">
        <v>14</v>
      </c>
      <c r="B65" t="s">
        <v>15</v>
      </c>
      <c r="C65" t="s">
        <v>217</v>
      </c>
      <c r="D65" t="s">
        <v>218</v>
      </c>
      <c r="E65" s="8">
        <v>46045</v>
      </c>
      <c r="F65">
        <v>7</v>
      </c>
      <c r="G65">
        <v>2990</v>
      </c>
      <c r="H65">
        <v>90000</v>
      </c>
      <c r="I65">
        <v>20704</v>
      </c>
      <c r="J65">
        <v>69296</v>
      </c>
      <c r="K65" t="s">
        <v>1635</v>
      </c>
      <c r="L65">
        <v>2990</v>
      </c>
      <c r="M65" t="s">
        <v>1635</v>
      </c>
      <c r="N65">
        <v>0</v>
      </c>
    </row>
    <row r="66" spans="1:14">
      <c r="A66" s="6" t="s">
        <v>14</v>
      </c>
      <c r="B66" t="s">
        <v>15</v>
      </c>
      <c r="C66" t="s">
        <v>219</v>
      </c>
      <c r="D66" t="s">
        <v>220</v>
      </c>
      <c r="E66" s="8">
        <v>46045</v>
      </c>
      <c r="F66">
        <v>7</v>
      </c>
      <c r="G66">
        <v>3914</v>
      </c>
      <c r="H66">
        <v>73000</v>
      </c>
      <c r="I66">
        <v>27398</v>
      </c>
      <c r="J66">
        <v>45602</v>
      </c>
      <c r="K66" t="s">
        <v>1635</v>
      </c>
      <c r="L66">
        <v>3914</v>
      </c>
      <c r="M66" t="s">
        <v>1635</v>
      </c>
      <c r="N66">
        <v>0</v>
      </c>
    </row>
    <row r="67" spans="1:14">
      <c r="A67" s="6" t="s">
        <v>14</v>
      </c>
      <c r="B67" t="s">
        <v>15</v>
      </c>
      <c r="C67" t="s">
        <v>227</v>
      </c>
      <c r="D67" t="s">
        <v>228</v>
      </c>
      <c r="E67" s="8">
        <v>46052</v>
      </c>
      <c r="F67">
        <v>7</v>
      </c>
      <c r="G67">
        <v>2652</v>
      </c>
      <c r="H67">
        <v>79976</v>
      </c>
      <c r="I67">
        <v>18564</v>
      </c>
      <c r="J67">
        <v>61412</v>
      </c>
      <c r="K67" t="s">
        <v>1635</v>
      </c>
      <c r="L67">
        <v>2652</v>
      </c>
      <c r="M67" t="s">
        <v>1635</v>
      </c>
      <c r="N67">
        <v>0</v>
      </c>
    </row>
    <row r="68" spans="1:14">
      <c r="A68" s="6" t="s">
        <v>14</v>
      </c>
      <c r="B68" t="s">
        <v>15</v>
      </c>
      <c r="C68" t="s">
        <v>233</v>
      </c>
      <c r="D68" t="s">
        <v>1645</v>
      </c>
      <c r="E68" s="8">
        <v>46052</v>
      </c>
      <c r="F68">
        <v>7</v>
      </c>
      <c r="G68">
        <v>4320</v>
      </c>
      <c r="H68">
        <v>80000</v>
      </c>
      <c r="I68">
        <v>27840</v>
      </c>
      <c r="J68">
        <v>52160</v>
      </c>
      <c r="K68" t="s">
        <v>1635</v>
      </c>
      <c r="L68">
        <v>4320</v>
      </c>
      <c r="M68" t="s">
        <v>1635</v>
      </c>
      <c r="N68">
        <v>0</v>
      </c>
    </row>
    <row r="69" spans="1:14">
      <c r="A69" s="6" t="s">
        <v>14</v>
      </c>
      <c r="B69" t="s">
        <v>15</v>
      </c>
      <c r="C69" t="s">
        <v>242</v>
      </c>
      <c r="D69" t="s">
        <v>243</v>
      </c>
      <c r="E69" s="8">
        <v>46045</v>
      </c>
      <c r="F69">
        <v>7</v>
      </c>
      <c r="G69">
        <v>2886</v>
      </c>
      <c r="H69">
        <v>84677</v>
      </c>
      <c r="I69">
        <v>20202</v>
      </c>
      <c r="J69">
        <v>64475</v>
      </c>
      <c r="K69" t="s">
        <v>1635</v>
      </c>
      <c r="L69">
        <v>2886</v>
      </c>
      <c r="M69" t="s">
        <v>1635</v>
      </c>
      <c r="N69">
        <v>0</v>
      </c>
    </row>
    <row r="70" spans="1:14">
      <c r="A70" s="6" t="s">
        <v>14</v>
      </c>
      <c r="B70" t="s">
        <v>15</v>
      </c>
      <c r="C70" t="s">
        <v>246</v>
      </c>
      <c r="D70" t="s">
        <v>247</v>
      </c>
      <c r="E70" s="8">
        <v>46052</v>
      </c>
      <c r="F70">
        <v>7</v>
      </c>
      <c r="G70">
        <v>2756</v>
      </c>
      <c r="H70">
        <v>83985</v>
      </c>
      <c r="I70">
        <v>18442.669999999998</v>
      </c>
      <c r="J70">
        <v>65542.33</v>
      </c>
      <c r="K70" t="s">
        <v>1635</v>
      </c>
      <c r="L70">
        <v>2756</v>
      </c>
      <c r="M70" t="s">
        <v>1635</v>
      </c>
      <c r="N70">
        <v>0</v>
      </c>
    </row>
    <row r="71" spans="1:14">
      <c r="A71" s="6" t="s">
        <v>14</v>
      </c>
      <c r="B71" t="s">
        <v>15</v>
      </c>
      <c r="C71" t="s">
        <v>258</v>
      </c>
      <c r="D71" t="s">
        <v>259</v>
      </c>
      <c r="E71" s="8">
        <v>46052</v>
      </c>
      <c r="F71">
        <v>7</v>
      </c>
      <c r="G71">
        <v>4307</v>
      </c>
      <c r="H71">
        <v>79553</v>
      </c>
      <c r="I71">
        <v>28518.67</v>
      </c>
      <c r="J71">
        <v>51034.33</v>
      </c>
      <c r="K71" t="s">
        <v>1635</v>
      </c>
      <c r="L71">
        <v>4307</v>
      </c>
      <c r="M71" t="s">
        <v>1635</v>
      </c>
      <c r="N71">
        <v>0</v>
      </c>
    </row>
    <row r="72" spans="1:14">
      <c r="A72" s="6" t="s">
        <v>14</v>
      </c>
      <c r="B72" t="s">
        <v>15</v>
      </c>
      <c r="C72" t="s">
        <v>262</v>
      </c>
      <c r="D72" t="s">
        <v>263</v>
      </c>
      <c r="E72" s="8">
        <v>46045</v>
      </c>
      <c r="F72">
        <v>7</v>
      </c>
      <c r="G72">
        <v>2592</v>
      </c>
      <c r="H72">
        <v>78645</v>
      </c>
      <c r="I72">
        <v>18144</v>
      </c>
      <c r="J72">
        <v>60501</v>
      </c>
      <c r="K72" t="s">
        <v>1635</v>
      </c>
      <c r="L72">
        <v>2592</v>
      </c>
      <c r="M72" t="s">
        <v>1635</v>
      </c>
      <c r="N72">
        <v>0</v>
      </c>
    </row>
    <row r="73" spans="1:14">
      <c r="A73" s="6" t="s">
        <v>14</v>
      </c>
      <c r="B73" t="s">
        <v>15</v>
      </c>
      <c r="C73" t="s">
        <v>280</v>
      </c>
      <c r="D73" t="s">
        <v>281</v>
      </c>
      <c r="E73" s="8">
        <v>46052</v>
      </c>
      <c r="F73">
        <v>7</v>
      </c>
      <c r="G73">
        <v>3180</v>
      </c>
      <c r="H73">
        <v>95000</v>
      </c>
      <c r="I73">
        <v>21161.67</v>
      </c>
      <c r="J73">
        <v>73838.33</v>
      </c>
      <c r="K73" t="s">
        <v>1635</v>
      </c>
      <c r="L73">
        <v>3180</v>
      </c>
      <c r="M73" t="s">
        <v>1635</v>
      </c>
      <c r="N73">
        <v>0</v>
      </c>
    </row>
    <row r="74" spans="1:14">
      <c r="A74" s="6" t="s">
        <v>14</v>
      </c>
      <c r="B74" t="s">
        <v>15</v>
      </c>
      <c r="C74" t="s">
        <v>330</v>
      </c>
      <c r="D74" t="s">
        <v>331</v>
      </c>
      <c r="E74" s="8">
        <v>46045</v>
      </c>
      <c r="F74">
        <v>7</v>
      </c>
      <c r="G74">
        <v>3519</v>
      </c>
      <c r="H74">
        <v>102530</v>
      </c>
      <c r="I74">
        <v>24633</v>
      </c>
      <c r="J74">
        <v>77897</v>
      </c>
      <c r="K74" t="s">
        <v>1635</v>
      </c>
      <c r="L74">
        <v>3519</v>
      </c>
      <c r="M74" t="s">
        <v>1635</v>
      </c>
      <c r="N74">
        <v>0</v>
      </c>
    </row>
    <row r="75" spans="1:14">
      <c r="A75" s="6" t="s">
        <v>14</v>
      </c>
      <c r="B75" t="s">
        <v>15</v>
      </c>
      <c r="C75" t="s">
        <v>373</v>
      </c>
      <c r="D75" t="s">
        <v>374</v>
      </c>
      <c r="E75" s="8">
        <v>46045</v>
      </c>
      <c r="F75">
        <v>7</v>
      </c>
      <c r="G75">
        <v>7370</v>
      </c>
      <c r="H75">
        <v>220995</v>
      </c>
      <c r="I75">
        <v>51590</v>
      </c>
      <c r="J75">
        <v>169405</v>
      </c>
      <c r="K75" t="s">
        <v>1635</v>
      </c>
      <c r="L75">
        <v>7370</v>
      </c>
      <c r="M75" t="s">
        <v>1635</v>
      </c>
      <c r="N75">
        <v>0</v>
      </c>
    </row>
    <row r="76" spans="1:14">
      <c r="A76" s="6" t="s">
        <v>14</v>
      </c>
      <c r="B76" t="s">
        <v>15</v>
      </c>
      <c r="C76" t="s">
        <v>425</v>
      </c>
      <c r="D76" t="s">
        <v>426</v>
      </c>
      <c r="E76" s="8">
        <v>46052</v>
      </c>
      <c r="F76">
        <v>7</v>
      </c>
      <c r="G76">
        <v>2714</v>
      </c>
      <c r="H76">
        <v>89000</v>
      </c>
      <c r="I76">
        <v>18124</v>
      </c>
      <c r="J76">
        <v>70876</v>
      </c>
      <c r="K76" t="s">
        <v>1635</v>
      </c>
      <c r="L76">
        <v>2714</v>
      </c>
      <c r="M76" t="s">
        <v>1635</v>
      </c>
      <c r="N76">
        <v>0</v>
      </c>
    </row>
    <row r="77" spans="1:14">
      <c r="A77" s="6" t="s">
        <v>14</v>
      </c>
      <c r="B77" t="s">
        <v>15</v>
      </c>
      <c r="C77" t="s">
        <v>485</v>
      </c>
      <c r="D77" t="s">
        <v>486</v>
      </c>
      <c r="E77" s="8">
        <v>46045</v>
      </c>
      <c r="F77">
        <v>7</v>
      </c>
      <c r="G77">
        <v>3135</v>
      </c>
      <c r="H77">
        <v>93980</v>
      </c>
      <c r="I77">
        <v>20075</v>
      </c>
      <c r="J77">
        <v>73905</v>
      </c>
      <c r="K77" t="s">
        <v>1635</v>
      </c>
      <c r="L77">
        <v>3135</v>
      </c>
      <c r="M77" t="s">
        <v>1635</v>
      </c>
      <c r="N77">
        <v>0</v>
      </c>
    </row>
    <row r="78" spans="1:14">
      <c r="A78" s="6" t="s">
        <v>14</v>
      </c>
      <c r="B78" t="s">
        <v>15</v>
      </c>
      <c r="C78" t="s">
        <v>497</v>
      </c>
      <c r="D78" t="s">
        <v>498</v>
      </c>
      <c r="E78" s="8">
        <v>46045</v>
      </c>
      <c r="F78">
        <v>7</v>
      </c>
      <c r="G78">
        <v>1679</v>
      </c>
      <c r="H78">
        <v>30363</v>
      </c>
      <c r="I78">
        <v>11753</v>
      </c>
      <c r="J78">
        <v>18610</v>
      </c>
      <c r="K78" t="s">
        <v>1635</v>
      </c>
      <c r="L78">
        <v>1679</v>
      </c>
      <c r="M78" t="s">
        <v>1635</v>
      </c>
      <c r="N78">
        <v>0</v>
      </c>
    </row>
    <row r="79" spans="1:14">
      <c r="A79" s="6" t="s">
        <v>14</v>
      </c>
      <c r="B79" t="s">
        <v>15</v>
      </c>
      <c r="C79" t="s">
        <v>505</v>
      </c>
      <c r="D79" t="s">
        <v>506</v>
      </c>
      <c r="E79" s="8">
        <v>46045</v>
      </c>
      <c r="F79">
        <v>7</v>
      </c>
      <c r="G79">
        <v>494</v>
      </c>
      <c r="H79">
        <v>8910</v>
      </c>
      <c r="I79">
        <v>3458</v>
      </c>
      <c r="J79">
        <v>5452</v>
      </c>
      <c r="K79" t="s">
        <v>1635</v>
      </c>
      <c r="L79">
        <v>494</v>
      </c>
      <c r="M79" t="s">
        <v>1635</v>
      </c>
      <c r="N79">
        <v>0</v>
      </c>
    </row>
    <row r="80" spans="1:14">
      <c r="A80" s="6" t="s">
        <v>14</v>
      </c>
      <c r="B80" t="s">
        <v>15</v>
      </c>
      <c r="C80" t="s">
        <v>543</v>
      </c>
      <c r="D80" t="s">
        <v>1647</v>
      </c>
      <c r="E80" s="8">
        <v>46052</v>
      </c>
      <c r="F80">
        <v>7</v>
      </c>
      <c r="G80">
        <v>1428</v>
      </c>
      <c r="H80">
        <v>26555</v>
      </c>
      <c r="I80">
        <v>9996</v>
      </c>
      <c r="J80">
        <v>16559</v>
      </c>
      <c r="K80" t="s">
        <v>1635</v>
      </c>
      <c r="L80">
        <v>1428</v>
      </c>
      <c r="M80" t="s">
        <v>1635</v>
      </c>
      <c r="N80">
        <v>0</v>
      </c>
    </row>
    <row r="81" spans="1:14">
      <c r="A81" s="6" t="s">
        <v>14</v>
      </c>
      <c r="B81" t="s">
        <v>15</v>
      </c>
      <c r="C81" t="s">
        <v>548</v>
      </c>
      <c r="D81" t="s">
        <v>549</v>
      </c>
      <c r="E81" s="8">
        <v>46045</v>
      </c>
      <c r="F81">
        <v>7</v>
      </c>
      <c r="G81">
        <v>2632</v>
      </c>
      <c r="H81">
        <v>78025</v>
      </c>
      <c r="I81">
        <v>17722</v>
      </c>
      <c r="J81">
        <v>60303</v>
      </c>
      <c r="K81" t="s">
        <v>1635</v>
      </c>
      <c r="L81">
        <v>2632</v>
      </c>
      <c r="M81" t="s">
        <v>1635</v>
      </c>
      <c r="N81">
        <v>0</v>
      </c>
    </row>
    <row r="82" spans="1:14">
      <c r="A82" s="6" t="s">
        <v>14</v>
      </c>
      <c r="B82" t="s">
        <v>15</v>
      </c>
      <c r="C82" t="s">
        <v>564</v>
      </c>
      <c r="D82" t="s">
        <v>565</v>
      </c>
      <c r="E82" s="8">
        <v>46052</v>
      </c>
      <c r="F82">
        <v>7</v>
      </c>
      <c r="G82">
        <v>1560</v>
      </c>
      <c r="H82">
        <v>27722</v>
      </c>
      <c r="I82">
        <v>10920</v>
      </c>
      <c r="J82">
        <v>16802</v>
      </c>
      <c r="K82" t="s">
        <v>1635</v>
      </c>
      <c r="L82">
        <v>1560</v>
      </c>
      <c r="M82" t="s">
        <v>1635</v>
      </c>
      <c r="N82">
        <v>0</v>
      </c>
    </row>
    <row r="83" spans="1:14">
      <c r="A83" s="6" t="s">
        <v>14</v>
      </c>
      <c r="B83" t="s">
        <v>15</v>
      </c>
      <c r="C83" t="s">
        <v>569</v>
      </c>
      <c r="D83" t="s">
        <v>570</v>
      </c>
      <c r="E83" s="8">
        <v>46045</v>
      </c>
      <c r="F83">
        <v>7</v>
      </c>
      <c r="G83">
        <v>3139</v>
      </c>
      <c r="H83">
        <v>100000</v>
      </c>
      <c r="I83">
        <v>19373</v>
      </c>
      <c r="J83">
        <v>80627</v>
      </c>
      <c r="K83" t="s">
        <v>1635</v>
      </c>
      <c r="L83">
        <v>3139</v>
      </c>
      <c r="M83" t="s">
        <v>1635</v>
      </c>
      <c r="N83">
        <v>0</v>
      </c>
    </row>
    <row r="84" spans="1:14">
      <c r="A84" s="6" t="s">
        <v>14</v>
      </c>
      <c r="B84" t="s">
        <v>15</v>
      </c>
      <c r="C84" t="s">
        <v>582</v>
      </c>
      <c r="D84" t="s">
        <v>583</v>
      </c>
      <c r="E84" s="8">
        <v>46045</v>
      </c>
      <c r="F84">
        <v>7</v>
      </c>
      <c r="G84">
        <v>2236</v>
      </c>
      <c r="H84">
        <v>67000</v>
      </c>
      <c r="I84">
        <v>15136</v>
      </c>
      <c r="J84">
        <v>51864</v>
      </c>
      <c r="K84" t="s">
        <v>1635</v>
      </c>
      <c r="L84">
        <v>2236</v>
      </c>
      <c r="M84" t="s">
        <v>1635</v>
      </c>
      <c r="N84">
        <v>0</v>
      </c>
    </row>
    <row r="85" spans="1:14">
      <c r="A85" s="6" t="s">
        <v>14</v>
      </c>
      <c r="B85" t="s">
        <v>15</v>
      </c>
      <c r="C85" t="s">
        <v>584</v>
      </c>
      <c r="D85" t="s">
        <v>585</v>
      </c>
      <c r="E85" s="8">
        <v>46045</v>
      </c>
      <c r="F85">
        <v>7</v>
      </c>
      <c r="G85">
        <v>3024</v>
      </c>
      <c r="H85">
        <v>86995</v>
      </c>
      <c r="I85">
        <v>19924</v>
      </c>
      <c r="J85">
        <v>67071</v>
      </c>
      <c r="K85" t="s">
        <v>1635</v>
      </c>
      <c r="L85">
        <v>3024</v>
      </c>
      <c r="M85" t="s">
        <v>1635</v>
      </c>
      <c r="N85">
        <v>0</v>
      </c>
    </row>
    <row r="86" spans="1:14">
      <c r="A86" s="6" t="s">
        <v>14</v>
      </c>
      <c r="B86" t="s">
        <v>15</v>
      </c>
      <c r="C86" t="s">
        <v>611</v>
      </c>
      <c r="D86" t="s">
        <v>612</v>
      </c>
      <c r="E86" s="8">
        <v>46052</v>
      </c>
      <c r="F86">
        <v>7</v>
      </c>
      <c r="G86">
        <v>3034</v>
      </c>
      <c r="H86">
        <v>91593</v>
      </c>
      <c r="I86">
        <v>19844</v>
      </c>
      <c r="J86">
        <v>71749</v>
      </c>
      <c r="K86" t="s">
        <v>1635</v>
      </c>
      <c r="L86">
        <v>3034</v>
      </c>
      <c r="M86" t="s">
        <v>1635</v>
      </c>
      <c r="N86">
        <v>0</v>
      </c>
    </row>
    <row r="87" spans="1:14">
      <c r="A87" s="6" t="s">
        <v>14</v>
      </c>
      <c r="B87" t="s">
        <v>15</v>
      </c>
      <c r="C87" t="s">
        <v>613</v>
      </c>
      <c r="D87" t="s">
        <v>614</v>
      </c>
      <c r="E87" s="8">
        <v>46052</v>
      </c>
      <c r="F87">
        <v>7</v>
      </c>
      <c r="G87">
        <v>3278.5</v>
      </c>
      <c r="H87">
        <v>96397</v>
      </c>
      <c r="I87">
        <v>21381</v>
      </c>
      <c r="J87">
        <v>75016</v>
      </c>
      <c r="K87" t="s">
        <v>1635</v>
      </c>
      <c r="L87">
        <v>3278.5</v>
      </c>
      <c r="M87" t="s">
        <v>1635</v>
      </c>
      <c r="N87">
        <v>0</v>
      </c>
    </row>
    <row r="88" spans="1:14">
      <c r="A88" s="6" t="s">
        <v>14</v>
      </c>
      <c r="B88" t="s">
        <v>15</v>
      </c>
      <c r="C88" t="s">
        <v>628</v>
      </c>
      <c r="D88" t="s">
        <v>629</v>
      </c>
      <c r="E88" s="8">
        <v>46052</v>
      </c>
      <c r="F88">
        <v>7</v>
      </c>
      <c r="G88">
        <v>3640</v>
      </c>
      <c r="H88">
        <v>107767</v>
      </c>
      <c r="I88">
        <v>23920</v>
      </c>
      <c r="J88">
        <v>83847</v>
      </c>
      <c r="K88" t="s">
        <v>1635</v>
      </c>
      <c r="L88">
        <v>3640</v>
      </c>
      <c r="M88" t="s">
        <v>1635</v>
      </c>
      <c r="N88">
        <v>0</v>
      </c>
    </row>
    <row r="89" spans="1:14">
      <c r="A89" s="6" t="s">
        <v>14</v>
      </c>
      <c r="B89" t="s">
        <v>15</v>
      </c>
      <c r="C89" t="s">
        <v>630</v>
      </c>
      <c r="D89" t="s">
        <v>631</v>
      </c>
      <c r="E89" s="8">
        <v>46045</v>
      </c>
      <c r="F89">
        <v>7</v>
      </c>
      <c r="G89">
        <v>3772</v>
      </c>
      <c r="H89">
        <v>107350</v>
      </c>
      <c r="I89">
        <v>24622</v>
      </c>
      <c r="J89">
        <v>82728</v>
      </c>
      <c r="K89" t="s">
        <v>1635</v>
      </c>
      <c r="L89">
        <v>3772</v>
      </c>
      <c r="M89" t="s">
        <v>1635</v>
      </c>
      <c r="N89">
        <v>0</v>
      </c>
    </row>
    <row r="90" spans="1:14">
      <c r="A90" s="6" t="s">
        <v>14</v>
      </c>
      <c r="B90" t="s">
        <v>15</v>
      </c>
      <c r="C90" t="s">
        <v>663</v>
      </c>
      <c r="D90" t="s">
        <v>664</v>
      </c>
      <c r="E90" s="8">
        <v>46052</v>
      </c>
      <c r="F90">
        <v>7</v>
      </c>
      <c r="G90">
        <v>1260</v>
      </c>
      <c r="H90">
        <v>23283</v>
      </c>
      <c r="I90">
        <v>8820</v>
      </c>
      <c r="J90">
        <v>14463</v>
      </c>
      <c r="K90" t="s">
        <v>1635</v>
      </c>
      <c r="L90">
        <v>1260</v>
      </c>
      <c r="M90" t="s">
        <v>1635</v>
      </c>
      <c r="N90">
        <v>0</v>
      </c>
    </row>
    <row r="91" spans="1:14">
      <c r="A91" s="6" t="s">
        <v>14</v>
      </c>
      <c r="B91" t="s">
        <v>15</v>
      </c>
      <c r="C91" t="s">
        <v>679</v>
      </c>
      <c r="D91" t="s">
        <v>680</v>
      </c>
      <c r="E91" s="8">
        <v>46052</v>
      </c>
      <c r="F91">
        <v>7</v>
      </c>
      <c r="G91">
        <v>1290</v>
      </c>
      <c r="H91">
        <v>80999</v>
      </c>
      <c r="I91">
        <v>17219</v>
      </c>
      <c r="J91">
        <v>63780</v>
      </c>
      <c r="K91" t="s">
        <v>1635</v>
      </c>
      <c r="L91">
        <v>1290</v>
      </c>
      <c r="M91" t="s">
        <v>1635</v>
      </c>
      <c r="N91">
        <v>0</v>
      </c>
    </row>
    <row r="92" spans="1:14">
      <c r="A92" s="6" t="s">
        <v>14</v>
      </c>
      <c r="B92" t="s">
        <v>15</v>
      </c>
      <c r="C92" t="s">
        <v>681</v>
      </c>
      <c r="D92" t="s">
        <v>1653</v>
      </c>
      <c r="E92" s="8">
        <v>46052</v>
      </c>
      <c r="F92">
        <v>7</v>
      </c>
      <c r="G92">
        <v>2496</v>
      </c>
      <c r="H92">
        <v>75452</v>
      </c>
      <c r="I92">
        <v>16896</v>
      </c>
      <c r="J92">
        <v>58556</v>
      </c>
      <c r="K92" t="s">
        <v>1635</v>
      </c>
      <c r="L92">
        <v>2496</v>
      </c>
      <c r="M92" t="s">
        <v>1635</v>
      </c>
      <c r="N92">
        <v>0</v>
      </c>
    </row>
    <row r="93" spans="1:14">
      <c r="A93" s="6" t="s">
        <v>14</v>
      </c>
      <c r="B93" t="s">
        <v>15</v>
      </c>
      <c r="C93" t="s">
        <v>696</v>
      </c>
      <c r="D93" t="s">
        <v>697</v>
      </c>
      <c r="E93" s="8">
        <v>46052</v>
      </c>
      <c r="F93">
        <v>7</v>
      </c>
      <c r="G93">
        <v>3116</v>
      </c>
      <c r="H93">
        <v>94000</v>
      </c>
      <c r="I93">
        <v>20336</v>
      </c>
      <c r="J93">
        <v>73664</v>
      </c>
      <c r="K93" t="s">
        <v>1635</v>
      </c>
      <c r="L93">
        <v>3116</v>
      </c>
      <c r="M93" t="s">
        <v>1635</v>
      </c>
      <c r="N93">
        <v>0</v>
      </c>
    </row>
    <row r="94" spans="1:14">
      <c r="A94" s="6" t="s">
        <v>14</v>
      </c>
      <c r="B94" t="s">
        <v>15</v>
      </c>
      <c r="C94" t="s">
        <v>773</v>
      </c>
      <c r="D94" t="s">
        <v>1655</v>
      </c>
      <c r="E94" s="8">
        <v>46052</v>
      </c>
      <c r="F94">
        <v>7</v>
      </c>
      <c r="G94">
        <v>1290</v>
      </c>
      <c r="H94">
        <v>22711</v>
      </c>
      <c r="I94">
        <v>9030</v>
      </c>
      <c r="J94">
        <v>13681</v>
      </c>
      <c r="K94" t="s">
        <v>1635</v>
      </c>
      <c r="L94">
        <v>1290</v>
      </c>
      <c r="M94" t="s">
        <v>1635</v>
      </c>
      <c r="N94">
        <v>0</v>
      </c>
    </row>
    <row r="95" spans="1:14">
      <c r="A95" s="6" t="s">
        <v>14</v>
      </c>
      <c r="B95" t="s">
        <v>15</v>
      </c>
      <c r="C95" t="s">
        <v>778</v>
      </c>
      <c r="D95" t="s">
        <v>779</v>
      </c>
      <c r="E95" s="8">
        <v>46045</v>
      </c>
      <c r="F95">
        <v>7</v>
      </c>
      <c r="G95">
        <v>1014</v>
      </c>
      <c r="H95">
        <v>17949</v>
      </c>
      <c r="I95">
        <v>7098</v>
      </c>
      <c r="J95">
        <v>10851</v>
      </c>
      <c r="K95" t="s">
        <v>1635</v>
      </c>
      <c r="L95">
        <v>1014</v>
      </c>
      <c r="M95" t="s">
        <v>1635</v>
      </c>
      <c r="N95">
        <v>0</v>
      </c>
    </row>
    <row r="96" spans="1:14">
      <c r="A96" s="6" t="s">
        <v>14</v>
      </c>
      <c r="B96" t="s">
        <v>15</v>
      </c>
      <c r="C96" t="s">
        <v>40</v>
      </c>
      <c r="D96" t="s">
        <v>41</v>
      </c>
      <c r="E96" s="8">
        <v>46045</v>
      </c>
      <c r="F96">
        <v>8</v>
      </c>
      <c r="G96">
        <v>1840</v>
      </c>
      <c r="H96">
        <v>55000</v>
      </c>
      <c r="I96">
        <v>14720</v>
      </c>
      <c r="J96">
        <v>40280</v>
      </c>
      <c r="K96" t="s">
        <v>1635</v>
      </c>
      <c r="L96">
        <v>1840</v>
      </c>
      <c r="M96" t="s">
        <v>1635</v>
      </c>
      <c r="N96">
        <v>0</v>
      </c>
    </row>
    <row r="97" spans="1:14">
      <c r="A97" s="6" t="s">
        <v>14</v>
      </c>
      <c r="B97" t="s">
        <v>15</v>
      </c>
      <c r="C97" t="s">
        <v>44</v>
      </c>
      <c r="D97" t="s">
        <v>45</v>
      </c>
      <c r="E97" s="8">
        <v>46052</v>
      </c>
      <c r="F97">
        <v>8</v>
      </c>
      <c r="G97">
        <v>1456</v>
      </c>
      <c r="H97">
        <v>43600</v>
      </c>
      <c r="I97">
        <v>11648</v>
      </c>
      <c r="J97">
        <v>31952</v>
      </c>
      <c r="K97" t="s">
        <v>1635</v>
      </c>
      <c r="L97">
        <v>1456</v>
      </c>
      <c r="M97" t="s">
        <v>1635</v>
      </c>
      <c r="N97">
        <v>0</v>
      </c>
    </row>
    <row r="98" spans="1:14">
      <c r="A98" s="6" t="s">
        <v>14</v>
      </c>
      <c r="B98" t="s">
        <v>15</v>
      </c>
      <c r="C98" t="s">
        <v>57</v>
      </c>
      <c r="D98" t="s">
        <v>58</v>
      </c>
      <c r="E98" s="8">
        <v>46045</v>
      </c>
      <c r="F98">
        <v>8</v>
      </c>
      <c r="G98">
        <v>5400</v>
      </c>
      <c r="H98">
        <v>160000</v>
      </c>
      <c r="I98">
        <v>43200</v>
      </c>
      <c r="J98">
        <v>116800</v>
      </c>
      <c r="K98" t="s">
        <v>1635</v>
      </c>
      <c r="L98">
        <v>5400</v>
      </c>
      <c r="M98" t="s">
        <v>1635</v>
      </c>
      <c r="N98">
        <v>0</v>
      </c>
    </row>
    <row r="99" spans="1:14">
      <c r="A99" s="6" t="s">
        <v>14</v>
      </c>
      <c r="B99" t="s">
        <v>15</v>
      </c>
      <c r="C99" t="s">
        <v>65</v>
      </c>
      <c r="D99" t="s">
        <v>66</v>
      </c>
      <c r="E99" s="8">
        <v>46045</v>
      </c>
      <c r="F99">
        <v>8</v>
      </c>
      <c r="G99">
        <v>3800</v>
      </c>
      <c r="H99">
        <v>106200</v>
      </c>
      <c r="I99">
        <v>26600</v>
      </c>
      <c r="J99">
        <v>79600</v>
      </c>
      <c r="K99" t="s">
        <v>1635</v>
      </c>
      <c r="L99">
        <v>3800</v>
      </c>
      <c r="M99" t="s">
        <v>1635</v>
      </c>
      <c r="N99">
        <v>0</v>
      </c>
    </row>
    <row r="100" spans="1:14">
      <c r="A100" s="6" t="s">
        <v>14</v>
      </c>
      <c r="B100" t="s">
        <v>15</v>
      </c>
      <c r="C100" t="s">
        <v>79</v>
      </c>
      <c r="D100" t="s">
        <v>80</v>
      </c>
      <c r="E100" s="8">
        <v>46045</v>
      </c>
      <c r="F100">
        <v>8</v>
      </c>
      <c r="G100">
        <v>4134</v>
      </c>
      <c r="H100">
        <v>78000</v>
      </c>
      <c r="I100">
        <v>31828</v>
      </c>
      <c r="J100">
        <v>46172</v>
      </c>
      <c r="K100" t="s">
        <v>1635</v>
      </c>
      <c r="L100">
        <v>4134</v>
      </c>
      <c r="M100" t="s">
        <v>1635</v>
      </c>
      <c r="N100">
        <v>0</v>
      </c>
    </row>
    <row r="101" spans="1:14">
      <c r="A101" s="6" t="s">
        <v>14</v>
      </c>
      <c r="B101" t="s">
        <v>15</v>
      </c>
      <c r="C101" t="s">
        <v>85</v>
      </c>
      <c r="D101" t="s">
        <v>86</v>
      </c>
      <c r="E101" s="8">
        <v>46045</v>
      </c>
      <c r="F101">
        <v>8</v>
      </c>
      <c r="G101">
        <v>2970</v>
      </c>
      <c r="H101">
        <v>88849</v>
      </c>
      <c r="I101">
        <v>23760</v>
      </c>
      <c r="J101">
        <v>65089</v>
      </c>
      <c r="K101" t="s">
        <v>1635</v>
      </c>
      <c r="L101">
        <v>2970</v>
      </c>
      <c r="M101" t="s">
        <v>1635</v>
      </c>
      <c r="N101">
        <v>0</v>
      </c>
    </row>
    <row r="102" spans="1:14">
      <c r="A102" s="6" t="s">
        <v>14</v>
      </c>
      <c r="B102" t="s">
        <v>15</v>
      </c>
      <c r="C102" t="s">
        <v>91</v>
      </c>
      <c r="D102" t="s">
        <v>92</v>
      </c>
      <c r="E102" s="8">
        <v>46045</v>
      </c>
      <c r="F102">
        <v>8</v>
      </c>
      <c r="G102">
        <v>2475</v>
      </c>
      <c r="H102">
        <v>73000</v>
      </c>
      <c r="I102">
        <v>19800</v>
      </c>
      <c r="J102">
        <v>53200</v>
      </c>
      <c r="K102" t="s">
        <v>1635</v>
      </c>
      <c r="L102">
        <v>2475</v>
      </c>
      <c r="M102" t="s">
        <v>1635</v>
      </c>
      <c r="N102">
        <v>0</v>
      </c>
    </row>
    <row r="103" spans="1:14">
      <c r="A103" s="6" t="s">
        <v>14</v>
      </c>
      <c r="B103" t="s">
        <v>15</v>
      </c>
      <c r="C103" t="s">
        <v>93</v>
      </c>
      <c r="D103" t="s">
        <v>94</v>
      </c>
      <c r="E103" s="8">
        <v>46045</v>
      </c>
      <c r="F103">
        <v>8</v>
      </c>
      <c r="G103">
        <v>2700</v>
      </c>
      <c r="H103">
        <v>80000</v>
      </c>
      <c r="I103">
        <v>21600</v>
      </c>
      <c r="J103">
        <v>58400</v>
      </c>
      <c r="K103" t="s">
        <v>1635</v>
      </c>
      <c r="L103">
        <v>2700</v>
      </c>
      <c r="M103" t="s">
        <v>1635</v>
      </c>
      <c r="N103">
        <v>0</v>
      </c>
    </row>
    <row r="104" spans="1:14">
      <c r="A104" s="6" t="s">
        <v>14</v>
      </c>
      <c r="B104" t="s">
        <v>15</v>
      </c>
      <c r="C104" t="s">
        <v>95</v>
      </c>
      <c r="D104" t="s">
        <v>1643</v>
      </c>
      <c r="E104" s="8">
        <v>46052</v>
      </c>
      <c r="F104">
        <v>8</v>
      </c>
      <c r="G104">
        <v>2700</v>
      </c>
      <c r="H104">
        <v>80000</v>
      </c>
      <c r="I104">
        <v>21600</v>
      </c>
      <c r="J104">
        <v>58400</v>
      </c>
      <c r="K104" t="s">
        <v>1635</v>
      </c>
      <c r="L104">
        <v>2700</v>
      </c>
      <c r="M104" t="s">
        <v>1635</v>
      </c>
      <c r="N104">
        <v>0</v>
      </c>
    </row>
    <row r="105" spans="1:14">
      <c r="A105" s="6" t="s">
        <v>14</v>
      </c>
      <c r="B105" t="s">
        <v>15</v>
      </c>
      <c r="C105" t="s">
        <v>98</v>
      </c>
      <c r="D105" t="s">
        <v>99</v>
      </c>
      <c r="E105" s="8">
        <v>46052</v>
      </c>
      <c r="F105">
        <v>8</v>
      </c>
      <c r="G105">
        <v>4977</v>
      </c>
      <c r="H105">
        <v>95275</v>
      </c>
      <c r="I105">
        <v>38901</v>
      </c>
      <c r="J105">
        <v>56374</v>
      </c>
      <c r="K105" t="s">
        <v>1635</v>
      </c>
      <c r="L105">
        <v>4977</v>
      </c>
      <c r="M105" t="s">
        <v>1635</v>
      </c>
      <c r="N105">
        <v>0</v>
      </c>
    </row>
    <row r="106" spans="1:14">
      <c r="A106" s="6" t="s">
        <v>14</v>
      </c>
      <c r="B106" t="s">
        <v>15</v>
      </c>
      <c r="C106" t="s">
        <v>100</v>
      </c>
      <c r="D106" t="s">
        <v>101</v>
      </c>
      <c r="E106" s="8">
        <v>46045</v>
      </c>
      <c r="F106">
        <v>8</v>
      </c>
      <c r="G106">
        <v>3116</v>
      </c>
      <c r="H106">
        <v>92555</v>
      </c>
      <c r="I106">
        <v>24648.67</v>
      </c>
      <c r="J106">
        <v>67906.33</v>
      </c>
      <c r="K106" t="s">
        <v>1635</v>
      </c>
      <c r="L106">
        <v>3116</v>
      </c>
      <c r="M106" t="s">
        <v>1635</v>
      </c>
      <c r="N106">
        <v>0</v>
      </c>
    </row>
    <row r="107" spans="1:14">
      <c r="A107" s="6" t="s">
        <v>14</v>
      </c>
      <c r="B107" t="s">
        <v>15</v>
      </c>
      <c r="C107" t="s">
        <v>110</v>
      </c>
      <c r="D107" t="s">
        <v>1644</v>
      </c>
      <c r="E107" s="8">
        <v>46052</v>
      </c>
      <c r="F107">
        <v>8</v>
      </c>
      <c r="G107">
        <v>3901</v>
      </c>
      <c r="H107">
        <v>73000</v>
      </c>
      <c r="I107">
        <v>30527</v>
      </c>
      <c r="J107">
        <v>42473</v>
      </c>
      <c r="K107" t="s">
        <v>1635</v>
      </c>
      <c r="L107">
        <v>3901</v>
      </c>
      <c r="M107" t="s">
        <v>1635</v>
      </c>
      <c r="N107">
        <v>0</v>
      </c>
    </row>
    <row r="108" spans="1:14">
      <c r="A108" s="6" t="s">
        <v>14</v>
      </c>
      <c r="B108" t="s">
        <v>15</v>
      </c>
      <c r="C108" t="s">
        <v>113</v>
      </c>
      <c r="D108" t="s">
        <v>114</v>
      </c>
      <c r="E108" s="8">
        <v>46045</v>
      </c>
      <c r="F108">
        <v>8</v>
      </c>
      <c r="G108">
        <v>5280</v>
      </c>
      <c r="H108">
        <v>160091</v>
      </c>
      <c r="I108">
        <v>41760</v>
      </c>
      <c r="J108">
        <v>118331</v>
      </c>
      <c r="K108" t="s">
        <v>1635</v>
      </c>
      <c r="L108">
        <v>5280</v>
      </c>
      <c r="M108" t="s">
        <v>1635</v>
      </c>
      <c r="N108">
        <v>0</v>
      </c>
    </row>
    <row r="109" spans="1:14">
      <c r="A109" s="6" t="s">
        <v>14</v>
      </c>
      <c r="B109" t="s">
        <v>15</v>
      </c>
      <c r="C109" t="s">
        <v>119</v>
      </c>
      <c r="D109" t="s">
        <v>120</v>
      </c>
      <c r="E109" s="8">
        <v>46045</v>
      </c>
      <c r="F109">
        <v>8</v>
      </c>
      <c r="G109">
        <v>3280</v>
      </c>
      <c r="H109">
        <v>95000</v>
      </c>
      <c r="I109">
        <v>26240</v>
      </c>
      <c r="J109">
        <v>68760</v>
      </c>
      <c r="K109" t="s">
        <v>1635</v>
      </c>
      <c r="L109">
        <v>3280</v>
      </c>
      <c r="M109" t="s">
        <v>1635</v>
      </c>
      <c r="N109">
        <v>0</v>
      </c>
    </row>
    <row r="110" spans="1:14">
      <c r="A110" s="6" t="s">
        <v>14</v>
      </c>
      <c r="B110" t="s">
        <v>15</v>
      </c>
      <c r="C110" t="s">
        <v>121</v>
      </c>
      <c r="D110" t="s">
        <v>122</v>
      </c>
      <c r="E110" s="8">
        <v>46045</v>
      </c>
      <c r="F110">
        <v>8</v>
      </c>
      <c r="G110">
        <v>3995</v>
      </c>
      <c r="H110">
        <v>73818</v>
      </c>
      <c r="I110">
        <v>31081.67</v>
      </c>
      <c r="J110">
        <v>42736.33</v>
      </c>
      <c r="K110" t="s">
        <v>1635</v>
      </c>
      <c r="L110">
        <v>3995</v>
      </c>
      <c r="M110" t="s">
        <v>1635</v>
      </c>
      <c r="N110">
        <v>0</v>
      </c>
    </row>
    <row r="111" spans="1:14">
      <c r="A111" s="6" t="s">
        <v>14</v>
      </c>
      <c r="B111" t="s">
        <v>15</v>
      </c>
      <c r="C111" t="s">
        <v>135</v>
      </c>
      <c r="D111" t="s">
        <v>136</v>
      </c>
      <c r="E111" s="8">
        <v>46045</v>
      </c>
      <c r="F111">
        <v>8</v>
      </c>
      <c r="G111">
        <v>5244</v>
      </c>
      <c r="H111">
        <v>98888</v>
      </c>
      <c r="I111">
        <v>39394.67</v>
      </c>
      <c r="J111">
        <v>59493.33</v>
      </c>
      <c r="K111" t="s">
        <v>1635</v>
      </c>
      <c r="L111">
        <v>5244</v>
      </c>
      <c r="M111" t="s">
        <v>1635</v>
      </c>
      <c r="N111">
        <v>0</v>
      </c>
    </row>
    <row r="112" spans="1:14">
      <c r="A112" s="6" t="s">
        <v>14</v>
      </c>
      <c r="B112" t="s">
        <v>15</v>
      </c>
      <c r="C112" t="s">
        <v>147</v>
      </c>
      <c r="D112" t="s">
        <v>148</v>
      </c>
      <c r="E112" s="8">
        <v>46045</v>
      </c>
      <c r="F112">
        <v>8</v>
      </c>
      <c r="G112">
        <v>2752</v>
      </c>
      <c r="H112">
        <v>81225</v>
      </c>
      <c r="I112">
        <v>21874</v>
      </c>
      <c r="J112">
        <v>59351</v>
      </c>
      <c r="K112" t="s">
        <v>1635</v>
      </c>
      <c r="L112">
        <v>2752</v>
      </c>
      <c r="M112" t="s">
        <v>1635</v>
      </c>
      <c r="N112">
        <v>0</v>
      </c>
    </row>
    <row r="113" spans="1:14">
      <c r="A113" s="6" t="s">
        <v>14</v>
      </c>
      <c r="B113" t="s">
        <v>15</v>
      </c>
      <c r="C113" t="s">
        <v>161</v>
      </c>
      <c r="D113" t="s">
        <v>162</v>
      </c>
      <c r="E113" s="8">
        <v>46045</v>
      </c>
      <c r="F113">
        <v>8</v>
      </c>
      <c r="G113">
        <v>2862</v>
      </c>
      <c r="H113">
        <v>86000</v>
      </c>
      <c r="I113">
        <v>22154</v>
      </c>
      <c r="J113">
        <v>63846</v>
      </c>
      <c r="K113" t="s">
        <v>1635</v>
      </c>
      <c r="L113">
        <v>2862</v>
      </c>
      <c r="M113" t="s">
        <v>1635</v>
      </c>
      <c r="N113">
        <v>0</v>
      </c>
    </row>
    <row r="114" spans="1:14">
      <c r="A114" s="6" t="s">
        <v>14</v>
      </c>
      <c r="B114" t="s">
        <v>15</v>
      </c>
      <c r="C114" t="s">
        <v>308</v>
      </c>
      <c r="D114" t="s">
        <v>309</v>
      </c>
      <c r="E114" s="8">
        <v>46052</v>
      </c>
      <c r="F114">
        <v>8</v>
      </c>
      <c r="G114">
        <v>2808</v>
      </c>
      <c r="H114">
        <v>88414</v>
      </c>
      <c r="I114">
        <v>21736</v>
      </c>
      <c r="J114">
        <v>66678</v>
      </c>
      <c r="K114" t="s">
        <v>1635</v>
      </c>
      <c r="L114">
        <v>2808</v>
      </c>
      <c r="M114" t="s">
        <v>1635</v>
      </c>
      <c r="N114">
        <v>0</v>
      </c>
    </row>
    <row r="115" spans="1:14">
      <c r="A115" s="6" t="s">
        <v>14</v>
      </c>
      <c r="B115" t="s">
        <v>15</v>
      </c>
      <c r="C115" t="s">
        <v>332</v>
      </c>
      <c r="D115" t="s">
        <v>333</v>
      </c>
      <c r="E115" s="8">
        <v>46052</v>
      </c>
      <c r="F115">
        <v>8</v>
      </c>
      <c r="G115">
        <v>3840</v>
      </c>
      <c r="H115">
        <v>130500</v>
      </c>
      <c r="I115">
        <v>28390</v>
      </c>
      <c r="J115">
        <v>102110</v>
      </c>
      <c r="K115" t="s">
        <v>1635</v>
      </c>
      <c r="L115">
        <v>3840</v>
      </c>
      <c r="M115" t="s">
        <v>1635</v>
      </c>
      <c r="N115">
        <v>0</v>
      </c>
    </row>
    <row r="116" spans="1:14">
      <c r="A116" s="6" t="s">
        <v>14</v>
      </c>
      <c r="B116" t="s">
        <v>15</v>
      </c>
      <c r="C116" t="s">
        <v>352</v>
      </c>
      <c r="D116" t="s">
        <v>353</v>
      </c>
      <c r="E116" s="8">
        <v>46045</v>
      </c>
      <c r="F116">
        <v>8</v>
      </c>
      <c r="G116">
        <v>3250</v>
      </c>
      <c r="H116">
        <v>97686</v>
      </c>
      <c r="I116">
        <v>24750</v>
      </c>
      <c r="J116">
        <v>72936</v>
      </c>
      <c r="K116" t="s">
        <v>1635</v>
      </c>
      <c r="L116">
        <v>3250</v>
      </c>
      <c r="M116" t="s">
        <v>1635</v>
      </c>
      <c r="N116">
        <v>0</v>
      </c>
    </row>
    <row r="117" spans="1:14">
      <c r="A117" s="6" t="s">
        <v>14</v>
      </c>
      <c r="B117" t="s">
        <v>15</v>
      </c>
      <c r="C117" t="s">
        <v>358</v>
      </c>
      <c r="D117" t="s">
        <v>359</v>
      </c>
      <c r="E117" s="8">
        <v>46045</v>
      </c>
      <c r="F117">
        <v>8</v>
      </c>
      <c r="G117">
        <v>3360</v>
      </c>
      <c r="H117">
        <v>121800</v>
      </c>
      <c r="I117">
        <v>25120</v>
      </c>
      <c r="J117">
        <v>96680</v>
      </c>
      <c r="K117" t="s">
        <v>1635</v>
      </c>
      <c r="L117">
        <v>3360</v>
      </c>
      <c r="M117" t="s">
        <v>1635</v>
      </c>
      <c r="N117">
        <v>0</v>
      </c>
    </row>
    <row r="118" spans="1:14">
      <c r="A118" s="6" t="s">
        <v>14</v>
      </c>
      <c r="B118" t="s">
        <v>15</v>
      </c>
      <c r="C118" t="s">
        <v>366</v>
      </c>
      <c r="D118" t="s">
        <v>367</v>
      </c>
      <c r="E118" s="8">
        <v>46045</v>
      </c>
      <c r="F118">
        <v>8</v>
      </c>
      <c r="G118">
        <v>3016</v>
      </c>
      <c r="H118">
        <v>104008</v>
      </c>
      <c r="I118">
        <v>23292</v>
      </c>
      <c r="J118">
        <v>80716</v>
      </c>
      <c r="K118" t="s">
        <v>1635</v>
      </c>
      <c r="L118">
        <v>3016</v>
      </c>
      <c r="M118" t="s">
        <v>1635</v>
      </c>
      <c r="N118">
        <v>0</v>
      </c>
    </row>
    <row r="119" spans="1:14">
      <c r="A119" s="6" t="s">
        <v>14</v>
      </c>
      <c r="B119" t="s">
        <v>15</v>
      </c>
      <c r="C119" t="s">
        <v>372</v>
      </c>
      <c r="D119" t="s">
        <v>1646</v>
      </c>
      <c r="E119" s="8">
        <v>46052</v>
      </c>
      <c r="F119">
        <v>8</v>
      </c>
      <c r="G119">
        <v>4015</v>
      </c>
      <c r="H119">
        <v>121169</v>
      </c>
      <c r="I119">
        <v>30305</v>
      </c>
      <c r="J119">
        <v>90864</v>
      </c>
      <c r="K119" t="s">
        <v>1635</v>
      </c>
      <c r="L119">
        <v>4015</v>
      </c>
      <c r="M119" t="s">
        <v>1635</v>
      </c>
      <c r="N119">
        <v>0</v>
      </c>
    </row>
    <row r="120" spans="1:14">
      <c r="A120" s="6" t="s">
        <v>14</v>
      </c>
      <c r="B120" t="s">
        <v>15</v>
      </c>
      <c r="C120" t="s">
        <v>375</v>
      </c>
      <c r="D120" t="s">
        <v>376</v>
      </c>
      <c r="E120" s="8">
        <v>46045</v>
      </c>
      <c r="F120">
        <v>8</v>
      </c>
      <c r="G120">
        <v>2652</v>
      </c>
      <c r="H120">
        <v>77033</v>
      </c>
      <c r="I120">
        <v>21216</v>
      </c>
      <c r="J120">
        <v>55817</v>
      </c>
      <c r="K120" t="s">
        <v>1635</v>
      </c>
      <c r="L120">
        <v>2652</v>
      </c>
      <c r="M120" t="s">
        <v>1635</v>
      </c>
      <c r="N120">
        <v>0</v>
      </c>
    </row>
    <row r="121" spans="1:14">
      <c r="A121" s="6" t="s">
        <v>14</v>
      </c>
      <c r="B121" t="s">
        <v>15</v>
      </c>
      <c r="C121" t="s">
        <v>377</v>
      </c>
      <c r="D121" t="s">
        <v>378</v>
      </c>
      <c r="E121" s="8">
        <v>46045</v>
      </c>
      <c r="F121">
        <v>8</v>
      </c>
      <c r="G121">
        <v>2200</v>
      </c>
      <c r="H121">
        <v>66000</v>
      </c>
      <c r="I121">
        <v>17000</v>
      </c>
      <c r="J121">
        <v>49000</v>
      </c>
      <c r="K121" t="s">
        <v>1635</v>
      </c>
      <c r="L121">
        <v>2200</v>
      </c>
      <c r="M121" t="s">
        <v>1635</v>
      </c>
      <c r="N121">
        <v>0</v>
      </c>
    </row>
    <row r="122" spans="1:14">
      <c r="A122" s="6" t="s">
        <v>14</v>
      </c>
      <c r="B122" t="s">
        <v>15</v>
      </c>
      <c r="C122" t="s">
        <v>391</v>
      </c>
      <c r="D122" t="s">
        <v>392</v>
      </c>
      <c r="E122" s="8">
        <v>46045</v>
      </c>
      <c r="F122">
        <v>8</v>
      </c>
      <c r="G122">
        <v>4242.12</v>
      </c>
      <c r="H122">
        <v>124469</v>
      </c>
      <c r="I122" s="6">
        <v>32707.4399999999</v>
      </c>
      <c r="J122">
        <v>91761.56</v>
      </c>
      <c r="K122" t="s">
        <v>1635</v>
      </c>
      <c r="L122">
        <v>4242.12</v>
      </c>
      <c r="M122" t="s">
        <v>1635</v>
      </c>
      <c r="N122">
        <v>0</v>
      </c>
    </row>
    <row r="123" spans="1:14">
      <c r="A123" s="6" t="s">
        <v>14</v>
      </c>
      <c r="B123" t="s">
        <v>15</v>
      </c>
      <c r="C123" t="s">
        <v>397</v>
      </c>
      <c r="D123" t="s">
        <v>398</v>
      </c>
      <c r="E123" s="8">
        <v>46052</v>
      </c>
      <c r="F123">
        <v>8</v>
      </c>
      <c r="G123">
        <v>2800</v>
      </c>
      <c r="H123">
        <v>84713</v>
      </c>
      <c r="I123">
        <v>21200</v>
      </c>
      <c r="J123">
        <v>63513</v>
      </c>
      <c r="K123" t="s">
        <v>1635</v>
      </c>
      <c r="L123">
        <v>2800</v>
      </c>
      <c r="M123" t="s">
        <v>1635</v>
      </c>
      <c r="N123">
        <v>0</v>
      </c>
    </row>
    <row r="124" spans="1:14">
      <c r="A124" s="6" t="s">
        <v>14</v>
      </c>
      <c r="B124" t="s">
        <v>15</v>
      </c>
      <c r="C124" t="s">
        <v>399</v>
      </c>
      <c r="D124" t="s">
        <v>400</v>
      </c>
      <c r="E124" s="8">
        <v>46052</v>
      </c>
      <c r="F124">
        <v>8</v>
      </c>
      <c r="G124">
        <v>3080</v>
      </c>
      <c r="H124">
        <v>91000</v>
      </c>
      <c r="I124">
        <v>24640</v>
      </c>
      <c r="J124">
        <v>66360</v>
      </c>
      <c r="K124" t="s">
        <v>1635</v>
      </c>
      <c r="L124">
        <v>3080</v>
      </c>
      <c r="M124" t="s">
        <v>1635</v>
      </c>
      <c r="N124">
        <v>0</v>
      </c>
    </row>
    <row r="125" spans="1:14">
      <c r="A125" s="6" t="s">
        <v>14</v>
      </c>
      <c r="B125" t="s">
        <v>15</v>
      </c>
      <c r="C125" t="s">
        <v>409</v>
      </c>
      <c r="D125" t="s">
        <v>410</v>
      </c>
      <c r="E125" s="8">
        <v>46045</v>
      </c>
      <c r="F125">
        <v>8</v>
      </c>
      <c r="G125">
        <v>2898</v>
      </c>
      <c r="H125">
        <v>88101</v>
      </c>
      <c r="I125">
        <v>20286</v>
      </c>
      <c r="J125">
        <v>67815</v>
      </c>
      <c r="K125" t="s">
        <v>1635</v>
      </c>
      <c r="L125">
        <v>2898</v>
      </c>
      <c r="M125" t="s">
        <v>1635</v>
      </c>
      <c r="N125">
        <v>0</v>
      </c>
    </row>
    <row r="126" spans="1:14">
      <c r="A126" s="6" t="s">
        <v>14</v>
      </c>
      <c r="B126" t="s">
        <v>15</v>
      </c>
      <c r="C126" t="s">
        <v>419</v>
      </c>
      <c r="D126" t="s">
        <v>420</v>
      </c>
      <c r="E126" s="8">
        <v>46045</v>
      </c>
      <c r="F126">
        <v>8</v>
      </c>
      <c r="G126">
        <v>476</v>
      </c>
      <c r="H126">
        <v>8410</v>
      </c>
      <c r="I126">
        <v>3808</v>
      </c>
      <c r="J126">
        <v>4602</v>
      </c>
      <c r="K126" t="s">
        <v>1635</v>
      </c>
      <c r="L126">
        <v>476</v>
      </c>
      <c r="M126" t="s">
        <v>1635</v>
      </c>
      <c r="N126">
        <v>0</v>
      </c>
    </row>
    <row r="127" spans="1:14">
      <c r="A127" s="6" t="s">
        <v>14</v>
      </c>
      <c r="B127" t="s">
        <v>15</v>
      </c>
      <c r="C127" t="s">
        <v>423</v>
      </c>
      <c r="D127" t="s">
        <v>424</v>
      </c>
      <c r="E127" s="8">
        <v>46045</v>
      </c>
      <c r="F127">
        <v>8</v>
      </c>
      <c r="G127">
        <v>2160</v>
      </c>
      <c r="H127">
        <v>75570</v>
      </c>
      <c r="I127">
        <v>17115</v>
      </c>
      <c r="J127">
        <v>58455</v>
      </c>
      <c r="K127" t="s">
        <v>1635</v>
      </c>
      <c r="L127">
        <v>2160</v>
      </c>
      <c r="M127" t="s">
        <v>1635</v>
      </c>
      <c r="N127">
        <v>0</v>
      </c>
    </row>
    <row r="128" spans="1:14">
      <c r="A128" s="6" t="s">
        <v>14</v>
      </c>
      <c r="B128" t="s">
        <v>15</v>
      </c>
      <c r="C128" t="s">
        <v>437</v>
      </c>
      <c r="D128" t="s">
        <v>438</v>
      </c>
      <c r="E128" s="8">
        <v>46052</v>
      </c>
      <c r="F128">
        <v>8</v>
      </c>
      <c r="G128">
        <v>3525</v>
      </c>
      <c r="H128">
        <v>105878</v>
      </c>
      <c r="I128">
        <v>27675</v>
      </c>
      <c r="J128">
        <v>78203</v>
      </c>
      <c r="K128" t="s">
        <v>1635</v>
      </c>
      <c r="L128">
        <v>3525</v>
      </c>
      <c r="M128" t="s">
        <v>1635</v>
      </c>
      <c r="N128">
        <v>0</v>
      </c>
    </row>
    <row r="129" spans="1:14">
      <c r="A129" s="6" t="s">
        <v>14</v>
      </c>
      <c r="B129" t="s">
        <v>15</v>
      </c>
      <c r="C129" t="s">
        <v>439</v>
      </c>
      <c r="D129" t="s">
        <v>440</v>
      </c>
      <c r="E129" s="8">
        <v>46045</v>
      </c>
      <c r="F129">
        <v>8</v>
      </c>
      <c r="G129">
        <v>1083</v>
      </c>
      <c r="H129">
        <v>20000</v>
      </c>
      <c r="I129">
        <v>8664</v>
      </c>
      <c r="J129">
        <v>11336</v>
      </c>
      <c r="K129" t="s">
        <v>1635</v>
      </c>
      <c r="L129">
        <v>1083</v>
      </c>
      <c r="M129" t="s">
        <v>1635</v>
      </c>
      <c r="N129">
        <v>0</v>
      </c>
    </row>
    <row r="130" spans="1:14">
      <c r="A130" s="6" t="s">
        <v>14</v>
      </c>
      <c r="B130" t="s">
        <v>15</v>
      </c>
      <c r="C130" t="s">
        <v>445</v>
      </c>
      <c r="D130" t="s">
        <v>446</v>
      </c>
      <c r="E130" s="8">
        <v>46045</v>
      </c>
      <c r="F130">
        <v>8</v>
      </c>
      <c r="G130">
        <v>2520</v>
      </c>
      <c r="H130">
        <v>76666</v>
      </c>
      <c r="I130">
        <v>19320</v>
      </c>
      <c r="J130">
        <v>57346</v>
      </c>
      <c r="K130" t="s">
        <v>1635</v>
      </c>
      <c r="L130">
        <v>2520</v>
      </c>
      <c r="M130" t="s">
        <v>1635</v>
      </c>
      <c r="N130">
        <v>0</v>
      </c>
    </row>
    <row r="131" spans="1:14">
      <c r="A131" s="6" t="s">
        <v>14</v>
      </c>
      <c r="B131" t="s">
        <v>15</v>
      </c>
      <c r="C131" t="s">
        <v>447</v>
      </c>
      <c r="D131" t="s">
        <v>448</v>
      </c>
      <c r="E131" s="8">
        <v>46045</v>
      </c>
      <c r="F131">
        <v>8</v>
      </c>
      <c r="G131">
        <v>2385</v>
      </c>
      <c r="H131">
        <v>71000</v>
      </c>
      <c r="I131">
        <v>18865</v>
      </c>
      <c r="J131">
        <v>52135</v>
      </c>
      <c r="K131" t="s">
        <v>1635</v>
      </c>
      <c r="L131">
        <v>2385</v>
      </c>
      <c r="M131" t="s">
        <v>1635</v>
      </c>
      <c r="N131">
        <v>0</v>
      </c>
    </row>
    <row r="132" spans="1:14">
      <c r="A132" s="6" t="s">
        <v>14</v>
      </c>
      <c r="B132" t="s">
        <v>15</v>
      </c>
      <c r="C132" t="s">
        <v>451</v>
      </c>
      <c r="D132" t="s">
        <v>452</v>
      </c>
      <c r="E132" s="8">
        <v>46052</v>
      </c>
      <c r="F132">
        <v>8</v>
      </c>
      <c r="G132">
        <v>2960</v>
      </c>
      <c r="H132">
        <v>106836</v>
      </c>
      <c r="I132">
        <v>20680</v>
      </c>
      <c r="J132">
        <v>86156</v>
      </c>
      <c r="K132" t="s">
        <v>1635</v>
      </c>
      <c r="L132">
        <v>2960</v>
      </c>
      <c r="M132" t="s">
        <v>1635</v>
      </c>
      <c r="N132">
        <v>0</v>
      </c>
    </row>
    <row r="133" spans="1:14">
      <c r="A133" s="6" t="s">
        <v>14</v>
      </c>
      <c r="B133" t="s">
        <v>15</v>
      </c>
      <c r="C133" t="s">
        <v>461</v>
      </c>
      <c r="D133" t="s">
        <v>462</v>
      </c>
      <c r="E133" s="8">
        <v>46052</v>
      </c>
      <c r="F133">
        <v>8</v>
      </c>
      <c r="G133">
        <v>2700</v>
      </c>
      <c r="H133">
        <v>78259</v>
      </c>
      <c r="I133">
        <v>21160</v>
      </c>
      <c r="J133">
        <v>57099</v>
      </c>
      <c r="K133" t="s">
        <v>1635</v>
      </c>
      <c r="L133">
        <v>2700</v>
      </c>
      <c r="M133" t="s">
        <v>1635</v>
      </c>
      <c r="N133">
        <v>0</v>
      </c>
    </row>
    <row r="134" spans="1:14">
      <c r="A134" s="6" t="s">
        <v>14</v>
      </c>
      <c r="B134" t="s">
        <v>15</v>
      </c>
      <c r="C134" t="s">
        <v>463</v>
      </c>
      <c r="D134" t="s">
        <v>464</v>
      </c>
      <c r="E134" s="8">
        <v>46045</v>
      </c>
      <c r="F134">
        <v>8</v>
      </c>
      <c r="G134">
        <v>3692</v>
      </c>
      <c r="H134">
        <v>112197</v>
      </c>
      <c r="I134">
        <v>27924</v>
      </c>
      <c r="J134">
        <v>84273</v>
      </c>
      <c r="K134" t="s">
        <v>1635</v>
      </c>
      <c r="L134">
        <v>3692</v>
      </c>
      <c r="M134" t="s">
        <v>1635</v>
      </c>
      <c r="N134">
        <v>0</v>
      </c>
    </row>
    <row r="135" spans="1:14">
      <c r="A135" s="6" t="s">
        <v>14</v>
      </c>
      <c r="B135" t="s">
        <v>15</v>
      </c>
      <c r="C135" t="s">
        <v>471</v>
      </c>
      <c r="D135" t="s">
        <v>472</v>
      </c>
      <c r="E135" s="8">
        <v>46052</v>
      </c>
      <c r="F135">
        <v>8</v>
      </c>
      <c r="G135">
        <v>3870</v>
      </c>
      <c r="H135">
        <v>118000</v>
      </c>
      <c r="I135">
        <v>28890</v>
      </c>
      <c r="J135">
        <v>89110</v>
      </c>
      <c r="K135" t="s">
        <v>1635</v>
      </c>
      <c r="L135">
        <v>3870</v>
      </c>
      <c r="M135" t="s">
        <v>1635</v>
      </c>
      <c r="N135">
        <v>0</v>
      </c>
    </row>
    <row r="136" spans="1:14">
      <c r="A136" s="6" t="s">
        <v>14</v>
      </c>
      <c r="B136" t="s">
        <v>15</v>
      </c>
      <c r="C136" t="s">
        <v>473</v>
      </c>
      <c r="D136" t="s">
        <v>474</v>
      </c>
      <c r="E136" s="8">
        <v>46045</v>
      </c>
      <c r="F136">
        <v>8</v>
      </c>
      <c r="G136">
        <v>1311</v>
      </c>
      <c r="H136">
        <v>23863</v>
      </c>
      <c r="I136">
        <v>10488</v>
      </c>
      <c r="J136">
        <v>13375</v>
      </c>
      <c r="K136" t="s">
        <v>1635</v>
      </c>
      <c r="L136">
        <v>1311</v>
      </c>
      <c r="M136" t="s">
        <v>1635</v>
      </c>
      <c r="N136">
        <v>0</v>
      </c>
    </row>
    <row r="137" spans="1:14">
      <c r="A137" s="6" t="s">
        <v>14</v>
      </c>
      <c r="B137" t="s">
        <v>15</v>
      </c>
      <c r="C137" t="s">
        <v>515</v>
      </c>
      <c r="D137" t="s">
        <v>516</v>
      </c>
      <c r="E137" s="8">
        <v>46052</v>
      </c>
      <c r="F137">
        <v>8</v>
      </c>
      <c r="G137">
        <v>2800</v>
      </c>
      <c r="H137">
        <v>50038</v>
      </c>
      <c r="I137">
        <v>22400</v>
      </c>
      <c r="J137">
        <v>27638</v>
      </c>
      <c r="K137" t="s">
        <v>1635</v>
      </c>
      <c r="L137">
        <v>2800</v>
      </c>
      <c r="M137" t="s">
        <v>1635</v>
      </c>
      <c r="N137">
        <v>0</v>
      </c>
    </row>
    <row r="138" spans="1:14">
      <c r="A138" s="6" t="s">
        <v>14</v>
      </c>
      <c r="B138" t="s">
        <v>15</v>
      </c>
      <c r="C138" t="s">
        <v>517</v>
      </c>
      <c r="D138" t="s">
        <v>518</v>
      </c>
      <c r="E138" s="8">
        <v>46052</v>
      </c>
      <c r="F138">
        <v>8</v>
      </c>
      <c r="G138">
        <v>2500</v>
      </c>
      <c r="H138">
        <v>44480</v>
      </c>
      <c r="I138">
        <v>17500</v>
      </c>
      <c r="J138">
        <v>26980</v>
      </c>
      <c r="K138" t="s">
        <v>1635</v>
      </c>
      <c r="L138">
        <v>2500</v>
      </c>
      <c r="M138" t="s">
        <v>1635</v>
      </c>
      <c r="N138">
        <v>0</v>
      </c>
    </row>
    <row r="139" spans="1:14">
      <c r="A139" s="6" t="s">
        <v>14</v>
      </c>
      <c r="B139" t="s">
        <v>15</v>
      </c>
      <c r="C139" t="s">
        <v>525</v>
      </c>
      <c r="D139" t="s">
        <v>526</v>
      </c>
      <c r="E139" s="8">
        <v>46045</v>
      </c>
      <c r="F139">
        <v>8</v>
      </c>
      <c r="G139">
        <v>1540</v>
      </c>
      <c r="H139">
        <v>27578</v>
      </c>
      <c r="I139">
        <v>12320</v>
      </c>
      <c r="J139">
        <v>15258</v>
      </c>
      <c r="K139" t="s">
        <v>1635</v>
      </c>
      <c r="L139">
        <v>1540</v>
      </c>
      <c r="M139" t="s">
        <v>1635</v>
      </c>
      <c r="N139">
        <v>0</v>
      </c>
    </row>
    <row r="140" spans="1:14">
      <c r="A140" s="6" t="s">
        <v>14</v>
      </c>
      <c r="B140" t="s">
        <v>15</v>
      </c>
      <c r="C140" t="s">
        <v>535</v>
      </c>
      <c r="D140" t="s">
        <v>536</v>
      </c>
      <c r="E140" s="8">
        <v>46052</v>
      </c>
      <c r="F140">
        <v>8</v>
      </c>
      <c r="G140">
        <v>3256</v>
      </c>
      <c r="H140">
        <v>98799</v>
      </c>
      <c r="I140">
        <v>24272</v>
      </c>
      <c r="J140">
        <v>74527</v>
      </c>
      <c r="K140" t="s">
        <v>1635</v>
      </c>
      <c r="L140">
        <v>3256</v>
      </c>
      <c r="M140" t="s">
        <v>1635</v>
      </c>
      <c r="N140">
        <v>0</v>
      </c>
    </row>
    <row r="141" spans="1:14">
      <c r="A141" s="6" t="s">
        <v>14</v>
      </c>
      <c r="B141" t="s">
        <v>15</v>
      </c>
      <c r="C141" t="s">
        <v>606</v>
      </c>
      <c r="D141" t="s">
        <v>1650</v>
      </c>
      <c r="E141" s="8">
        <v>46052</v>
      </c>
      <c r="F141">
        <v>8</v>
      </c>
      <c r="G141">
        <v>1080</v>
      </c>
      <c r="H141">
        <v>19087</v>
      </c>
      <c r="I141">
        <v>8640</v>
      </c>
      <c r="J141">
        <v>10447</v>
      </c>
      <c r="K141" t="s">
        <v>1635</v>
      </c>
      <c r="L141">
        <v>1080</v>
      </c>
      <c r="M141" t="s">
        <v>1635</v>
      </c>
      <c r="N141">
        <v>0</v>
      </c>
    </row>
    <row r="142" spans="1:14">
      <c r="A142" s="6" t="s">
        <v>14</v>
      </c>
      <c r="B142" t="s">
        <v>15</v>
      </c>
      <c r="C142" t="s">
        <v>609</v>
      </c>
      <c r="D142" t="s">
        <v>610</v>
      </c>
      <c r="E142" s="8">
        <v>46052</v>
      </c>
      <c r="F142">
        <v>8</v>
      </c>
      <c r="G142">
        <v>2541</v>
      </c>
      <c r="H142">
        <v>77000</v>
      </c>
      <c r="I142">
        <v>17457</v>
      </c>
      <c r="J142">
        <v>59543</v>
      </c>
      <c r="K142" t="s">
        <v>1635</v>
      </c>
      <c r="L142">
        <v>2541</v>
      </c>
      <c r="M142" t="s">
        <v>1635</v>
      </c>
      <c r="N142">
        <v>0</v>
      </c>
    </row>
    <row r="143" spans="1:14">
      <c r="A143" s="6" t="s">
        <v>14</v>
      </c>
      <c r="B143" t="s">
        <v>15</v>
      </c>
      <c r="C143" t="s">
        <v>646</v>
      </c>
      <c r="D143" t="s">
        <v>1652</v>
      </c>
      <c r="E143" s="8">
        <v>46052</v>
      </c>
      <c r="F143">
        <v>8</v>
      </c>
      <c r="G143">
        <v>2870</v>
      </c>
      <c r="H143">
        <v>83705</v>
      </c>
      <c r="I143">
        <v>19033</v>
      </c>
      <c r="J143">
        <v>64672</v>
      </c>
      <c r="K143" t="s">
        <v>1635</v>
      </c>
      <c r="L143">
        <v>2870</v>
      </c>
      <c r="M143" t="s">
        <v>1635</v>
      </c>
      <c r="N143">
        <v>0</v>
      </c>
    </row>
    <row r="144" spans="1:14">
      <c r="A144" s="6" t="s">
        <v>14</v>
      </c>
      <c r="B144" t="s">
        <v>15</v>
      </c>
      <c r="C144" t="s">
        <v>647</v>
      </c>
      <c r="D144" t="s">
        <v>648</v>
      </c>
      <c r="E144" s="8">
        <v>46045</v>
      </c>
      <c r="F144">
        <v>8</v>
      </c>
      <c r="G144">
        <v>966</v>
      </c>
      <c r="H144">
        <v>17689</v>
      </c>
      <c r="I144">
        <v>7682</v>
      </c>
      <c r="J144">
        <v>10007</v>
      </c>
      <c r="K144" t="s">
        <v>1635</v>
      </c>
      <c r="L144">
        <v>966</v>
      </c>
      <c r="M144" t="s">
        <v>1635</v>
      </c>
      <c r="N144">
        <v>0</v>
      </c>
    </row>
    <row r="145" spans="1:14">
      <c r="A145" s="6" t="s">
        <v>14</v>
      </c>
      <c r="B145" t="s">
        <v>15</v>
      </c>
      <c r="C145" t="s">
        <v>675</v>
      </c>
      <c r="D145" t="s">
        <v>676</v>
      </c>
      <c r="E145" s="8">
        <v>46052</v>
      </c>
      <c r="F145">
        <v>8</v>
      </c>
      <c r="G145">
        <v>2037</v>
      </c>
      <c r="H145">
        <v>36749</v>
      </c>
      <c r="I145">
        <v>16317</v>
      </c>
      <c r="J145">
        <v>20432</v>
      </c>
      <c r="K145" t="s">
        <v>1635</v>
      </c>
      <c r="L145">
        <v>2037</v>
      </c>
      <c r="M145" t="s">
        <v>1635</v>
      </c>
      <c r="N145">
        <v>0</v>
      </c>
    </row>
    <row r="146" spans="1:14">
      <c r="A146" s="6" t="s">
        <v>14</v>
      </c>
      <c r="B146" t="s">
        <v>15</v>
      </c>
      <c r="C146" t="s">
        <v>679</v>
      </c>
      <c r="D146" t="s">
        <v>680</v>
      </c>
      <c r="E146" s="8">
        <v>46052</v>
      </c>
      <c r="F146">
        <v>8</v>
      </c>
      <c r="G146">
        <v>2759</v>
      </c>
      <c r="H146">
        <v>80999</v>
      </c>
      <c r="I146">
        <v>19978</v>
      </c>
      <c r="J146">
        <v>61021</v>
      </c>
      <c r="K146" t="s">
        <v>1635</v>
      </c>
      <c r="L146">
        <v>2759</v>
      </c>
      <c r="M146" t="s">
        <v>1635</v>
      </c>
      <c r="N146">
        <v>0</v>
      </c>
    </row>
    <row r="147" spans="1:14">
      <c r="A147" s="6" t="s">
        <v>14</v>
      </c>
      <c r="B147" t="s">
        <v>15</v>
      </c>
      <c r="C147" t="s">
        <v>682</v>
      </c>
      <c r="D147" t="s">
        <v>683</v>
      </c>
      <c r="E147" s="8">
        <v>46045</v>
      </c>
      <c r="F147">
        <v>8</v>
      </c>
      <c r="G147">
        <v>1339</v>
      </c>
      <c r="H147">
        <v>22342</v>
      </c>
      <c r="I147">
        <v>10712</v>
      </c>
      <c r="J147">
        <v>11630</v>
      </c>
      <c r="K147" t="s">
        <v>1635</v>
      </c>
      <c r="L147">
        <v>1339</v>
      </c>
      <c r="M147" t="s">
        <v>1635</v>
      </c>
      <c r="N147">
        <v>0</v>
      </c>
    </row>
    <row r="148" spans="1:14">
      <c r="A148" s="6" t="s">
        <v>14</v>
      </c>
      <c r="B148" t="s">
        <v>15</v>
      </c>
      <c r="C148" t="s">
        <v>16</v>
      </c>
      <c r="D148" t="s">
        <v>17</v>
      </c>
      <c r="E148" s="8">
        <v>46045</v>
      </c>
      <c r="F148">
        <v>9</v>
      </c>
      <c r="G148">
        <v>5830</v>
      </c>
      <c r="H148">
        <v>97419</v>
      </c>
      <c r="I148">
        <v>40810</v>
      </c>
      <c r="J148">
        <v>56609</v>
      </c>
      <c r="K148" t="s">
        <v>1635</v>
      </c>
      <c r="L148">
        <v>5830</v>
      </c>
      <c r="M148" t="s">
        <v>1635</v>
      </c>
      <c r="N148">
        <v>0</v>
      </c>
    </row>
    <row r="149" spans="1:14">
      <c r="A149" s="6" t="s">
        <v>14</v>
      </c>
      <c r="B149" t="s">
        <v>15</v>
      </c>
      <c r="C149" t="s">
        <v>133</v>
      </c>
      <c r="D149" t="s">
        <v>134</v>
      </c>
      <c r="E149" s="8">
        <v>46045</v>
      </c>
      <c r="F149">
        <v>9</v>
      </c>
      <c r="G149">
        <v>3150</v>
      </c>
      <c r="H149">
        <v>93833</v>
      </c>
      <c r="I149">
        <v>27766.67</v>
      </c>
      <c r="J149">
        <v>66066.33</v>
      </c>
      <c r="K149" t="s">
        <v>1635</v>
      </c>
      <c r="L149">
        <v>3150</v>
      </c>
      <c r="M149" t="s">
        <v>1635</v>
      </c>
      <c r="N149">
        <v>0</v>
      </c>
    </row>
    <row r="150" spans="1:14">
      <c r="A150" s="6" t="s">
        <v>14</v>
      </c>
      <c r="B150" t="s">
        <v>15</v>
      </c>
      <c r="C150" t="s">
        <v>250</v>
      </c>
      <c r="D150" t="s">
        <v>251</v>
      </c>
      <c r="E150" s="8">
        <v>46045</v>
      </c>
      <c r="F150">
        <v>9</v>
      </c>
      <c r="G150">
        <v>3432</v>
      </c>
      <c r="H150">
        <v>120000</v>
      </c>
      <c r="I150">
        <v>30726</v>
      </c>
      <c r="J150">
        <v>89274</v>
      </c>
      <c r="K150" t="s">
        <v>1635</v>
      </c>
      <c r="L150">
        <v>3432</v>
      </c>
      <c r="M150" t="s">
        <v>1635</v>
      </c>
      <c r="N150">
        <v>0</v>
      </c>
    </row>
    <row r="151" spans="1:14">
      <c r="A151" s="6" t="s">
        <v>14</v>
      </c>
      <c r="B151" t="s">
        <v>15</v>
      </c>
      <c r="C151" t="s">
        <v>314</v>
      </c>
      <c r="D151" t="s">
        <v>315</v>
      </c>
      <c r="E151" s="8">
        <v>46045</v>
      </c>
      <c r="F151">
        <v>9</v>
      </c>
      <c r="G151">
        <v>3710</v>
      </c>
      <c r="H151">
        <v>106791.67</v>
      </c>
      <c r="I151">
        <v>29680</v>
      </c>
      <c r="J151">
        <v>77111.67</v>
      </c>
      <c r="K151" t="s">
        <v>1635</v>
      </c>
      <c r="L151">
        <v>3710</v>
      </c>
      <c r="M151" t="s">
        <v>1635</v>
      </c>
      <c r="N151">
        <v>0</v>
      </c>
    </row>
    <row r="152" spans="1:14">
      <c r="A152" s="6" t="s">
        <v>14</v>
      </c>
      <c r="B152" t="s">
        <v>15</v>
      </c>
      <c r="C152" t="s">
        <v>344</v>
      </c>
      <c r="D152" t="s">
        <v>345</v>
      </c>
      <c r="E152" s="8">
        <v>46045</v>
      </c>
      <c r="F152">
        <v>9</v>
      </c>
      <c r="G152">
        <v>4230</v>
      </c>
      <c r="H152">
        <v>119000</v>
      </c>
      <c r="I152">
        <v>35770</v>
      </c>
      <c r="J152">
        <v>83230</v>
      </c>
      <c r="K152" t="s">
        <v>1635</v>
      </c>
      <c r="L152">
        <v>4230</v>
      </c>
      <c r="M152" t="s">
        <v>1635</v>
      </c>
      <c r="N152">
        <v>0</v>
      </c>
    </row>
    <row r="153" spans="1:14">
      <c r="A153" s="6" t="s">
        <v>14</v>
      </c>
      <c r="B153" t="s">
        <v>15</v>
      </c>
      <c r="C153" t="s">
        <v>389</v>
      </c>
      <c r="D153" t="s">
        <v>390</v>
      </c>
      <c r="E153" s="8">
        <v>46052</v>
      </c>
      <c r="F153">
        <v>9</v>
      </c>
      <c r="G153">
        <v>2397</v>
      </c>
      <c r="H153">
        <v>86683</v>
      </c>
      <c r="I153">
        <v>18800</v>
      </c>
      <c r="J153">
        <v>67883</v>
      </c>
      <c r="K153" t="s">
        <v>1635</v>
      </c>
      <c r="L153">
        <v>2397</v>
      </c>
      <c r="M153" t="s">
        <v>1635</v>
      </c>
      <c r="N153">
        <v>0</v>
      </c>
    </row>
    <row r="154" spans="1:14">
      <c r="A154" s="6" t="s">
        <v>14</v>
      </c>
      <c r="B154" t="s">
        <v>15</v>
      </c>
      <c r="C154" t="s">
        <v>26</v>
      </c>
      <c r="D154" t="s">
        <v>27</v>
      </c>
      <c r="E154" s="8">
        <v>46052</v>
      </c>
      <c r="F154">
        <v>10</v>
      </c>
      <c r="G154">
        <v>3980.67</v>
      </c>
      <c r="H154">
        <v>61372</v>
      </c>
      <c r="I154">
        <v>20178.669999999998</v>
      </c>
      <c r="J154">
        <v>41193.33</v>
      </c>
      <c r="K154" t="s">
        <v>1635</v>
      </c>
      <c r="L154">
        <v>3980.67</v>
      </c>
      <c r="M154" t="s">
        <v>1635</v>
      </c>
      <c r="N154">
        <v>0</v>
      </c>
    </row>
    <row r="155" spans="1:14">
      <c r="A155" s="6" t="s">
        <v>14</v>
      </c>
      <c r="B155" t="s">
        <v>15</v>
      </c>
      <c r="C155" t="s">
        <v>34</v>
      </c>
      <c r="D155" t="s">
        <v>35</v>
      </c>
      <c r="E155" s="8">
        <v>46052</v>
      </c>
      <c r="F155">
        <v>10</v>
      </c>
      <c r="G155">
        <v>3709.8</v>
      </c>
      <c r="H155">
        <v>109806</v>
      </c>
      <c r="I155">
        <v>35107.53</v>
      </c>
      <c r="J155">
        <v>74698.47</v>
      </c>
      <c r="K155" t="s">
        <v>1635</v>
      </c>
      <c r="L155">
        <v>3709.8</v>
      </c>
      <c r="M155" t="s">
        <v>1635</v>
      </c>
      <c r="N155">
        <v>0</v>
      </c>
    </row>
    <row r="156" spans="1:14">
      <c r="A156" s="6" t="s">
        <v>14</v>
      </c>
      <c r="B156" t="s">
        <v>15</v>
      </c>
      <c r="C156" t="s">
        <v>77</v>
      </c>
      <c r="D156" t="s">
        <v>78</v>
      </c>
      <c r="E156" s="8">
        <v>46052</v>
      </c>
      <c r="F156">
        <v>10</v>
      </c>
      <c r="G156">
        <v>4165</v>
      </c>
      <c r="H156">
        <v>78585</v>
      </c>
      <c r="I156">
        <v>36553</v>
      </c>
      <c r="J156">
        <v>42032</v>
      </c>
      <c r="K156" t="s">
        <v>1635</v>
      </c>
      <c r="L156">
        <v>4165</v>
      </c>
      <c r="M156" t="s">
        <v>1635</v>
      </c>
      <c r="N156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117A-653B-5D42-93F9-0033FBC22629}">
  <dimension ref="A1:N320"/>
  <sheetViews>
    <sheetView workbookViewId="0">
      <selection activeCell="B2" sqref="B2:B9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4.16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15</v>
      </c>
      <c r="C2" t="s">
        <v>579</v>
      </c>
      <c r="D2" t="s">
        <v>1649</v>
      </c>
      <c r="E2" s="8">
        <v>46059</v>
      </c>
      <c r="F2">
        <v>4</v>
      </c>
      <c r="G2">
        <v>3240</v>
      </c>
      <c r="H2">
        <v>96000</v>
      </c>
      <c r="I2">
        <v>9720</v>
      </c>
      <c r="J2">
        <v>86280</v>
      </c>
      <c r="K2" t="s">
        <v>1635</v>
      </c>
      <c r="L2">
        <v>3240</v>
      </c>
      <c r="M2" t="s">
        <v>1635</v>
      </c>
      <c r="N2">
        <v>0</v>
      </c>
    </row>
    <row r="3" spans="1:14">
      <c r="A3">
        <v>1</v>
      </c>
      <c r="B3" t="s">
        <v>15</v>
      </c>
      <c r="C3" t="s">
        <v>304</v>
      </c>
      <c r="D3" t="s">
        <v>305</v>
      </c>
      <c r="E3" s="8">
        <v>46059</v>
      </c>
      <c r="F3">
        <v>5</v>
      </c>
      <c r="G3">
        <v>2470</v>
      </c>
      <c r="H3">
        <v>74000</v>
      </c>
      <c r="I3">
        <v>14820</v>
      </c>
      <c r="J3">
        <v>59180</v>
      </c>
      <c r="K3" t="s">
        <v>1635</v>
      </c>
      <c r="L3">
        <v>2470</v>
      </c>
      <c r="M3" t="s">
        <v>1635</v>
      </c>
      <c r="N3">
        <v>0</v>
      </c>
    </row>
    <row r="4" spans="1:14">
      <c r="A4">
        <v>1</v>
      </c>
      <c r="B4" t="s">
        <v>15</v>
      </c>
      <c r="C4" t="s">
        <v>579</v>
      </c>
      <c r="D4" t="s">
        <v>1649</v>
      </c>
      <c r="E4" s="8">
        <v>46073</v>
      </c>
      <c r="F4">
        <v>5</v>
      </c>
      <c r="G4">
        <v>3240</v>
      </c>
      <c r="H4">
        <v>96000</v>
      </c>
      <c r="I4">
        <v>12960</v>
      </c>
      <c r="J4">
        <v>83040</v>
      </c>
      <c r="K4" t="s">
        <v>1635</v>
      </c>
      <c r="L4">
        <v>3240</v>
      </c>
      <c r="M4" t="s">
        <v>1635</v>
      </c>
      <c r="N4">
        <v>0</v>
      </c>
    </row>
    <row r="5" spans="1:14">
      <c r="A5">
        <v>1</v>
      </c>
      <c r="B5" t="s">
        <v>15</v>
      </c>
      <c r="C5" t="s">
        <v>18</v>
      </c>
      <c r="D5" t="s">
        <v>19</v>
      </c>
      <c r="E5" s="8">
        <v>46073</v>
      </c>
      <c r="F5">
        <v>6</v>
      </c>
      <c r="G5">
        <v>1132.33</v>
      </c>
      <c r="H5">
        <v>49162</v>
      </c>
      <c r="I5">
        <v>7188.98</v>
      </c>
      <c r="J5">
        <v>41973.02</v>
      </c>
      <c r="K5" t="s">
        <v>1635</v>
      </c>
      <c r="L5">
        <v>1132.33</v>
      </c>
      <c r="M5" t="s">
        <v>1635</v>
      </c>
      <c r="N5">
        <v>0</v>
      </c>
    </row>
    <row r="6" spans="1:14">
      <c r="A6">
        <v>1</v>
      </c>
      <c r="B6" t="s">
        <v>15</v>
      </c>
      <c r="C6" t="s">
        <v>32</v>
      </c>
      <c r="D6" t="s">
        <v>33</v>
      </c>
      <c r="E6" s="8">
        <v>46066</v>
      </c>
      <c r="F6">
        <v>6</v>
      </c>
      <c r="G6">
        <v>9263</v>
      </c>
      <c r="H6">
        <v>164000</v>
      </c>
      <c r="I6">
        <v>55578</v>
      </c>
      <c r="J6">
        <v>108422</v>
      </c>
      <c r="K6" t="s">
        <v>1635</v>
      </c>
      <c r="L6">
        <v>9263</v>
      </c>
      <c r="M6" t="s">
        <v>1635</v>
      </c>
      <c r="N6">
        <v>0</v>
      </c>
    </row>
    <row r="7" spans="1:14">
      <c r="A7">
        <v>1</v>
      </c>
      <c r="B7" t="s">
        <v>15</v>
      </c>
      <c r="C7" t="s">
        <v>36</v>
      </c>
      <c r="D7" t="s">
        <v>37</v>
      </c>
      <c r="E7" s="8">
        <v>46059</v>
      </c>
      <c r="F7">
        <v>6</v>
      </c>
      <c r="G7">
        <v>3200</v>
      </c>
      <c r="H7">
        <v>93677</v>
      </c>
      <c r="I7">
        <v>19200</v>
      </c>
      <c r="J7">
        <v>74477</v>
      </c>
      <c r="K7" t="s">
        <v>1635</v>
      </c>
      <c r="L7">
        <v>3200</v>
      </c>
      <c r="M7" t="s">
        <v>1635</v>
      </c>
      <c r="N7">
        <v>0</v>
      </c>
    </row>
    <row r="8" spans="1:14">
      <c r="A8">
        <v>1</v>
      </c>
      <c r="B8" t="s">
        <v>15</v>
      </c>
      <c r="C8" t="s">
        <v>48</v>
      </c>
      <c r="D8" t="s">
        <v>49</v>
      </c>
      <c r="E8" s="8">
        <v>46059</v>
      </c>
      <c r="F8">
        <v>6</v>
      </c>
      <c r="G8">
        <v>4625</v>
      </c>
      <c r="H8">
        <v>166113</v>
      </c>
      <c r="I8">
        <v>27750</v>
      </c>
      <c r="J8">
        <v>138363</v>
      </c>
      <c r="K8" t="s">
        <v>1635</v>
      </c>
      <c r="L8">
        <v>4625</v>
      </c>
      <c r="M8" t="s">
        <v>1635</v>
      </c>
      <c r="N8">
        <v>0</v>
      </c>
    </row>
    <row r="9" spans="1:14">
      <c r="A9">
        <v>1</v>
      </c>
      <c r="B9" t="s">
        <v>15</v>
      </c>
      <c r="C9" t="s">
        <v>51</v>
      </c>
      <c r="D9" t="s">
        <v>52</v>
      </c>
      <c r="E9" s="8">
        <v>46059</v>
      </c>
      <c r="F9">
        <v>6</v>
      </c>
      <c r="G9">
        <v>5035</v>
      </c>
      <c r="H9">
        <v>149000</v>
      </c>
      <c r="I9">
        <v>30210</v>
      </c>
      <c r="J9">
        <v>118790</v>
      </c>
      <c r="K9" t="s">
        <v>1635</v>
      </c>
      <c r="L9">
        <v>5035</v>
      </c>
      <c r="M9" t="s">
        <v>1635</v>
      </c>
      <c r="N9">
        <v>0</v>
      </c>
    </row>
    <row r="10" spans="1:14">
      <c r="A10">
        <v>1</v>
      </c>
      <c r="B10" t="s">
        <v>15</v>
      </c>
      <c r="C10" t="s">
        <v>288</v>
      </c>
      <c r="D10" t="s">
        <v>289</v>
      </c>
      <c r="E10" s="8">
        <v>46073</v>
      </c>
      <c r="F10">
        <v>6</v>
      </c>
      <c r="G10">
        <v>4216</v>
      </c>
      <c r="H10">
        <v>85000</v>
      </c>
      <c r="I10">
        <v>25203</v>
      </c>
      <c r="J10">
        <v>59797</v>
      </c>
      <c r="K10" t="s">
        <v>1635</v>
      </c>
      <c r="L10">
        <v>4216</v>
      </c>
      <c r="M10" t="s">
        <v>1635</v>
      </c>
      <c r="N10">
        <v>0</v>
      </c>
    </row>
    <row r="11" spans="1:14">
      <c r="A11">
        <v>1</v>
      </c>
      <c r="B11" t="s">
        <v>15</v>
      </c>
      <c r="C11" t="s">
        <v>453</v>
      </c>
      <c r="D11" t="s">
        <v>454</v>
      </c>
      <c r="E11" s="8">
        <v>46066</v>
      </c>
      <c r="F11">
        <v>6</v>
      </c>
      <c r="G11">
        <v>1155</v>
      </c>
      <c r="H11">
        <v>20000</v>
      </c>
      <c r="I11">
        <v>6930</v>
      </c>
      <c r="J11">
        <v>13070</v>
      </c>
      <c r="K11" t="s">
        <v>1635</v>
      </c>
      <c r="L11">
        <v>1155</v>
      </c>
      <c r="M11" t="s">
        <v>1635</v>
      </c>
      <c r="N11">
        <v>0</v>
      </c>
    </row>
    <row r="12" spans="1:14">
      <c r="A12">
        <v>1</v>
      </c>
      <c r="B12" t="s">
        <v>15</v>
      </c>
      <c r="C12" t="s">
        <v>479</v>
      </c>
      <c r="D12" t="s">
        <v>480</v>
      </c>
      <c r="E12" s="8">
        <v>46059</v>
      </c>
      <c r="F12">
        <v>6</v>
      </c>
      <c r="G12">
        <v>1118</v>
      </c>
      <c r="H12">
        <v>19456</v>
      </c>
      <c r="I12">
        <v>6708</v>
      </c>
      <c r="J12">
        <v>12748</v>
      </c>
      <c r="K12" t="s">
        <v>1635</v>
      </c>
      <c r="L12">
        <v>1118</v>
      </c>
      <c r="M12" t="s">
        <v>1635</v>
      </c>
      <c r="N12">
        <v>0</v>
      </c>
    </row>
    <row r="13" spans="1:14">
      <c r="A13">
        <v>1</v>
      </c>
      <c r="B13" t="s">
        <v>15</v>
      </c>
      <c r="C13" t="s">
        <v>566</v>
      </c>
      <c r="D13" t="s">
        <v>567</v>
      </c>
      <c r="E13" s="8">
        <v>46059</v>
      </c>
      <c r="F13">
        <v>6</v>
      </c>
      <c r="G13">
        <v>3822</v>
      </c>
      <c r="H13">
        <v>110923</v>
      </c>
      <c r="I13">
        <v>22932</v>
      </c>
      <c r="J13">
        <v>87991</v>
      </c>
      <c r="K13" t="s">
        <v>1635</v>
      </c>
      <c r="L13">
        <v>3822</v>
      </c>
      <c r="M13" t="s">
        <v>1635</v>
      </c>
      <c r="N13">
        <v>0</v>
      </c>
    </row>
    <row r="14" spans="1:14">
      <c r="A14">
        <v>1</v>
      </c>
      <c r="B14" t="s">
        <v>15</v>
      </c>
      <c r="C14" t="s">
        <v>588</v>
      </c>
      <c r="D14" t="s">
        <v>589</v>
      </c>
      <c r="E14" s="8">
        <v>46059</v>
      </c>
      <c r="F14">
        <v>6</v>
      </c>
      <c r="G14">
        <v>6624</v>
      </c>
      <c r="H14">
        <v>192989</v>
      </c>
      <c r="I14">
        <v>39744</v>
      </c>
      <c r="J14">
        <v>153245</v>
      </c>
      <c r="K14" t="s">
        <v>1635</v>
      </c>
      <c r="L14">
        <v>6624</v>
      </c>
      <c r="M14" t="s">
        <v>1635</v>
      </c>
      <c r="N14">
        <v>0</v>
      </c>
    </row>
    <row r="15" spans="1:14">
      <c r="A15">
        <v>1</v>
      </c>
      <c r="B15" t="s">
        <v>15</v>
      </c>
      <c r="C15" t="s">
        <v>619</v>
      </c>
      <c r="D15" t="s">
        <v>1651</v>
      </c>
      <c r="E15" s="8">
        <v>46059</v>
      </c>
      <c r="F15">
        <v>6</v>
      </c>
      <c r="G15">
        <v>3780</v>
      </c>
      <c r="H15">
        <v>129626</v>
      </c>
      <c r="I15">
        <v>22788</v>
      </c>
      <c r="J15">
        <v>106838</v>
      </c>
      <c r="K15" t="s">
        <v>1635</v>
      </c>
      <c r="L15">
        <v>3780</v>
      </c>
      <c r="M15" t="s">
        <v>1635</v>
      </c>
      <c r="N15">
        <v>0</v>
      </c>
    </row>
    <row r="16" spans="1:14">
      <c r="A16">
        <v>1</v>
      </c>
      <c r="B16" t="s">
        <v>15</v>
      </c>
      <c r="C16" t="s">
        <v>636</v>
      </c>
      <c r="D16" t="s">
        <v>637</v>
      </c>
      <c r="E16" s="8">
        <v>46066</v>
      </c>
      <c r="F16">
        <v>6</v>
      </c>
      <c r="G16">
        <v>1300</v>
      </c>
      <c r="H16">
        <v>23000</v>
      </c>
      <c r="I16">
        <v>7800</v>
      </c>
      <c r="J16">
        <v>15200</v>
      </c>
      <c r="K16" t="s">
        <v>1635</v>
      </c>
      <c r="L16">
        <v>1300</v>
      </c>
      <c r="M16" t="s">
        <v>1635</v>
      </c>
      <c r="N16">
        <v>0</v>
      </c>
    </row>
    <row r="17" spans="1:14">
      <c r="A17">
        <v>1</v>
      </c>
      <c r="B17" t="s">
        <v>15</v>
      </c>
      <c r="C17" t="s">
        <v>667</v>
      </c>
      <c r="D17" t="s">
        <v>668</v>
      </c>
      <c r="E17" s="8">
        <v>46066</v>
      </c>
      <c r="F17">
        <v>6</v>
      </c>
      <c r="G17">
        <v>2923</v>
      </c>
      <c r="H17">
        <v>84279</v>
      </c>
      <c r="I17">
        <v>14615</v>
      </c>
      <c r="J17">
        <v>69664</v>
      </c>
      <c r="K17" t="s">
        <v>1635</v>
      </c>
      <c r="L17">
        <v>2923</v>
      </c>
      <c r="M17" t="s">
        <v>1635</v>
      </c>
      <c r="N17">
        <v>0</v>
      </c>
    </row>
    <row r="18" spans="1:14">
      <c r="A18">
        <v>1</v>
      </c>
      <c r="B18" t="s">
        <v>15</v>
      </c>
      <c r="C18" t="s">
        <v>673</v>
      </c>
      <c r="D18" t="s">
        <v>674</v>
      </c>
      <c r="E18" s="8">
        <v>46059</v>
      </c>
      <c r="F18">
        <v>6</v>
      </c>
      <c r="G18">
        <v>5292</v>
      </c>
      <c r="H18">
        <v>161888</v>
      </c>
      <c r="I18">
        <v>30280</v>
      </c>
      <c r="J18">
        <v>131608</v>
      </c>
      <c r="K18" t="s">
        <v>1635</v>
      </c>
      <c r="L18">
        <v>5292</v>
      </c>
      <c r="M18" t="s">
        <v>1635</v>
      </c>
      <c r="N18">
        <v>0</v>
      </c>
    </row>
    <row r="19" spans="1:14">
      <c r="A19">
        <v>1</v>
      </c>
      <c r="B19" t="s">
        <v>15</v>
      </c>
      <c r="C19" t="s">
        <v>684</v>
      </c>
      <c r="D19" t="s">
        <v>685</v>
      </c>
      <c r="E19" s="8">
        <v>46066</v>
      </c>
      <c r="F19">
        <v>6</v>
      </c>
      <c r="G19">
        <v>2225</v>
      </c>
      <c r="H19">
        <v>67500</v>
      </c>
      <c r="I19">
        <v>12125</v>
      </c>
      <c r="J19">
        <v>55375</v>
      </c>
      <c r="K19" t="s">
        <v>1635</v>
      </c>
      <c r="L19">
        <v>2225</v>
      </c>
      <c r="M19" t="s">
        <v>1635</v>
      </c>
      <c r="N19">
        <v>0</v>
      </c>
    </row>
    <row r="20" spans="1:14">
      <c r="A20">
        <v>1</v>
      </c>
      <c r="B20" t="s">
        <v>15</v>
      </c>
      <c r="C20" t="s">
        <v>721</v>
      </c>
      <c r="D20" t="s">
        <v>722</v>
      </c>
      <c r="E20" s="8">
        <v>46059</v>
      </c>
      <c r="F20">
        <v>6</v>
      </c>
      <c r="G20">
        <v>4263</v>
      </c>
      <c r="H20">
        <v>122888</v>
      </c>
      <c r="I20">
        <v>24430</v>
      </c>
      <c r="J20">
        <v>98458</v>
      </c>
      <c r="K20" t="s">
        <v>1635</v>
      </c>
      <c r="L20">
        <v>4263</v>
      </c>
      <c r="M20" t="s">
        <v>1635</v>
      </c>
      <c r="N20">
        <v>0</v>
      </c>
    </row>
    <row r="21" spans="1:14">
      <c r="A21">
        <v>1</v>
      </c>
      <c r="B21" t="s">
        <v>15</v>
      </c>
      <c r="C21" t="s">
        <v>753</v>
      </c>
      <c r="D21" t="s">
        <v>754</v>
      </c>
      <c r="E21" s="8">
        <v>46059</v>
      </c>
      <c r="F21">
        <v>6</v>
      </c>
      <c r="G21">
        <v>7150</v>
      </c>
      <c r="H21">
        <v>212390</v>
      </c>
      <c r="I21">
        <v>40150</v>
      </c>
      <c r="J21">
        <v>172240</v>
      </c>
      <c r="K21" t="s">
        <v>1635</v>
      </c>
      <c r="L21">
        <v>7150</v>
      </c>
      <c r="M21" t="s">
        <v>1635</v>
      </c>
      <c r="N21">
        <v>0</v>
      </c>
    </row>
    <row r="22" spans="1:14">
      <c r="A22">
        <v>1</v>
      </c>
      <c r="B22" t="s">
        <v>15</v>
      </c>
      <c r="C22" t="s">
        <v>755</v>
      </c>
      <c r="D22" t="s">
        <v>756</v>
      </c>
      <c r="E22" s="8">
        <v>46059</v>
      </c>
      <c r="F22">
        <v>6</v>
      </c>
      <c r="G22">
        <v>4346</v>
      </c>
      <c r="H22">
        <v>129820</v>
      </c>
      <c r="I22">
        <v>23900</v>
      </c>
      <c r="J22">
        <v>105920</v>
      </c>
      <c r="K22" t="s">
        <v>1635</v>
      </c>
      <c r="L22">
        <v>4346</v>
      </c>
      <c r="M22" t="s">
        <v>1635</v>
      </c>
      <c r="N22">
        <v>0</v>
      </c>
    </row>
    <row r="23" spans="1:14">
      <c r="A23">
        <v>1</v>
      </c>
      <c r="B23" t="s">
        <v>15</v>
      </c>
      <c r="C23" t="s">
        <v>759</v>
      </c>
      <c r="D23" t="s">
        <v>760</v>
      </c>
      <c r="E23" s="8">
        <v>46059</v>
      </c>
      <c r="F23">
        <v>6</v>
      </c>
      <c r="G23">
        <v>3075</v>
      </c>
      <c r="H23">
        <v>89698</v>
      </c>
      <c r="I23">
        <v>18450</v>
      </c>
      <c r="J23">
        <v>71248</v>
      </c>
      <c r="K23" t="s">
        <v>1635</v>
      </c>
      <c r="L23">
        <v>3075</v>
      </c>
      <c r="M23" t="s">
        <v>1635</v>
      </c>
      <c r="N23">
        <v>0</v>
      </c>
    </row>
    <row r="24" spans="1:14">
      <c r="A24">
        <v>1</v>
      </c>
      <c r="B24" t="s">
        <v>15</v>
      </c>
      <c r="C24" t="s">
        <v>761</v>
      </c>
      <c r="D24" t="s">
        <v>762</v>
      </c>
      <c r="E24" s="8">
        <v>46066</v>
      </c>
      <c r="F24">
        <v>6</v>
      </c>
      <c r="G24">
        <v>3550</v>
      </c>
      <c r="H24">
        <v>105700</v>
      </c>
      <c r="I24">
        <v>19750</v>
      </c>
      <c r="J24">
        <v>85950</v>
      </c>
      <c r="K24" t="s">
        <v>1635</v>
      </c>
      <c r="L24">
        <v>3550</v>
      </c>
      <c r="M24" t="s">
        <v>1635</v>
      </c>
      <c r="N24">
        <v>0</v>
      </c>
    </row>
    <row r="25" spans="1:14">
      <c r="A25">
        <v>1</v>
      </c>
      <c r="B25" t="s">
        <v>15</v>
      </c>
      <c r="C25" t="s">
        <v>767</v>
      </c>
      <c r="D25" t="s">
        <v>768</v>
      </c>
      <c r="E25" s="8">
        <v>46059</v>
      </c>
      <c r="F25">
        <v>6</v>
      </c>
      <c r="G25">
        <v>4576</v>
      </c>
      <c r="H25">
        <v>138000</v>
      </c>
      <c r="I25">
        <v>24960</v>
      </c>
      <c r="J25">
        <v>113040</v>
      </c>
      <c r="K25" t="s">
        <v>1635</v>
      </c>
      <c r="L25">
        <v>4576</v>
      </c>
      <c r="M25" t="s">
        <v>1635</v>
      </c>
      <c r="N25">
        <v>0</v>
      </c>
    </row>
    <row r="26" spans="1:14">
      <c r="A26">
        <v>1</v>
      </c>
      <c r="B26" t="s">
        <v>15</v>
      </c>
      <c r="C26" t="s">
        <v>782</v>
      </c>
      <c r="D26" t="s">
        <v>783</v>
      </c>
      <c r="E26" s="8">
        <v>46059</v>
      </c>
      <c r="F26">
        <v>6</v>
      </c>
      <c r="G26">
        <v>4400</v>
      </c>
      <c r="H26">
        <v>81000</v>
      </c>
      <c r="I26">
        <v>24000</v>
      </c>
      <c r="J26">
        <v>57000</v>
      </c>
      <c r="K26" t="s">
        <v>1635</v>
      </c>
      <c r="L26">
        <v>4400</v>
      </c>
      <c r="M26" t="s">
        <v>1635</v>
      </c>
      <c r="N26">
        <v>0</v>
      </c>
    </row>
    <row r="27" spans="1:14">
      <c r="A27">
        <v>1</v>
      </c>
      <c r="B27" t="s">
        <v>15</v>
      </c>
      <c r="C27" t="s">
        <v>786</v>
      </c>
      <c r="D27" t="s">
        <v>787</v>
      </c>
      <c r="E27" s="8">
        <v>46059</v>
      </c>
      <c r="F27">
        <v>6</v>
      </c>
      <c r="G27">
        <v>2790</v>
      </c>
      <c r="H27">
        <v>85000</v>
      </c>
      <c r="I27">
        <v>15750</v>
      </c>
      <c r="J27">
        <v>69250</v>
      </c>
      <c r="K27" t="s">
        <v>1635</v>
      </c>
      <c r="L27">
        <v>2790</v>
      </c>
      <c r="M27" t="s">
        <v>1635</v>
      </c>
      <c r="N27">
        <v>0</v>
      </c>
    </row>
    <row r="28" spans="1:14">
      <c r="A28">
        <v>1</v>
      </c>
      <c r="B28" t="s">
        <v>15</v>
      </c>
      <c r="C28" t="s">
        <v>792</v>
      </c>
      <c r="D28" t="s">
        <v>793</v>
      </c>
      <c r="E28" s="8">
        <v>46073</v>
      </c>
      <c r="F28">
        <v>6</v>
      </c>
      <c r="G28">
        <v>4620</v>
      </c>
      <c r="H28">
        <v>137000</v>
      </c>
      <c r="I28">
        <v>25900</v>
      </c>
      <c r="J28">
        <v>111100</v>
      </c>
      <c r="K28" t="s">
        <v>1635</v>
      </c>
      <c r="L28">
        <v>4620</v>
      </c>
      <c r="M28" t="s">
        <v>1635</v>
      </c>
      <c r="N28">
        <v>0</v>
      </c>
    </row>
    <row r="29" spans="1:14">
      <c r="A29">
        <v>1</v>
      </c>
      <c r="B29" t="s">
        <v>15</v>
      </c>
      <c r="C29" t="s">
        <v>812</v>
      </c>
      <c r="D29" t="s">
        <v>813</v>
      </c>
      <c r="E29" s="8">
        <v>46073</v>
      </c>
      <c r="F29">
        <v>6</v>
      </c>
      <c r="G29">
        <v>3780</v>
      </c>
      <c r="H29">
        <v>98000</v>
      </c>
      <c r="I29">
        <v>21020</v>
      </c>
      <c r="J29">
        <v>76980</v>
      </c>
      <c r="K29" t="s">
        <v>1635</v>
      </c>
      <c r="L29">
        <v>3780</v>
      </c>
      <c r="M29" t="s">
        <v>1635</v>
      </c>
      <c r="N29">
        <v>0</v>
      </c>
    </row>
    <row r="30" spans="1:14">
      <c r="A30">
        <v>1</v>
      </c>
      <c r="B30" t="s">
        <v>15</v>
      </c>
      <c r="C30" t="s">
        <v>46</v>
      </c>
      <c r="D30" t="s">
        <v>47</v>
      </c>
      <c r="E30" s="8">
        <v>46059</v>
      </c>
      <c r="F30">
        <v>7</v>
      </c>
      <c r="G30">
        <v>1334</v>
      </c>
      <c r="H30">
        <v>39593</v>
      </c>
      <c r="I30">
        <v>9338</v>
      </c>
      <c r="J30">
        <v>30255</v>
      </c>
      <c r="K30" t="s">
        <v>1635</v>
      </c>
      <c r="L30">
        <v>1334</v>
      </c>
      <c r="M30" t="s">
        <v>1635</v>
      </c>
      <c r="N30">
        <v>0</v>
      </c>
    </row>
    <row r="31" spans="1:14">
      <c r="A31">
        <v>1</v>
      </c>
      <c r="B31" t="s">
        <v>15</v>
      </c>
      <c r="C31" t="s">
        <v>115</v>
      </c>
      <c r="D31" t="s">
        <v>116</v>
      </c>
      <c r="E31" s="8">
        <v>46059</v>
      </c>
      <c r="F31">
        <v>7</v>
      </c>
      <c r="G31">
        <v>4335</v>
      </c>
      <c r="H31">
        <v>80000</v>
      </c>
      <c r="I31">
        <v>29410</v>
      </c>
      <c r="J31">
        <v>50590</v>
      </c>
      <c r="K31" t="s">
        <v>1635</v>
      </c>
      <c r="L31">
        <v>4335</v>
      </c>
      <c r="M31" t="s">
        <v>1635</v>
      </c>
      <c r="N31">
        <v>0</v>
      </c>
    </row>
    <row r="32" spans="1:14">
      <c r="A32">
        <v>1</v>
      </c>
      <c r="B32" t="s">
        <v>15</v>
      </c>
      <c r="C32" t="s">
        <v>163</v>
      </c>
      <c r="D32" t="s">
        <v>164</v>
      </c>
      <c r="E32" s="8">
        <v>46059</v>
      </c>
      <c r="F32">
        <v>7</v>
      </c>
      <c r="G32">
        <v>2964</v>
      </c>
      <c r="H32">
        <v>97065</v>
      </c>
      <c r="I32">
        <v>20270.669999999998</v>
      </c>
      <c r="J32">
        <v>76794.33</v>
      </c>
      <c r="K32" t="s">
        <v>1635</v>
      </c>
      <c r="L32">
        <v>2964</v>
      </c>
      <c r="M32" t="s">
        <v>1635</v>
      </c>
      <c r="N32">
        <v>0</v>
      </c>
    </row>
    <row r="33" spans="1:14">
      <c r="A33">
        <v>1</v>
      </c>
      <c r="B33" t="s">
        <v>15</v>
      </c>
      <c r="C33" t="s">
        <v>165</v>
      </c>
      <c r="D33" t="s">
        <v>166</v>
      </c>
      <c r="E33" s="8">
        <v>46059</v>
      </c>
      <c r="F33">
        <v>7</v>
      </c>
      <c r="G33">
        <v>4235</v>
      </c>
      <c r="H33">
        <v>128998</v>
      </c>
      <c r="I33">
        <v>27518.33</v>
      </c>
      <c r="J33">
        <v>101479.67</v>
      </c>
      <c r="K33" t="s">
        <v>1635</v>
      </c>
      <c r="L33">
        <v>4235</v>
      </c>
      <c r="M33" t="s">
        <v>1635</v>
      </c>
      <c r="N33">
        <v>0</v>
      </c>
    </row>
    <row r="34" spans="1:14">
      <c r="A34">
        <v>1</v>
      </c>
      <c r="B34" t="s">
        <v>15</v>
      </c>
      <c r="C34" t="s">
        <v>199</v>
      </c>
      <c r="D34" t="s">
        <v>200</v>
      </c>
      <c r="E34" s="8">
        <v>46066</v>
      </c>
      <c r="F34">
        <v>7</v>
      </c>
      <c r="G34">
        <v>4080</v>
      </c>
      <c r="H34">
        <v>79275</v>
      </c>
      <c r="I34">
        <v>27430</v>
      </c>
      <c r="J34">
        <v>51845</v>
      </c>
      <c r="K34" t="s">
        <v>1635</v>
      </c>
      <c r="L34">
        <v>4080</v>
      </c>
      <c r="M34" t="s">
        <v>1635</v>
      </c>
      <c r="N34">
        <v>0</v>
      </c>
    </row>
    <row r="35" spans="1:14">
      <c r="A35">
        <v>1</v>
      </c>
      <c r="B35" t="s">
        <v>15</v>
      </c>
      <c r="C35" t="s">
        <v>205</v>
      </c>
      <c r="D35" t="s">
        <v>206</v>
      </c>
      <c r="E35" s="8">
        <v>46059</v>
      </c>
      <c r="F35">
        <v>7</v>
      </c>
      <c r="G35">
        <v>5805</v>
      </c>
      <c r="H35">
        <v>172980</v>
      </c>
      <c r="I35">
        <v>39030</v>
      </c>
      <c r="J35">
        <v>133950</v>
      </c>
      <c r="K35" t="s">
        <v>1635</v>
      </c>
      <c r="L35">
        <v>5805</v>
      </c>
      <c r="M35" t="s">
        <v>1635</v>
      </c>
      <c r="N35">
        <v>0</v>
      </c>
    </row>
    <row r="36" spans="1:14">
      <c r="A36">
        <v>1</v>
      </c>
      <c r="B36" t="s">
        <v>15</v>
      </c>
      <c r="C36" t="s">
        <v>209</v>
      </c>
      <c r="D36" t="s">
        <v>210</v>
      </c>
      <c r="E36" s="8">
        <v>46059</v>
      </c>
      <c r="F36">
        <v>7</v>
      </c>
      <c r="G36">
        <v>5760</v>
      </c>
      <c r="H36">
        <v>187000</v>
      </c>
      <c r="I36">
        <v>39676.67</v>
      </c>
      <c r="J36">
        <v>147323.32999999999</v>
      </c>
      <c r="K36" t="s">
        <v>1635</v>
      </c>
      <c r="L36">
        <v>5760</v>
      </c>
      <c r="M36" t="s">
        <v>1635</v>
      </c>
      <c r="N36">
        <v>0</v>
      </c>
    </row>
    <row r="37" spans="1:14">
      <c r="A37">
        <v>1</v>
      </c>
      <c r="B37" t="s">
        <v>15</v>
      </c>
      <c r="C37" t="s">
        <v>231</v>
      </c>
      <c r="D37" t="s">
        <v>232</v>
      </c>
      <c r="E37" s="8">
        <v>46059</v>
      </c>
      <c r="F37">
        <v>7</v>
      </c>
      <c r="G37">
        <v>3920</v>
      </c>
      <c r="H37">
        <v>75800</v>
      </c>
      <c r="I37">
        <v>26003.33</v>
      </c>
      <c r="J37">
        <v>49796.67</v>
      </c>
      <c r="K37" t="s">
        <v>1635</v>
      </c>
      <c r="L37">
        <v>3920</v>
      </c>
      <c r="M37" t="s">
        <v>1635</v>
      </c>
      <c r="N37">
        <v>0</v>
      </c>
    </row>
    <row r="38" spans="1:14">
      <c r="A38">
        <v>1</v>
      </c>
      <c r="B38" t="s">
        <v>15</v>
      </c>
      <c r="C38" t="s">
        <v>234</v>
      </c>
      <c r="D38" t="s">
        <v>235</v>
      </c>
      <c r="E38" s="8">
        <v>46066</v>
      </c>
      <c r="F38">
        <v>7</v>
      </c>
      <c r="G38">
        <v>2850</v>
      </c>
      <c r="H38">
        <v>85800</v>
      </c>
      <c r="I38">
        <v>19850</v>
      </c>
      <c r="J38">
        <v>65950</v>
      </c>
      <c r="K38" t="s">
        <v>1635</v>
      </c>
      <c r="L38">
        <v>2850</v>
      </c>
      <c r="M38" t="s">
        <v>1635</v>
      </c>
      <c r="N38">
        <v>0</v>
      </c>
    </row>
    <row r="39" spans="1:14">
      <c r="A39">
        <v>1</v>
      </c>
      <c r="B39" t="s">
        <v>15</v>
      </c>
      <c r="C39" t="s">
        <v>244</v>
      </c>
      <c r="D39" t="s">
        <v>245</v>
      </c>
      <c r="E39" s="8">
        <v>46059</v>
      </c>
      <c r="F39">
        <v>7</v>
      </c>
      <c r="G39">
        <v>6952</v>
      </c>
      <c r="H39">
        <v>120000</v>
      </c>
      <c r="I39">
        <v>52334</v>
      </c>
      <c r="J39">
        <v>67666</v>
      </c>
      <c r="K39" t="s">
        <v>1635</v>
      </c>
      <c r="L39">
        <v>6952</v>
      </c>
      <c r="M39" t="s">
        <v>1635</v>
      </c>
      <c r="N39">
        <v>0</v>
      </c>
    </row>
    <row r="40" spans="1:14">
      <c r="A40">
        <v>1</v>
      </c>
      <c r="B40" t="s">
        <v>15</v>
      </c>
      <c r="C40" t="s">
        <v>248</v>
      </c>
      <c r="D40" t="s">
        <v>249</v>
      </c>
      <c r="E40" s="8">
        <v>46066</v>
      </c>
      <c r="F40">
        <v>7</v>
      </c>
      <c r="G40">
        <v>2940</v>
      </c>
      <c r="H40">
        <v>77000</v>
      </c>
      <c r="I40">
        <v>19170</v>
      </c>
      <c r="J40">
        <v>57830</v>
      </c>
      <c r="K40" t="s">
        <v>1635</v>
      </c>
      <c r="L40">
        <v>2940</v>
      </c>
      <c r="M40" t="s">
        <v>1635</v>
      </c>
      <c r="N40">
        <v>0</v>
      </c>
    </row>
    <row r="41" spans="1:14">
      <c r="A41">
        <v>1</v>
      </c>
      <c r="B41" t="s">
        <v>15</v>
      </c>
      <c r="C41" t="s">
        <v>252</v>
      </c>
      <c r="D41" t="s">
        <v>253</v>
      </c>
      <c r="E41" s="8">
        <v>46066</v>
      </c>
      <c r="F41">
        <v>7</v>
      </c>
      <c r="G41">
        <v>2409</v>
      </c>
      <c r="H41">
        <v>74625</v>
      </c>
      <c r="I41">
        <v>16863</v>
      </c>
      <c r="J41">
        <v>57762</v>
      </c>
      <c r="K41" t="s">
        <v>1635</v>
      </c>
      <c r="L41">
        <v>2409</v>
      </c>
      <c r="M41" t="s">
        <v>1635</v>
      </c>
      <c r="N41">
        <v>0</v>
      </c>
    </row>
    <row r="42" spans="1:14">
      <c r="A42">
        <v>1</v>
      </c>
      <c r="B42" t="s">
        <v>15</v>
      </c>
      <c r="C42" t="s">
        <v>254</v>
      </c>
      <c r="D42" t="s">
        <v>255</v>
      </c>
      <c r="E42" s="8">
        <v>46073</v>
      </c>
      <c r="F42">
        <v>7</v>
      </c>
      <c r="G42">
        <v>3840</v>
      </c>
      <c r="H42">
        <v>115413</v>
      </c>
      <c r="I42">
        <v>26880</v>
      </c>
      <c r="J42">
        <v>88533</v>
      </c>
      <c r="K42" t="s">
        <v>1635</v>
      </c>
      <c r="L42">
        <v>3840</v>
      </c>
      <c r="M42" t="s">
        <v>1635</v>
      </c>
      <c r="N42">
        <v>0</v>
      </c>
    </row>
    <row r="43" spans="1:14">
      <c r="A43">
        <v>1</v>
      </c>
      <c r="B43" t="s">
        <v>15</v>
      </c>
      <c r="C43" t="s">
        <v>256</v>
      </c>
      <c r="D43" t="s">
        <v>257</v>
      </c>
      <c r="E43" s="8">
        <v>46059</v>
      </c>
      <c r="F43">
        <v>7</v>
      </c>
      <c r="G43">
        <v>3375</v>
      </c>
      <c r="H43">
        <v>105000</v>
      </c>
      <c r="I43">
        <v>23625</v>
      </c>
      <c r="J43">
        <v>81375</v>
      </c>
      <c r="K43" t="s">
        <v>1635</v>
      </c>
      <c r="L43">
        <v>3375</v>
      </c>
      <c r="M43" t="s">
        <v>1635</v>
      </c>
      <c r="N43">
        <v>0</v>
      </c>
    </row>
    <row r="44" spans="1:14">
      <c r="A44">
        <v>1</v>
      </c>
      <c r="B44" t="s">
        <v>15</v>
      </c>
      <c r="C44" t="s">
        <v>260</v>
      </c>
      <c r="D44" t="s">
        <v>261</v>
      </c>
      <c r="E44" s="8">
        <v>46073</v>
      </c>
      <c r="F44">
        <v>7</v>
      </c>
      <c r="G44">
        <v>2660</v>
      </c>
      <c r="H44">
        <v>78299</v>
      </c>
      <c r="I44">
        <v>18620</v>
      </c>
      <c r="J44">
        <v>59679</v>
      </c>
      <c r="K44" t="s">
        <v>1635</v>
      </c>
      <c r="L44">
        <v>2660</v>
      </c>
      <c r="M44" t="s">
        <v>1635</v>
      </c>
      <c r="N44">
        <v>0</v>
      </c>
    </row>
    <row r="45" spans="1:14">
      <c r="A45">
        <v>1</v>
      </c>
      <c r="B45" t="s">
        <v>15</v>
      </c>
      <c r="C45" t="s">
        <v>266</v>
      </c>
      <c r="D45" t="s">
        <v>267</v>
      </c>
      <c r="E45" s="8">
        <v>46066</v>
      </c>
      <c r="F45">
        <v>7</v>
      </c>
      <c r="G45">
        <v>2300</v>
      </c>
      <c r="H45">
        <v>43500</v>
      </c>
      <c r="I45">
        <v>15690</v>
      </c>
      <c r="J45">
        <v>27810</v>
      </c>
      <c r="K45" t="s">
        <v>1635</v>
      </c>
      <c r="L45">
        <v>2300</v>
      </c>
      <c r="M45" t="s">
        <v>1635</v>
      </c>
      <c r="N45">
        <v>0</v>
      </c>
    </row>
    <row r="46" spans="1:14">
      <c r="A46">
        <v>1</v>
      </c>
      <c r="B46" t="s">
        <v>15</v>
      </c>
      <c r="C46" t="s">
        <v>268</v>
      </c>
      <c r="D46" t="s">
        <v>269</v>
      </c>
      <c r="E46" s="8">
        <v>46059</v>
      </c>
      <c r="F46">
        <v>7</v>
      </c>
      <c r="G46">
        <v>3990</v>
      </c>
      <c r="H46">
        <v>73000</v>
      </c>
      <c r="I46">
        <v>26623.33</v>
      </c>
      <c r="J46">
        <v>46376.67</v>
      </c>
      <c r="K46" t="s">
        <v>1635</v>
      </c>
      <c r="L46">
        <v>3990</v>
      </c>
      <c r="M46" t="s">
        <v>1635</v>
      </c>
      <c r="N46">
        <v>0</v>
      </c>
    </row>
    <row r="47" spans="1:14">
      <c r="A47">
        <v>1</v>
      </c>
      <c r="B47" t="s">
        <v>15</v>
      </c>
      <c r="C47" t="s">
        <v>270</v>
      </c>
      <c r="D47" t="s">
        <v>271</v>
      </c>
      <c r="E47" s="8">
        <v>46066</v>
      </c>
      <c r="F47">
        <v>7</v>
      </c>
      <c r="G47">
        <v>4872</v>
      </c>
      <c r="H47">
        <v>121733</v>
      </c>
      <c r="I47">
        <v>32712</v>
      </c>
      <c r="J47">
        <v>89021</v>
      </c>
      <c r="K47" t="s">
        <v>1635</v>
      </c>
      <c r="L47">
        <v>4872</v>
      </c>
      <c r="M47" t="s">
        <v>1635</v>
      </c>
      <c r="N47">
        <v>0</v>
      </c>
    </row>
    <row r="48" spans="1:14">
      <c r="A48">
        <v>1</v>
      </c>
      <c r="B48" t="s">
        <v>15</v>
      </c>
      <c r="C48" t="s">
        <v>276</v>
      </c>
      <c r="D48" t="s">
        <v>277</v>
      </c>
      <c r="E48" s="8">
        <v>46066</v>
      </c>
      <c r="F48">
        <v>7</v>
      </c>
      <c r="G48">
        <v>2960</v>
      </c>
      <c r="H48">
        <v>82751</v>
      </c>
      <c r="I48">
        <v>20720</v>
      </c>
      <c r="J48">
        <v>62031</v>
      </c>
      <c r="K48" t="s">
        <v>1635</v>
      </c>
      <c r="L48">
        <v>2960</v>
      </c>
      <c r="M48" t="s">
        <v>1635</v>
      </c>
      <c r="N48">
        <v>0</v>
      </c>
    </row>
    <row r="49" spans="1:14">
      <c r="A49">
        <v>1</v>
      </c>
      <c r="B49" t="s">
        <v>15</v>
      </c>
      <c r="C49" t="s">
        <v>278</v>
      </c>
      <c r="D49" t="s">
        <v>279</v>
      </c>
      <c r="E49" s="8">
        <v>46066</v>
      </c>
      <c r="F49">
        <v>7</v>
      </c>
      <c r="G49">
        <v>4608</v>
      </c>
      <c r="H49">
        <v>84625</v>
      </c>
      <c r="I49">
        <v>30288</v>
      </c>
      <c r="J49">
        <v>54337</v>
      </c>
      <c r="K49" t="s">
        <v>1635</v>
      </c>
      <c r="L49">
        <v>4608</v>
      </c>
      <c r="M49" t="s">
        <v>1635</v>
      </c>
      <c r="N49">
        <v>0</v>
      </c>
    </row>
    <row r="50" spans="1:14">
      <c r="A50">
        <v>1</v>
      </c>
      <c r="B50" t="s">
        <v>15</v>
      </c>
      <c r="C50" t="s">
        <v>282</v>
      </c>
      <c r="D50" t="s">
        <v>283</v>
      </c>
      <c r="E50" s="8">
        <v>46059</v>
      </c>
      <c r="F50">
        <v>7</v>
      </c>
      <c r="G50">
        <v>2432</v>
      </c>
      <c r="H50">
        <v>73000</v>
      </c>
      <c r="I50">
        <v>17024</v>
      </c>
      <c r="J50">
        <v>55976</v>
      </c>
      <c r="K50" t="s">
        <v>1635</v>
      </c>
      <c r="L50">
        <v>2432</v>
      </c>
      <c r="M50" t="s">
        <v>1635</v>
      </c>
      <c r="N50">
        <v>0</v>
      </c>
    </row>
    <row r="51" spans="1:14">
      <c r="A51">
        <v>1</v>
      </c>
      <c r="B51" t="s">
        <v>15</v>
      </c>
      <c r="C51" t="s">
        <v>284</v>
      </c>
      <c r="D51" t="s">
        <v>285</v>
      </c>
      <c r="E51" s="8">
        <v>46066</v>
      </c>
      <c r="F51">
        <v>7</v>
      </c>
      <c r="G51">
        <v>6020</v>
      </c>
      <c r="H51">
        <v>111290</v>
      </c>
      <c r="I51">
        <v>41486.67</v>
      </c>
      <c r="J51">
        <v>69803.33</v>
      </c>
      <c r="K51" t="s">
        <v>1635</v>
      </c>
      <c r="L51">
        <v>6020</v>
      </c>
      <c r="M51" t="s">
        <v>1635</v>
      </c>
      <c r="N51">
        <v>0</v>
      </c>
    </row>
    <row r="52" spans="1:14">
      <c r="A52">
        <v>1</v>
      </c>
      <c r="B52" t="s">
        <v>15</v>
      </c>
      <c r="C52" t="s">
        <v>286</v>
      </c>
      <c r="D52" t="s">
        <v>287</v>
      </c>
      <c r="E52" s="8">
        <v>46059</v>
      </c>
      <c r="F52">
        <v>7</v>
      </c>
      <c r="G52">
        <v>2835</v>
      </c>
      <c r="H52">
        <v>85900</v>
      </c>
      <c r="I52">
        <v>19845</v>
      </c>
      <c r="J52">
        <v>66055</v>
      </c>
      <c r="K52" t="s">
        <v>1635</v>
      </c>
      <c r="L52">
        <v>2835</v>
      </c>
      <c r="M52" t="s">
        <v>1635</v>
      </c>
      <c r="N52">
        <v>0</v>
      </c>
    </row>
    <row r="53" spans="1:14">
      <c r="A53">
        <v>1</v>
      </c>
      <c r="B53" t="s">
        <v>15</v>
      </c>
      <c r="C53" t="s">
        <v>290</v>
      </c>
      <c r="D53" t="s">
        <v>291</v>
      </c>
      <c r="E53" s="8">
        <v>46066</v>
      </c>
      <c r="F53">
        <v>7</v>
      </c>
      <c r="G53">
        <v>2520</v>
      </c>
      <c r="H53">
        <v>79600</v>
      </c>
      <c r="I53">
        <v>16920</v>
      </c>
      <c r="J53">
        <v>62680</v>
      </c>
      <c r="K53" t="s">
        <v>1635</v>
      </c>
      <c r="L53">
        <v>2520</v>
      </c>
      <c r="M53" t="s">
        <v>1635</v>
      </c>
      <c r="N53">
        <v>0</v>
      </c>
    </row>
    <row r="54" spans="1:14">
      <c r="A54">
        <v>1</v>
      </c>
      <c r="B54" t="s">
        <v>15</v>
      </c>
      <c r="C54" t="s">
        <v>292</v>
      </c>
      <c r="D54" t="s">
        <v>293</v>
      </c>
      <c r="E54" s="8">
        <v>46073</v>
      </c>
      <c r="F54">
        <v>7</v>
      </c>
      <c r="G54">
        <v>2250</v>
      </c>
      <c r="H54">
        <v>78580</v>
      </c>
      <c r="I54">
        <v>15750</v>
      </c>
      <c r="J54">
        <v>62830</v>
      </c>
      <c r="K54" t="s">
        <v>1635</v>
      </c>
      <c r="L54">
        <v>2250</v>
      </c>
      <c r="M54" t="s">
        <v>1635</v>
      </c>
      <c r="N54">
        <v>0</v>
      </c>
    </row>
    <row r="55" spans="1:14">
      <c r="A55">
        <v>1</v>
      </c>
      <c r="B55" t="s">
        <v>15</v>
      </c>
      <c r="C55" t="s">
        <v>294</v>
      </c>
      <c r="D55" t="s">
        <v>295</v>
      </c>
      <c r="E55" s="8">
        <v>46066</v>
      </c>
      <c r="F55">
        <v>7</v>
      </c>
      <c r="G55">
        <v>4824</v>
      </c>
      <c r="H55">
        <v>89000</v>
      </c>
      <c r="I55">
        <v>31704</v>
      </c>
      <c r="J55">
        <v>57296</v>
      </c>
      <c r="K55" t="s">
        <v>1635</v>
      </c>
      <c r="L55">
        <v>4824</v>
      </c>
      <c r="M55" t="s">
        <v>1635</v>
      </c>
      <c r="N55">
        <v>0</v>
      </c>
    </row>
    <row r="56" spans="1:14">
      <c r="A56">
        <v>1</v>
      </c>
      <c r="B56" t="s">
        <v>15</v>
      </c>
      <c r="C56" t="s">
        <v>296</v>
      </c>
      <c r="D56" t="s">
        <v>297</v>
      </c>
      <c r="E56" s="8">
        <v>46059</v>
      </c>
      <c r="F56">
        <v>7</v>
      </c>
      <c r="G56">
        <v>2970</v>
      </c>
      <c r="H56">
        <v>82153</v>
      </c>
      <c r="I56">
        <v>20790</v>
      </c>
      <c r="J56">
        <v>61363</v>
      </c>
      <c r="K56" t="s">
        <v>1635</v>
      </c>
      <c r="L56">
        <v>2970</v>
      </c>
      <c r="M56" t="s">
        <v>1635</v>
      </c>
      <c r="N56">
        <v>0</v>
      </c>
    </row>
    <row r="57" spans="1:14">
      <c r="A57">
        <v>1</v>
      </c>
      <c r="B57" t="s">
        <v>15</v>
      </c>
      <c r="C57" t="s">
        <v>298</v>
      </c>
      <c r="D57" t="s">
        <v>299</v>
      </c>
      <c r="E57" s="8">
        <v>46073</v>
      </c>
      <c r="F57">
        <v>7</v>
      </c>
      <c r="G57">
        <v>2856</v>
      </c>
      <c r="H57">
        <v>85872</v>
      </c>
      <c r="I57">
        <v>19629.330000000002</v>
      </c>
      <c r="J57">
        <v>66242.67</v>
      </c>
      <c r="K57" t="s">
        <v>1635</v>
      </c>
      <c r="L57">
        <v>2856</v>
      </c>
      <c r="M57" t="s">
        <v>1635</v>
      </c>
      <c r="N57">
        <v>0</v>
      </c>
    </row>
    <row r="58" spans="1:14">
      <c r="A58">
        <v>1</v>
      </c>
      <c r="B58" t="s">
        <v>15</v>
      </c>
      <c r="C58" t="s">
        <v>300</v>
      </c>
      <c r="D58" t="s">
        <v>301</v>
      </c>
      <c r="E58" s="8">
        <v>46073</v>
      </c>
      <c r="F58">
        <v>7</v>
      </c>
      <c r="G58">
        <v>2520</v>
      </c>
      <c r="H58">
        <v>75800</v>
      </c>
      <c r="I58">
        <v>17420</v>
      </c>
      <c r="J58">
        <v>58380</v>
      </c>
      <c r="K58" t="s">
        <v>1635</v>
      </c>
      <c r="L58">
        <v>2520</v>
      </c>
      <c r="M58" t="s">
        <v>1635</v>
      </c>
      <c r="N58">
        <v>0</v>
      </c>
    </row>
    <row r="59" spans="1:14">
      <c r="A59">
        <v>1</v>
      </c>
      <c r="B59" t="s">
        <v>15</v>
      </c>
      <c r="C59" t="s">
        <v>302</v>
      </c>
      <c r="D59" t="s">
        <v>303</v>
      </c>
      <c r="E59" s="8">
        <v>46073</v>
      </c>
      <c r="F59">
        <v>7</v>
      </c>
      <c r="G59">
        <v>2850</v>
      </c>
      <c r="H59">
        <v>84946</v>
      </c>
      <c r="I59">
        <v>19850</v>
      </c>
      <c r="J59">
        <v>65096</v>
      </c>
      <c r="K59" t="s">
        <v>1635</v>
      </c>
      <c r="L59">
        <v>2850</v>
      </c>
      <c r="M59" t="s">
        <v>1635</v>
      </c>
      <c r="N59">
        <v>0</v>
      </c>
    </row>
    <row r="60" spans="1:14">
      <c r="A60">
        <v>1</v>
      </c>
      <c r="B60" t="s">
        <v>15</v>
      </c>
      <c r="C60" t="s">
        <v>320</v>
      </c>
      <c r="D60" t="s">
        <v>321</v>
      </c>
      <c r="E60" s="8">
        <v>46066</v>
      </c>
      <c r="F60">
        <v>7</v>
      </c>
      <c r="G60">
        <v>2850</v>
      </c>
      <c r="H60">
        <v>85000</v>
      </c>
      <c r="I60">
        <v>19950</v>
      </c>
      <c r="J60">
        <v>65050</v>
      </c>
      <c r="K60" t="s">
        <v>1635</v>
      </c>
      <c r="L60">
        <v>2850</v>
      </c>
      <c r="M60" t="s">
        <v>1635</v>
      </c>
      <c r="N60">
        <v>0</v>
      </c>
    </row>
    <row r="61" spans="1:14">
      <c r="A61">
        <v>1</v>
      </c>
      <c r="B61" t="s">
        <v>15</v>
      </c>
      <c r="C61" t="s">
        <v>348</v>
      </c>
      <c r="D61" t="s">
        <v>349</v>
      </c>
      <c r="E61" s="8">
        <v>46073</v>
      </c>
      <c r="F61">
        <v>7</v>
      </c>
      <c r="G61">
        <v>3120</v>
      </c>
      <c r="H61">
        <v>99693</v>
      </c>
      <c r="I61">
        <v>20870</v>
      </c>
      <c r="J61">
        <v>78823</v>
      </c>
      <c r="K61" t="s">
        <v>1635</v>
      </c>
      <c r="L61">
        <v>3120</v>
      </c>
      <c r="M61" t="s">
        <v>1635</v>
      </c>
      <c r="N61">
        <v>0</v>
      </c>
    </row>
    <row r="62" spans="1:14">
      <c r="A62">
        <v>1</v>
      </c>
      <c r="B62" t="s">
        <v>15</v>
      </c>
      <c r="C62" t="s">
        <v>387</v>
      </c>
      <c r="D62" t="s">
        <v>388</v>
      </c>
      <c r="E62" s="8">
        <v>46059</v>
      </c>
      <c r="F62">
        <v>7</v>
      </c>
      <c r="G62">
        <v>2356</v>
      </c>
      <c r="H62">
        <v>78213</v>
      </c>
      <c r="I62">
        <v>17632</v>
      </c>
      <c r="J62">
        <v>60581</v>
      </c>
      <c r="K62" t="s">
        <v>1635</v>
      </c>
      <c r="L62">
        <v>2356</v>
      </c>
      <c r="M62" t="s">
        <v>1635</v>
      </c>
      <c r="N62">
        <v>0</v>
      </c>
    </row>
    <row r="63" spans="1:14">
      <c r="A63">
        <v>1</v>
      </c>
      <c r="B63" t="s">
        <v>15</v>
      </c>
      <c r="C63" t="s">
        <v>455</v>
      </c>
      <c r="D63" t="s">
        <v>456</v>
      </c>
      <c r="E63" s="8">
        <v>46059</v>
      </c>
      <c r="F63">
        <v>7</v>
      </c>
      <c r="G63">
        <v>2665</v>
      </c>
      <c r="H63">
        <v>96000</v>
      </c>
      <c r="I63">
        <v>18590</v>
      </c>
      <c r="J63">
        <v>77410</v>
      </c>
      <c r="K63" t="s">
        <v>1635</v>
      </c>
      <c r="L63">
        <v>2665</v>
      </c>
      <c r="M63" t="s">
        <v>1635</v>
      </c>
      <c r="N63">
        <v>0</v>
      </c>
    </row>
    <row r="64" spans="1:14">
      <c r="A64">
        <v>1</v>
      </c>
      <c r="B64" t="s">
        <v>15</v>
      </c>
      <c r="C64" t="s">
        <v>499</v>
      </c>
      <c r="D64" t="s">
        <v>500</v>
      </c>
      <c r="E64" s="8">
        <v>46066</v>
      </c>
      <c r="F64">
        <v>7</v>
      </c>
      <c r="G64">
        <v>2856</v>
      </c>
      <c r="H64">
        <v>101346</v>
      </c>
      <c r="I64">
        <v>20116</v>
      </c>
      <c r="J64">
        <v>81230</v>
      </c>
      <c r="K64" t="s">
        <v>1635</v>
      </c>
      <c r="L64">
        <v>2856</v>
      </c>
      <c r="M64" t="s">
        <v>1635</v>
      </c>
      <c r="N64">
        <v>0</v>
      </c>
    </row>
    <row r="65" spans="1:14">
      <c r="A65">
        <v>1</v>
      </c>
      <c r="B65" t="s">
        <v>15</v>
      </c>
      <c r="C65" t="s">
        <v>503</v>
      </c>
      <c r="D65" t="s">
        <v>504</v>
      </c>
      <c r="E65" s="8">
        <v>46073</v>
      </c>
      <c r="F65">
        <v>7</v>
      </c>
      <c r="G65">
        <v>2912.7</v>
      </c>
      <c r="H65">
        <v>82911</v>
      </c>
      <c r="I65">
        <v>20388.900000000001</v>
      </c>
      <c r="J65">
        <v>62522.1</v>
      </c>
      <c r="K65" t="s">
        <v>1635</v>
      </c>
      <c r="L65">
        <v>2912.7</v>
      </c>
      <c r="M65" t="s">
        <v>1635</v>
      </c>
      <c r="N65">
        <v>0</v>
      </c>
    </row>
    <row r="66" spans="1:14">
      <c r="A66">
        <v>1</v>
      </c>
      <c r="B66" t="s">
        <v>15</v>
      </c>
      <c r="C66" t="s">
        <v>550</v>
      </c>
      <c r="D66" t="s">
        <v>551</v>
      </c>
      <c r="E66" s="8">
        <v>46059</v>
      </c>
      <c r="F66">
        <v>7</v>
      </c>
      <c r="G66">
        <v>1178</v>
      </c>
      <c r="H66">
        <v>20715</v>
      </c>
      <c r="I66">
        <v>8246</v>
      </c>
      <c r="J66">
        <v>12469</v>
      </c>
      <c r="K66" t="s">
        <v>1635</v>
      </c>
      <c r="L66">
        <v>1178</v>
      </c>
      <c r="M66" t="s">
        <v>1635</v>
      </c>
      <c r="N66">
        <v>0</v>
      </c>
    </row>
    <row r="67" spans="1:14">
      <c r="A67">
        <v>1</v>
      </c>
      <c r="B67" t="s">
        <v>15</v>
      </c>
      <c r="C67" t="s">
        <v>552</v>
      </c>
      <c r="D67" t="s">
        <v>553</v>
      </c>
      <c r="E67" s="8">
        <v>46059</v>
      </c>
      <c r="F67">
        <v>7</v>
      </c>
      <c r="G67">
        <v>1428</v>
      </c>
      <c r="H67">
        <v>25490</v>
      </c>
      <c r="I67">
        <v>10164</v>
      </c>
      <c r="J67">
        <v>15326</v>
      </c>
      <c r="K67" t="s">
        <v>1635</v>
      </c>
      <c r="L67">
        <v>1428</v>
      </c>
      <c r="M67" t="s">
        <v>1635</v>
      </c>
      <c r="N67">
        <v>0</v>
      </c>
    </row>
    <row r="68" spans="1:14">
      <c r="A68">
        <v>1</v>
      </c>
      <c r="B68" t="s">
        <v>15</v>
      </c>
      <c r="C68" t="s">
        <v>556</v>
      </c>
      <c r="D68" t="s">
        <v>557</v>
      </c>
      <c r="E68" s="8">
        <v>46059</v>
      </c>
      <c r="F68">
        <v>7</v>
      </c>
      <c r="G68">
        <v>3050</v>
      </c>
      <c r="H68">
        <v>91016</v>
      </c>
      <c r="I68">
        <v>20300</v>
      </c>
      <c r="J68">
        <v>70716</v>
      </c>
      <c r="K68" t="s">
        <v>1635</v>
      </c>
      <c r="L68">
        <v>3050</v>
      </c>
      <c r="M68" t="s">
        <v>1635</v>
      </c>
      <c r="N68">
        <v>0</v>
      </c>
    </row>
    <row r="69" spans="1:14">
      <c r="A69">
        <v>1</v>
      </c>
      <c r="B69" t="s">
        <v>15</v>
      </c>
      <c r="C69" t="s">
        <v>562</v>
      </c>
      <c r="D69" t="s">
        <v>563</v>
      </c>
      <c r="E69" s="8">
        <v>46059</v>
      </c>
      <c r="F69">
        <v>7</v>
      </c>
      <c r="G69">
        <v>2250</v>
      </c>
      <c r="H69">
        <v>119770</v>
      </c>
      <c r="I69">
        <v>24615</v>
      </c>
      <c r="J69">
        <v>95155</v>
      </c>
      <c r="K69" t="s">
        <v>1635</v>
      </c>
      <c r="L69">
        <v>2250</v>
      </c>
      <c r="M69" t="s">
        <v>1635</v>
      </c>
      <c r="N69">
        <v>0</v>
      </c>
    </row>
    <row r="70" spans="1:14">
      <c r="A70">
        <v>1</v>
      </c>
      <c r="B70" t="s">
        <v>15</v>
      </c>
      <c r="C70" t="s">
        <v>573</v>
      </c>
      <c r="D70" t="s">
        <v>574</v>
      </c>
      <c r="E70" s="8">
        <v>46073</v>
      </c>
      <c r="F70">
        <v>7</v>
      </c>
      <c r="G70">
        <v>1380</v>
      </c>
      <c r="H70">
        <v>25912</v>
      </c>
      <c r="I70">
        <v>9660</v>
      </c>
      <c r="J70">
        <v>16252</v>
      </c>
      <c r="K70" t="s">
        <v>1635</v>
      </c>
      <c r="L70">
        <v>1380</v>
      </c>
      <c r="M70" t="s">
        <v>1635</v>
      </c>
      <c r="N70">
        <v>0</v>
      </c>
    </row>
    <row r="71" spans="1:14">
      <c r="A71">
        <v>1</v>
      </c>
      <c r="B71" t="s">
        <v>15</v>
      </c>
      <c r="C71" t="s">
        <v>575</v>
      </c>
      <c r="D71" t="s">
        <v>576</v>
      </c>
      <c r="E71" s="8">
        <v>46073</v>
      </c>
      <c r="F71">
        <v>7</v>
      </c>
      <c r="G71">
        <v>2475</v>
      </c>
      <c r="H71">
        <v>78888</v>
      </c>
      <c r="I71">
        <v>16650</v>
      </c>
      <c r="J71">
        <v>62238</v>
      </c>
      <c r="K71" t="s">
        <v>1635</v>
      </c>
      <c r="L71">
        <v>2475</v>
      </c>
      <c r="M71" t="s">
        <v>1635</v>
      </c>
      <c r="N71">
        <v>0</v>
      </c>
    </row>
    <row r="72" spans="1:14">
      <c r="A72">
        <v>1</v>
      </c>
      <c r="B72" t="s">
        <v>15</v>
      </c>
      <c r="C72" t="s">
        <v>604</v>
      </c>
      <c r="D72" t="s">
        <v>605</v>
      </c>
      <c r="E72" s="8">
        <v>46059</v>
      </c>
      <c r="F72">
        <v>7</v>
      </c>
      <c r="G72">
        <v>1380</v>
      </c>
      <c r="H72">
        <v>26555</v>
      </c>
      <c r="I72">
        <v>9660</v>
      </c>
      <c r="J72">
        <v>16895</v>
      </c>
      <c r="K72" t="s">
        <v>1635</v>
      </c>
      <c r="L72">
        <v>1380</v>
      </c>
      <c r="M72" t="s">
        <v>1635</v>
      </c>
      <c r="N72">
        <v>0</v>
      </c>
    </row>
    <row r="73" spans="1:14">
      <c r="A73">
        <v>1</v>
      </c>
      <c r="B73" t="s">
        <v>15</v>
      </c>
      <c r="C73" t="s">
        <v>607</v>
      </c>
      <c r="D73" t="s">
        <v>608</v>
      </c>
      <c r="E73" s="8">
        <v>46073</v>
      </c>
      <c r="F73">
        <v>7</v>
      </c>
      <c r="G73">
        <v>3024</v>
      </c>
      <c r="H73">
        <v>97745</v>
      </c>
      <c r="I73">
        <v>20374</v>
      </c>
      <c r="J73">
        <v>77371</v>
      </c>
      <c r="K73" t="s">
        <v>1635</v>
      </c>
      <c r="L73">
        <v>3024</v>
      </c>
      <c r="M73" t="s">
        <v>1635</v>
      </c>
      <c r="N73">
        <v>0</v>
      </c>
    </row>
    <row r="74" spans="1:14">
      <c r="A74">
        <v>1</v>
      </c>
      <c r="B74" t="s">
        <v>15</v>
      </c>
      <c r="C74" t="s">
        <v>617</v>
      </c>
      <c r="D74" t="s">
        <v>618</v>
      </c>
      <c r="E74" s="8">
        <v>46073</v>
      </c>
      <c r="F74">
        <v>7</v>
      </c>
      <c r="G74">
        <v>2470</v>
      </c>
      <c r="H74">
        <v>73000</v>
      </c>
      <c r="I74">
        <v>17290</v>
      </c>
      <c r="J74">
        <v>55710</v>
      </c>
      <c r="K74" t="s">
        <v>1635</v>
      </c>
      <c r="L74">
        <v>2470</v>
      </c>
      <c r="M74" t="s">
        <v>1635</v>
      </c>
      <c r="N74">
        <v>0</v>
      </c>
    </row>
    <row r="75" spans="1:14">
      <c r="A75">
        <v>1</v>
      </c>
      <c r="B75" t="s">
        <v>15</v>
      </c>
      <c r="C75" t="s">
        <v>649</v>
      </c>
      <c r="D75" t="s">
        <v>650</v>
      </c>
      <c r="E75" s="8">
        <v>46073</v>
      </c>
      <c r="F75">
        <v>7</v>
      </c>
      <c r="G75">
        <v>3672</v>
      </c>
      <c r="H75">
        <v>106000</v>
      </c>
      <c r="I75">
        <v>24292</v>
      </c>
      <c r="J75">
        <v>81708</v>
      </c>
      <c r="K75" t="s">
        <v>1635</v>
      </c>
      <c r="L75">
        <v>3672</v>
      </c>
      <c r="M75" t="s">
        <v>1635</v>
      </c>
      <c r="N75">
        <v>0</v>
      </c>
    </row>
    <row r="76" spans="1:14">
      <c r="A76">
        <v>1</v>
      </c>
      <c r="B76" t="s">
        <v>15</v>
      </c>
      <c r="C76" t="s">
        <v>653</v>
      </c>
      <c r="D76" t="s">
        <v>654</v>
      </c>
      <c r="E76" s="8">
        <v>46059</v>
      </c>
      <c r="F76">
        <v>7</v>
      </c>
      <c r="G76">
        <v>2756</v>
      </c>
      <c r="H76">
        <v>82697</v>
      </c>
      <c r="I76">
        <v>18616</v>
      </c>
      <c r="J76">
        <v>64081</v>
      </c>
      <c r="K76" t="s">
        <v>1635</v>
      </c>
      <c r="L76">
        <v>2756</v>
      </c>
      <c r="M76" t="s">
        <v>1635</v>
      </c>
      <c r="N76">
        <v>0</v>
      </c>
    </row>
    <row r="77" spans="1:14">
      <c r="A77">
        <v>1</v>
      </c>
      <c r="B77" t="s">
        <v>15</v>
      </c>
      <c r="C77" t="s">
        <v>686</v>
      </c>
      <c r="D77" t="s">
        <v>687</v>
      </c>
      <c r="E77" s="8">
        <v>46059</v>
      </c>
      <c r="F77">
        <v>7</v>
      </c>
      <c r="G77">
        <v>1488</v>
      </c>
      <c r="H77">
        <v>26555</v>
      </c>
      <c r="I77">
        <v>10416</v>
      </c>
      <c r="J77">
        <v>16139</v>
      </c>
      <c r="K77" t="s">
        <v>1635</v>
      </c>
      <c r="L77">
        <v>1488</v>
      </c>
      <c r="M77" t="s">
        <v>1635</v>
      </c>
      <c r="N77">
        <v>0</v>
      </c>
    </row>
    <row r="78" spans="1:14">
      <c r="A78">
        <v>1</v>
      </c>
      <c r="B78" t="s">
        <v>15</v>
      </c>
      <c r="C78" t="s">
        <v>688</v>
      </c>
      <c r="D78" t="s">
        <v>689</v>
      </c>
      <c r="E78" s="8">
        <v>46066</v>
      </c>
      <c r="F78">
        <v>7</v>
      </c>
      <c r="G78">
        <v>2937</v>
      </c>
      <c r="H78">
        <v>88800</v>
      </c>
      <c r="I78">
        <v>18942</v>
      </c>
      <c r="J78">
        <v>69858</v>
      </c>
      <c r="K78" t="s">
        <v>1635</v>
      </c>
      <c r="L78">
        <v>2937</v>
      </c>
      <c r="M78" t="s">
        <v>1635</v>
      </c>
      <c r="N78">
        <v>0</v>
      </c>
    </row>
    <row r="79" spans="1:14">
      <c r="A79">
        <v>1</v>
      </c>
      <c r="B79" t="s">
        <v>15</v>
      </c>
      <c r="C79" t="s">
        <v>692</v>
      </c>
      <c r="D79" t="s">
        <v>693</v>
      </c>
      <c r="E79" s="8">
        <v>46066</v>
      </c>
      <c r="F79">
        <v>7</v>
      </c>
      <c r="G79">
        <v>675</v>
      </c>
      <c r="H79">
        <v>16502</v>
      </c>
      <c r="I79">
        <v>4725</v>
      </c>
      <c r="J79">
        <v>11777</v>
      </c>
      <c r="K79" t="s">
        <v>1635</v>
      </c>
      <c r="L79">
        <v>675</v>
      </c>
      <c r="M79" t="s">
        <v>1635</v>
      </c>
      <c r="N79">
        <v>0</v>
      </c>
    </row>
    <row r="80" spans="1:14">
      <c r="A80">
        <v>1</v>
      </c>
      <c r="B80" t="s">
        <v>15</v>
      </c>
      <c r="C80" t="s">
        <v>698</v>
      </c>
      <c r="D80" t="s">
        <v>699</v>
      </c>
      <c r="E80" s="8">
        <v>46073</v>
      </c>
      <c r="F80">
        <v>7</v>
      </c>
      <c r="G80">
        <v>4380</v>
      </c>
      <c r="H80">
        <v>129825</v>
      </c>
      <c r="I80">
        <v>28680</v>
      </c>
      <c r="J80">
        <v>101145</v>
      </c>
      <c r="K80" t="s">
        <v>1635</v>
      </c>
      <c r="L80">
        <v>4380</v>
      </c>
      <c r="M80" t="s">
        <v>1635</v>
      </c>
      <c r="N80">
        <v>0</v>
      </c>
    </row>
    <row r="81" spans="1:14">
      <c r="A81">
        <v>1</v>
      </c>
      <c r="B81" t="s">
        <v>15</v>
      </c>
      <c r="C81" t="s">
        <v>700</v>
      </c>
      <c r="D81" t="s">
        <v>701</v>
      </c>
      <c r="E81" s="8">
        <v>46073</v>
      </c>
      <c r="F81">
        <v>7</v>
      </c>
      <c r="G81">
        <v>3870</v>
      </c>
      <c r="H81">
        <v>115000</v>
      </c>
      <c r="I81">
        <v>25020</v>
      </c>
      <c r="J81">
        <v>89980</v>
      </c>
      <c r="K81" t="s">
        <v>1635</v>
      </c>
      <c r="L81">
        <v>3870</v>
      </c>
      <c r="M81" t="s">
        <v>1635</v>
      </c>
      <c r="N81">
        <v>0</v>
      </c>
    </row>
    <row r="82" spans="1:14">
      <c r="A82">
        <v>1</v>
      </c>
      <c r="B82" t="s">
        <v>15</v>
      </c>
      <c r="C82" t="s">
        <v>702</v>
      </c>
      <c r="D82" t="s">
        <v>703</v>
      </c>
      <c r="E82" s="8">
        <v>46059</v>
      </c>
      <c r="F82">
        <v>7</v>
      </c>
      <c r="G82">
        <v>3486</v>
      </c>
      <c r="H82">
        <v>98800</v>
      </c>
      <c r="I82">
        <v>22696</v>
      </c>
      <c r="J82">
        <v>76104</v>
      </c>
      <c r="K82" t="s">
        <v>1635</v>
      </c>
      <c r="L82">
        <v>3486</v>
      </c>
      <c r="M82" t="s">
        <v>1635</v>
      </c>
      <c r="N82">
        <v>0</v>
      </c>
    </row>
    <row r="83" spans="1:14">
      <c r="A83">
        <v>1</v>
      </c>
      <c r="B83" t="s">
        <v>15</v>
      </c>
      <c r="C83" t="s">
        <v>709</v>
      </c>
      <c r="D83" t="s">
        <v>710</v>
      </c>
      <c r="E83" s="8">
        <v>46073</v>
      </c>
      <c r="F83">
        <v>7</v>
      </c>
      <c r="G83">
        <v>4500</v>
      </c>
      <c r="H83">
        <v>134461</v>
      </c>
      <c r="I83">
        <v>29000</v>
      </c>
      <c r="J83">
        <v>105461</v>
      </c>
      <c r="K83" t="s">
        <v>1635</v>
      </c>
      <c r="L83">
        <v>4500</v>
      </c>
      <c r="M83" t="s">
        <v>1635</v>
      </c>
      <c r="N83">
        <v>0</v>
      </c>
    </row>
    <row r="84" spans="1:14">
      <c r="A84">
        <v>1</v>
      </c>
      <c r="B84" t="s">
        <v>15</v>
      </c>
      <c r="C84" t="s">
        <v>711</v>
      </c>
      <c r="D84" t="s">
        <v>712</v>
      </c>
      <c r="E84" s="8">
        <v>46059</v>
      </c>
      <c r="F84">
        <v>7</v>
      </c>
      <c r="G84">
        <v>3432</v>
      </c>
      <c r="H84">
        <v>99877</v>
      </c>
      <c r="I84">
        <v>22452</v>
      </c>
      <c r="J84">
        <v>77425</v>
      </c>
      <c r="K84" t="s">
        <v>1635</v>
      </c>
      <c r="L84">
        <v>3432</v>
      </c>
      <c r="M84" t="s">
        <v>1635</v>
      </c>
      <c r="N84">
        <v>0</v>
      </c>
    </row>
    <row r="85" spans="1:14">
      <c r="A85">
        <v>1</v>
      </c>
      <c r="B85" t="s">
        <v>15</v>
      </c>
      <c r="C85" t="s">
        <v>713</v>
      </c>
      <c r="D85" t="s">
        <v>714</v>
      </c>
      <c r="E85" s="8">
        <v>46059</v>
      </c>
      <c r="F85">
        <v>7</v>
      </c>
      <c r="G85">
        <v>3564</v>
      </c>
      <c r="H85">
        <v>105000</v>
      </c>
      <c r="I85">
        <v>24074</v>
      </c>
      <c r="J85">
        <v>80926</v>
      </c>
      <c r="K85" t="s">
        <v>1635</v>
      </c>
      <c r="L85">
        <v>3564</v>
      </c>
      <c r="M85" t="s">
        <v>1635</v>
      </c>
      <c r="N85">
        <v>0</v>
      </c>
    </row>
    <row r="86" spans="1:14">
      <c r="A86">
        <v>1</v>
      </c>
      <c r="B86" t="s">
        <v>15</v>
      </c>
      <c r="C86" t="s">
        <v>715</v>
      </c>
      <c r="D86" t="s">
        <v>716</v>
      </c>
      <c r="E86" s="8">
        <v>46059</v>
      </c>
      <c r="F86">
        <v>7</v>
      </c>
      <c r="G86">
        <v>2925</v>
      </c>
      <c r="H86">
        <v>85000</v>
      </c>
      <c r="I86">
        <v>19400</v>
      </c>
      <c r="J86">
        <v>65600</v>
      </c>
      <c r="K86" t="s">
        <v>1635</v>
      </c>
      <c r="L86">
        <v>2925</v>
      </c>
      <c r="M86" t="s">
        <v>1635</v>
      </c>
      <c r="N86">
        <v>0</v>
      </c>
    </row>
    <row r="87" spans="1:14">
      <c r="A87">
        <v>1</v>
      </c>
      <c r="B87" t="s">
        <v>15</v>
      </c>
      <c r="C87" t="s">
        <v>717</v>
      </c>
      <c r="D87" t="s">
        <v>718</v>
      </c>
      <c r="E87" s="8">
        <v>46073</v>
      </c>
      <c r="F87">
        <v>7</v>
      </c>
      <c r="G87">
        <v>2380</v>
      </c>
      <c r="H87">
        <v>142410</v>
      </c>
      <c r="I87">
        <v>28505</v>
      </c>
      <c r="J87">
        <v>113905</v>
      </c>
      <c r="K87" t="s">
        <v>1635</v>
      </c>
      <c r="L87">
        <v>2380</v>
      </c>
      <c r="M87" t="s">
        <v>1635</v>
      </c>
      <c r="N87">
        <v>0</v>
      </c>
    </row>
    <row r="88" spans="1:14">
      <c r="A88">
        <v>1</v>
      </c>
      <c r="B88" t="s">
        <v>15</v>
      </c>
      <c r="C88" t="s">
        <v>719</v>
      </c>
      <c r="D88" t="s">
        <v>720</v>
      </c>
      <c r="E88" s="8">
        <v>46073</v>
      </c>
      <c r="F88">
        <v>7</v>
      </c>
      <c r="G88">
        <v>3800</v>
      </c>
      <c r="H88">
        <v>112151</v>
      </c>
      <c r="I88">
        <v>24850</v>
      </c>
      <c r="J88">
        <v>87301</v>
      </c>
      <c r="K88" t="s">
        <v>1635</v>
      </c>
      <c r="L88">
        <v>3800</v>
      </c>
      <c r="M88" t="s">
        <v>1635</v>
      </c>
      <c r="N88">
        <v>0</v>
      </c>
    </row>
    <row r="89" spans="1:14">
      <c r="A89">
        <v>1</v>
      </c>
      <c r="B89" t="s">
        <v>15</v>
      </c>
      <c r="C89" t="s">
        <v>723</v>
      </c>
      <c r="D89" t="s">
        <v>724</v>
      </c>
      <c r="E89" s="8">
        <v>46073</v>
      </c>
      <c r="F89">
        <v>7</v>
      </c>
      <c r="G89">
        <v>3465</v>
      </c>
      <c r="H89">
        <v>100000</v>
      </c>
      <c r="I89">
        <v>19981.5</v>
      </c>
      <c r="J89">
        <v>80018.5</v>
      </c>
      <c r="K89" t="s">
        <v>1635</v>
      </c>
      <c r="L89">
        <v>3465</v>
      </c>
      <c r="M89" t="s">
        <v>1635</v>
      </c>
      <c r="N89">
        <v>0</v>
      </c>
    </row>
    <row r="90" spans="1:14">
      <c r="A90">
        <v>1</v>
      </c>
      <c r="B90" t="s">
        <v>15</v>
      </c>
      <c r="C90" t="s">
        <v>725</v>
      </c>
      <c r="D90" t="s">
        <v>726</v>
      </c>
      <c r="E90" s="8">
        <v>46066</v>
      </c>
      <c r="F90">
        <v>7</v>
      </c>
      <c r="G90">
        <v>3531</v>
      </c>
      <c r="H90">
        <v>100000</v>
      </c>
      <c r="I90">
        <v>19920</v>
      </c>
      <c r="J90">
        <v>80080</v>
      </c>
      <c r="K90" t="s">
        <v>1635</v>
      </c>
      <c r="L90">
        <v>3531</v>
      </c>
      <c r="M90" t="s">
        <v>1635</v>
      </c>
      <c r="N90">
        <v>0</v>
      </c>
    </row>
    <row r="91" spans="1:14">
      <c r="A91">
        <v>1</v>
      </c>
      <c r="B91" t="s">
        <v>15</v>
      </c>
      <c r="C91" t="s">
        <v>727</v>
      </c>
      <c r="D91" t="s">
        <v>728</v>
      </c>
      <c r="E91" s="8">
        <v>46066</v>
      </c>
      <c r="F91">
        <v>7</v>
      </c>
      <c r="G91">
        <v>4316</v>
      </c>
      <c r="H91">
        <v>128253</v>
      </c>
      <c r="I91">
        <v>27976</v>
      </c>
      <c r="J91">
        <v>100277</v>
      </c>
      <c r="K91" t="s">
        <v>1635</v>
      </c>
      <c r="L91">
        <v>4316</v>
      </c>
      <c r="M91" t="s">
        <v>1635</v>
      </c>
      <c r="N91">
        <v>0</v>
      </c>
    </row>
    <row r="92" spans="1:14">
      <c r="A92">
        <v>1</v>
      </c>
      <c r="B92" t="s">
        <v>15</v>
      </c>
      <c r="C92" t="s">
        <v>729</v>
      </c>
      <c r="D92" t="s">
        <v>730</v>
      </c>
      <c r="E92" s="8">
        <v>46066</v>
      </c>
      <c r="F92">
        <v>7</v>
      </c>
      <c r="G92">
        <v>3168</v>
      </c>
      <c r="H92">
        <v>90580</v>
      </c>
      <c r="I92">
        <v>21028</v>
      </c>
      <c r="J92">
        <v>69552</v>
      </c>
      <c r="K92" t="s">
        <v>1635</v>
      </c>
      <c r="L92">
        <v>3168</v>
      </c>
      <c r="M92" t="s">
        <v>1635</v>
      </c>
      <c r="N92">
        <v>0</v>
      </c>
    </row>
    <row r="93" spans="1:14">
      <c r="A93">
        <v>1</v>
      </c>
      <c r="B93" t="s">
        <v>15</v>
      </c>
      <c r="C93" t="s">
        <v>731</v>
      </c>
      <c r="D93" t="s">
        <v>732</v>
      </c>
      <c r="E93" s="8">
        <v>46073</v>
      </c>
      <c r="F93">
        <v>7</v>
      </c>
      <c r="G93">
        <v>1750</v>
      </c>
      <c r="H93">
        <v>35714</v>
      </c>
      <c r="I93">
        <v>12250</v>
      </c>
      <c r="J93">
        <v>23464</v>
      </c>
      <c r="K93" t="s">
        <v>1635</v>
      </c>
      <c r="L93">
        <v>1750</v>
      </c>
      <c r="M93" t="s">
        <v>1635</v>
      </c>
      <c r="N93">
        <v>0</v>
      </c>
    </row>
    <row r="94" spans="1:14">
      <c r="A94">
        <v>1</v>
      </c>
      <c r="B94" t="s">
        <v>15</v>
      </c>
      <c r="C94" t="s">
        <v>733</v>
      </c>
      <c r="D94" t="s">
        <v>734</v>
      </c>
      <c r="E94" s="8">
        <v>46059</v>
      </c>
      <c r="F94">
        <v>7</v>
      </c>
      <c r="G94">
        <v>3465</v>
      </c>
      <c r="H94">
        <v>100000</v>
      </c>
      <c r="I94">
        <v>21125</v>
      </c>
      <c r="J94">
        <v>78875</v>
      </c>
      <c r="K94" t="s">
        <v>1635</v>
      </c>
      <c r="L94">
        <v>3465</v>
      </c>
      <c r="M94" t="s">
        <v>1635</v>
      </c>
      <c r="N94">
        <v>0</v>
      </c>
    </row>
    <row r="95" spans="1:14">
      <c r="A95">
        <v>1</v>
      </c>
      <c r="B95" t="s">
        <v>15</v>
      </c>
      <c r="C95" t="s">
        <v>735</v>
      </c>
      <c r="D95" t="s">
        <v>736</v>
      </c>
      <c r="E95" s="8">
        <v>46073</v>
      </c>
      <c r="F95">
        <v>7</v>
      </c>
      <c r="G95">
        <v>3465</v>
      </c>
      <c r="H95">
        <v>100000</v>
      </c>
      <c r="I95">
        <v>23015</v>
      </c>
      <c r="J95">
        <v>76985</v>
      </c>
      <c r="K95" t="s">
        <v>1635</v>
      </c>
      <c r="L95">
        <v>3465</v>
      </c>
      <c r="M95" t="s">
        <v>1635</v>
      </c>
      <c r="N95">
        <v>0</v>
      </c>
    </row>
    <row r="96" spans="1:14">
      <c r="A96">
        <v>1</v>
      </c>
      <c r="B96" t="s">
        <v>15</v>
      </c>
      <c r="C96" t="s">
        <v>737</v>
      </c>
      <c r="D96" t="s">
        <v>738</v>
      </c>
      <c r="E96" s="8">
        <v>46066</v>
      </c>
      <c r="F96">
        <v>7</v>
      </c>
      <c r="G96">
        <v>2745</v>
      </c>
      <c r="H96">
        <v>78544</v>
      </c>
      <c r="I96">
        <v>18370</v>
      </c>
      <c r="J96">
        <v>60174</v>
      </c>
      <c r="K96" t="s">
        <v>1635</v>
      </c>
      <c r="L96">
        <v>2745</v>
      </c>
      <c r="M96" t="s">
        <v>1635</v>
      </c>
      <c r="N96">
        <v>0</v>
      </c>
    </row>
    <row r="97" spans="1:14">
      <c r="A97">
        <v>1</v>
      </c>
      <c r="B97" t="s">
        <v>15</v>
      </c>
      <c r="C97" t="s">
        <v>739</v>
      </c>
      <c r="D97" t="s">
        <v>740</v>
      </c>
      <c r="E97" s="8">
        <v>46073</v>
      </c>
      <c r="F97">
        <v>7</v>
      </c>
      <c r="G97">
        <v>5076</v>
      </c>
      <c r="H97">
        <v>149690</v>
      </c>
      <c r="I97">
        <v>33301</v>
      </c>
      <c r="J97">
        <v>116389</v>
      </c>
      <c r="K97" t="s">
        <v>1635</v>
      </c>
      <c r="L97">
        <v>5076</v>
      </c>
      <c r="M97" t="s">
        <v>1635</v>
      </c>
      <c r="N97">
        <v>0</v>
      </c>
    </row>
    <row r="98" spans="1:14">
      <c r="A98">
        <v>1</v>
      </c>
      <c r="B98" t="s">
        <v>15</v>
      </c>
      <c r="C98" t="s">
        <v>741</v>
      </c>
      <c r="D98" t="s">
        <v>742</v>
      </c>
      <c r="E98" s="8">
        <v>46059</v>
      </c>
      <c r="F98">
        <v>7</v>
      </c>
      <c r="G98">
        <v>2982</v>
      </c>
      <c r="H98">
        <v>86000</v>
      </c>
      <c r="I98">
        <v>19672</v>
      </c>
      <c r="J98">
        <v>66328</v>
      </c>
      <c r="K98" t="s">
        <v>1635</v>
      </c>
      <c r="L98">
        <v>2982</v>
      </c>
      <c r="M98" t="s">
        <v>1635</v>
      </c>
      <c r="N98">
        <v>0</v>
      </c>
    </row>
    <row r="99" spans="1:14">
      <c r="A99">
        <v>1</v>
      </c>
      <c r="B99" t="s">
        <v>15</v>
      </c>
      <c r="C99" t="s">
        <v>743</v>
      </c>
      <c r="D99" t="s">
        <v>744</v>
      </c>
      <c r="E99" s="8">
        <v>46073</v>
      </c>
      <c r="F99">
        <v>7</v>
      </c>
      <c r="G99">
        <v>1575</v>
      </c>
      <c r="H99">
        <v>45000</v>
      </c>
      <c r="I99">
        <v>10785</v>
      </c>
      <c r="J99">
        <v>34215</v>
      </c>
      <c r="K99" t="s">
        <v>1635</v>
      </c>
      <c r="L99">
        <v>1575</v>
      </c>
      <c r="M99" t="s">
        <v>1635</v>
      </c>
      <c r="N99">
        <v>0</v>
      </c>
    </row>
    <row r="100" spans="1:14">
      <c r="A100">
        <v>1</v>
      </c>
      <c r="B100" t="s">
        <v>15</v>
      </c>
      <c r="C100" t="s">
        <v>745</v>
      </c>
      <c r="D100" t="s">
        <v>746</v>
      </c>
      <c r="E100" s="8">
        <v>46066</v>
      </c>
      <c r="F100">
        <v>7</v>
      </c>
      <c r="G100">
        <v>2760</v>
      </c>
      <c r="H100">
        <v>83500</v>
      </c>
      <c r="I100">
        <v>15400</v>
      </c>
      <c r="J100">
        <v>68100</v>
      </c>
      <c r="K100" t="s">
        <v>1635</v>
      </c>
      <c r="L100">
        <v>2760</v>
      </c>
      <c r="M100" t="s">
        <v>1635</v>
      </c>
      <c r="N100">
        <v>0</v>
      </c>
    </row>
    <row r="101" spans="1:14">
      <c r="A101">
        <v>1</v>
      </c>
      <c r="B101" t="s">
        <v>15</v>
      </c>
      <c r="C101" t="s">
        <v>749</v>
      </c>
      <c r="D101" t="s">
        <v>750</v>
      </c>
      <c r="E101" s="8">
        <v>46073</v>
      </c>
      <c r="F101">
        <v>7</v>
      </c>
      <c r="G101">
        <v>2760</v>
      </c>
      <c r="H101">
        <v>81657</v>
      </c>
      <c r="I101">
        <v>18450</v>
      </c>
      <c r="J101">
        <v>63207</v>
      </c>
      <c r="K101" t="s">
        <v>1635</v>
      </c>
      <c r="L101">
        <v>2760</v>
      </c>
      <c r="M101" t="s">
        <v>1635</v>
      </c>
      <c r="N101">
        <v>0</v>
      </c>
    </row>
    <row r="102" spans="1:14">
      <c r="A102">
        <v>1</v>
      </c>
      <c r="B102" t="s">
        <v>15</v>
      </c>
      <c r="C102" t="s">
        <v>751</v>
      </c>
      <c r="D102" t="s">
        <v>752</v>
      </c>
      <c r="E102" s="8">
        <v>46066</v>
      </c>
      <c r="F102">
        <v>7</v>
      </c>
      <c r="G102">
        <v>3285</v>
      </c>
      <c r="H102">
        <v>95000</v>
      </c>
      <c r="I102">
        <v>21610</v>
      </c>
      <c r="J102">
        <v>73390</v>
      </c>
      <c r="K102" t="s">
        <v>1635</v>
      </c>
      <c r="L102">
        <v>3285</v>
      </c>
      <c r="M102" t="s">
        <v>1635</v>
      </c>
      <c r="N102">
        <v>0</v>
      </c>
    </row>
    <row r="103" spans="1:14">
      <c r="A103">
        <v>1</v>
      </c>
      <c r="B103" t="s">
        <v>15</v>
      </c>
      <c r="C103" t="s">
        <v>757</v>
      </c>
      <c r="D103" t="s">
        <v>758</v>
      </c>
      <c r="E103" s="8">
        <v>46073</v>
      </c>
      <c r="F103">
        <v>7</v>
      </c>
      <c r="G103">
        <v>4980</v>
      </c>
      <c r="H103">
        <v>143403</v>
      </c>
      <c r="I103">
        <v>32380</v>
      </c>
      <c r="J103">
        <v>111023</v>
      </c>
      <c r="K103" t="s">
        <v>1635</v>
      </c>
      <c r="L103">
        <v>4980</v>
      </c>
      <c r="M103" t="s">
        <v>1635</v>
      </c>
      <c r="N103">
        <v>0</v>
      </c>
    </row>
    <row r="104" spans="1:14">
      <c r="A104">
        <v>1</v>
      </c>
      <c r="B104" t="s">
        <v>15</v>
      </c>
      <c r="C104" t="s">
        <v>769</v>
      </c>
      <c r="D104" t="s">
        <v>770</v>
      </c>
      <c r="E104" s="8">
        <v>46066</v>
      </c>
      <c r="F104">
        <v>7</v>
      </c>
      <c r="G104">
        <v>3420</v>
      </c>
      <c r="H104">
        <v>100900</v>
      </c>
      <c r="I104">
        <v>22090</v>
      </c>
      <c r="J104">
        <v>78810</v>
      </c>
      <c r="K104" t="s">
        <v>1635</v>
      </c>
      <c r="L104">
        <v>3420</v>
      </c>
      <c r="M104" t="s">
        <v>1635</v>
      </c>
      <c r="N104">
        <v>0</v>
      </c>
    </row>
    <row r="105" spans="1:14">
      <c r="A105">
        <v>1</v>
      </c>
      <c r="B105" t="s">
        <v>15</v>
      </c>
      <c r="C105" t="s">
        <v>771</v>
      </c>
      <c r="D105" t="s">
        <v>772</v>
      </c>
      <c r="E105" s="8">
        <v>46073</v>
      </c>
      <c r="F105">
        <v>7</v>
      </c>
      <c r="G105">
        <v>5325</v>
      </c>
      <c r="H105">
        <v>158407</v>
      </c>
      <c r="I105">
        <v>34950</v>
      </c>
      <c r="J105">
        <v>123457</v>
      </c>
      <c r="K105" t="s">
        <v>1635</v>
      </c>
      <c r="L105">
        <v>5325</v>
      </c>
      <c r="M105" t="s">
        <v>1635</v>
      </c>
      <c r="N105">
        <v>0</v>
      </c>
    </row>
    <row r="106" spans="1:14">
      <c r="A106">
        <v>1</v>
      </c>
      <c r="B106" t="s">
        <v>15</v>
      </c>
      <c r="C106" t="s">
        <v>774</v>
      </c>
      <c r="D106" t="s">
        <v>775</v>
      </c>
      <c r="E106" s="8">
        <v>46073</v>
      </c>
      <c r="F106">
        <v>7</v>
      </c>
      <c r="G106">
        <v>2664</v>
      </c>
      <c r="H106">
        <v>77000</v>
      </c>
      <c r="I106">
        <v>17514</v>
      </c>
      <c r="J106">
        <v>59486</v>
      </c>
      <c r="K106" t="s">
        <v>1635</v>
      </c>
      <c r="L106">
        <v>2664</v>
      </c>
      <c r="M106" t="s">
        <v>1635</v>
      </c>
      <c r="N106">
        <v>0</v>
      </c>
    </row>
    <row r="107" spans="1:14">
      <c r="A107">
        <v>1</v>
      </c>
      <c r="B107" t="s">
        <v>15</v>
      </c>
      <c r="C107" t="s">
        <v>776</v>
      </c>
      <c r="D107" t="s">
        <v>777</v>
      </c>
      <c r="E107" s="8">
        <v>46066</v>
      </c>
      <c r="F107">
        <v>7</v>
      </c>
      <c r="G107">
        <v>4422.6000000000004</v>
      </c>
      <c r="H107">
        <v>125989</v>
      </c>
      <c r="I107">
        <v>24427</v>
      </c>
      <c r="J107">
        <v>101562</v>
      </c>
      <c r="K107" t="s">
        <v>1635</v>
      </c>
      <c r="L107">
        <v>4422.6000000000004</v>
      </c>
      <c r="M107" t="s">
        <v>1635</v>
      </c>
      <c r="N107">
        <v>0</v>
      </c>
    </row>
    <row r="108" spans="1:14">
      <c r="A108">
        <v>1</v>
      </c>
      <c r="B108" t="s">
        <v>15</v>
      </c>
      <c r="C108" t="s">
        <v>780</v>
      </c>
      <c r="D108" t="s">
        <v>781</v>
      </c>
      <c r="E108" s="8">
        <v>46073</v>
      </c>
      <c r="F108">
        <v>7</v>
      </c>
      <c r="G108">
        <v>4500</v>
      </c>
      <c r="H108">
        <v>106935</v>
      </c>
      <c r="I108">
        <v>29100</v>
      </c>
      <c r="J108">
        <v>77835</v>
      </c>
      <c r="K108" t="s">
        <v>1635</v>
      </c>
      <c r="L108">
        <v>4500</v>
      </c>
      <c r="M108" t="s">
        <v>1635</v>
      </c>
      <c r="N108">
        <v>0</v>
      </c>
    </row>
    <row r="109" spans="1:14">
      <c r="A109">
        <v>1</v>
      </c>
      <c r="B109" t="s">
        <v>15</v>
      </c>
      <c r="C109" t="s">
        <v>784</v>
      </c>
      <c r="D109" t="s">
        <v>785</v>
      </c>
      <c r="E109" s="8">
        <v>46073</v>
      </c>
      <c r="F109">
        <v>7</v>
      </c>
      <c r="G109">
        <v>3953</v>
      </c>
      <c r="H109">
        <v>123000</v>
      </c>
      <c r="I109">
        <v>26398</v>
      </c>
      <c r="J109">
        <v>96602</v>
      </c>
      <c r="K109" t="s">
        <v>1635</v>
      </c>
      <c r="L109">
        <v>3953</v>
      </c>
      <c r="M109" t="s">
        <v>1635</v>
      </c>
      <c r="N109">
        <v>0</v>
      </c>
    </row>
    <row r="110" spans="1:14">
      <c r="A110">
        <v>1</v>
      </c>
      <c r="B110" t="s">
        <v>15</v>
      </c>
      <c r="C110" t="s">
        <v>794</v>
      </c>
      <c r="D110" t="s">
        <v>795</v>
      </c>
      <c r="E110" s="8">
        <v>46073</v>
      </c>
      <c r="F110">
        <v>7</v>
      </c>
      <c r="G110">
        <v>3024</v>
      </c>
      <c r="H110">
        <v>86288</v>
      </c>
      <c r="I110">
        <v>19924</v>
      </c>
      <c r="J110">
        <v>66364</v>
      </c>
      <c r="K110" t="s">
        <v>1635</v>
      </c>
      <c r="L110">
        <v>3024</v>
      </c>
      <c r="M110" t="s">
        <v>1635</v>
      </c>
      <c r="N110">
        <v>0</v>
      </c>
    </row>
    <row r="111" spans="1:14">
      <c r="A111">
        <v>1</v>
      </c>
      <c r="B111" t="s">
        <v>15</v>
      </c>
      <c r="C111" t="s">
        <v>796</v>
      </c>
      <c r="D111" t="s">
        <v>797</v>
      </c>
      <c r="E111" s="8">
        <v>46066</v>
      </c>
      <c r="F111">
        <v>7</v>
      </c>
      <c r="G111">
        <v>2808</v>
      </c>
      <c r="H111">
        <v>80000</v>
      </c>
      <c r="I111">
        <v>16220</v>
      </c>
      <c r="J111">
        <v>63780</v>
      </c>
      <c r="K111" t="s">
        <v>1635</v>
      </c>
      <c r="L111">
        <v>2808</v>
      </c>
      <c r="M111" t="s">
        <v>1635</v>
      </c>
      <c r="N111">
        <v>0</v>
      </c>
    </row>
    <row r="112" spans="1:14">
      <c r="A112">
        <v>1</v>
      </c>
      <c r="B112" t="s">
        <v>15</v>
      </c>
      <c r="C112" t="s">
        <v>798</v>
      </c>
      <c r="D112" t="s">
        <v>799</v>
      </c>
      <c r="E112" s="8">
        <v>46073</v>
      </c>
      <c r="F112">
        <v>7</v>
      </c>
      <c r="G112">
        <v>2205</v>
      </c>
      <c r="H112">
        <v>36744</v>
      </c>
      <c r="I112">
        <v>15435</v>
      </c>
      <c r="J112">
        <v>21309</v>
      </c>
      <c r="K112" t="s">
        <v>1635</v>
      </c>
      <c r="L112">
        <v>2205</v>
      </c>
      <c r="M112" t="s">
        <v>1635</v>
      </c>
      <c r="N112">
        <v>0</v>
      </c>
    </row>
    <row r="113" spans="1:14">
      <c r="A113">
        <v>1</v>
      </c>
      <c r="B113" t="s">
        <v>15</v>
      </c>
      <c r="C113" t="s">
        <v>802</v>
      </c>
      <c r="D113" t="s">
        <v>803</v>
      </c>
      <c r="E113" s="8">
        <v>46073</v>
      </c>
      <c r="F113">
        <v>7</v>
      </c>
      <c r="G113">
        <v>3402</v>
      </c>
      <c r="H113">
        <v>100146</v>
      </c>
      <c r="I113">
        <v>22982</v>
      </c>
      <c r="J113">
        <v>77164</v>
      </c>
      <c r="K113" t="s">
        <v>1635</v>
      </c>
      <c r="L113">
        <v>3402</v>
      </c>
      <c r="M113" t="s">
        <v>1635</v>
      </c>
      <c r="N113">
        <v>0</v>
      </c>
    </row>
    <row r="114" spans="1:14">
      <c r="A114">
        <v>1</v>
      </c>
      <c r="B114" t="s">
        <v>15</v>
      </c>
      <c r="C114" t="s">
        <v>806</v>
      </c>
      <c r="D114" t="s">
        <v>807</v>
      </c>
      <c r="E114" s="8">
        <v>46059</v>
      </c>
      <c r="F114">
        <v>7</v>
      </c>
      <c r="G114">
        <v>1050</v>
      </c>
      <c r="H114">
        <v>70000</v>
      </c>
      <c r="I114">
        <v>14300</v>
      </c>
      <c r="J114">
        <v>55700</v>
      </c>
      <c r="K114" t="s">
        <v>1635</v>
      </c>
      <c r="L114">
        <v>1050</v>
      </c>
      <c r="M114" t="s">
        <v>1635</v>
      </c>
      <c r="N114">
        <v>0</v>
      </c>
    </row>
    <row r="115" spans="1:14">
      <c r="A115">
        <v>1</v>
      </c>
      <c r="B115" t="s">
        <v>15</v>
      </c>
      <c r="C115" t="s">
        <v>814</v>
      </c>
      <c r="D115" t="s">
        <v>815</v>
      </c>
      <c r="E115" s="8">
        <v>46073</v>
      </c>
      <c r="F115">
        <v>7</v>
      </c>
      <c r="G115">
        <v>1520</v>
      </c>
      <c r="H115">
        <v>27939</v>
      </c>
      <c r="I115">
        <v>10640</v>
      </c>
      <c r="J115">
        <v>17299</v>
      </c>
      <c r="K115" t="s">
        <v>1635</v>
      </c>
      <c r="L115">
        <v>1520</v>
      </c>
      <c r="M115" t="s">
        <v>1635</v>
      </c>
      <c r="N115">
        <v>0</v>
      </c>
    </row>
    <row r="116" spans="1:14">
      <c r="A116">
        <v>1</v>
      </c>
      <c r="B116" t="s">
        <v>15</v>
      </c>
      <c r="C116" t="s">
        <v>816</v>
      </c>
      <c r="D116" t="s">
        <v>817</v>
      </c>
      <c r="E116" s="8">
        <v>46066</v>
      </c>
      <c r="F116">
        <v>7</v>
      </c>
      <c r="G116">
        <v>2254</v>
      </c>
      <c r="H116">
        <v>39074</v>
      </c>
      <c r="I116">
        <v>15414</v>
      </c>
      <c r="J116">
        <v>23660</v>
      </c>
      <c r="K116" t="s">
        <v>1635</v>
      </c>
      <c r="L116">
        <v>2254</v>
      </c>
      <c r="M116" t="s">
        <v>1635</v>
      </c>
      <c r="N116">
        <v>0</v>
      </c>
    </row>
    <row r="117" spans="1:14">
      <c r="A117">
        <v>1</v>
      </c>
      <c r="B117" t="s">
        <v>15</v>
      </c>
      <c r="C117" t="s">
        <v>820</v>
      </c>
      <c r="D117" t="s">
        <v>821</v>
      </c>
      <c r="E117" s="8">
        <v>46059</v>
      </c>
      <c r="F117">
        <v>7</v>
      </c>
      <c r="G117">
        <v>1920</v>
      </c>
      <c r="H117">
        <v>34750</v>
      </c>
      <c r="I117">
        <v>13440</v>
      </c>
      <c r="J117">
        <v>21310</v>
      </c>
      <c r="K117" t="s">
        <v>1635</v>
      </c>
      <c r="L117">
        <v>1920</v>
      </c>
      <c r="M117" t="s">
        <v>1635</v>
      </c>
      <c r="N117">
        <v>0</v>
      </c>
    </row>
    <row r="118" spans="1:14">
      <c r="A118">
        <v>1</v>
      </c>
      <c r="B118" t="s">
        <v>15</v>
      </c>
      <c r="C118" t="s">
        <v>822</v>
      </c>
      <c r="D118" t="s">
        <v>823</v>
      </c>
      <c r="E118" s="8">
        <v>46073</v>
      </c>
      <c r="F118">
        <v>7</v>
      </c>
      <c r="G118">
        <v>2546</v>
      </c>
      <c r="H118">
        <v>77000</v>
      </c>
      <c r="I118">
        <v>16796</v>
      </c>
      <c r="J118">
        <v>60204</v>
      </c>
      <c r="K118" t="s">
        <v>1635</v>
      </c>
      <c r="L118">
        <v>2546</v>
      </c>
      <c r="M118" t="s">
        <v>1635</v>
      </c>
      <c r="N118">
        <v>0</v>
      </c>
    </row>
    <row r="119" spans="1:14">
      <c r="A119">
        <v>1</v>
      </c>
      <c r="B119" t="s">
        <v>15</v>
      </c>
      <c r="C119" t="s">
        <v>824</v>
      </c>
      <c r="D119" t="s">
        <v>825</v>
      </c>
      <c r="E119" s="8">
        <v>46073</v>
      </c>
      <c r="F119">
        <v>7</v>
      </c>
      <c r="G119">
        <v>2596</v>
      </c>
      <c r="H119">
        <v>75265</v>
      </c>
      <c r="I119">
        <v>17386</v>
      </c>
      <c r="J119">
        <v>57879</v>
      </c>
      <c r="K119" t="s">
        <v>1635</v>
      </c>
      <c r="L119">
        <v>2596</v>
      </c>
      <c r="M119" t="s">
        <v>1635</v>
      </c>
      <c r="N119">
        <v>0</v>
      </c>
    </row>
    <row r="120" spans="1:14">
      <c r="A120">
        <v>1</v>
      </c>
      <c r="B120" t="s">
        <v>15</v>
      </c>
      <c r="C120" t="s">
        <v>42</v>
      </c>
      <c r="D120" t="s">
        <v>43</v>
      </c>
      <c r="E120" s="8">
        <v>46059</v>
      </c>
      <c r="F120">
        <v>8</v>
      </c>
      <c r="G120">
        <v>2000</v>
      </c>
      <c r="H120">
        <v>55000</v>
      </c>
      <c r="I120">
        <v>16000</v>
      </c>
      <c r="J120">
        <v>39000</v>
      </c>
      <c r="K120" t="s">
        <v>1635</v>
      </c>
      <c r="L120">
        <v>2000</v>
      </c>
      <c r="M120" t="s">
        <v>1635</v>
      </c>
      <c r="N120">
        <v>0</v>
      </c>
    </row>
    <row r="121" spans="1:14">
      <c r="A121">
        <v>1</v>
      </c>
      <c r="B121" t="s">
        <v>15</v>
      </c>
      <c r="C121" t="s">
        <v>63</v>
      </c>
      <c r="D121" t="s">
        <v>64</v>
      </c>
      <c r="E121" s="8">
        <v>46073</v>
      </c>
      <c r="F121">
        <v>8</v>
      </c>
      <c r="G121">
        <v>4200</v>
      </c>
      <c r="H121">
        <v>76400</v>
      </c>
      <c r="I121">
        <v>33600</v>
      </c>
      <c r="J121">
        <v>42800</v>
      </c>
      <c r="K121" t="s">
        <v>1635</v>
      </c>
      <c r="L121">
        <v>4200</v>
      </c>
      <c r="M121" t="s">
        <v>1635</v>
      </c>
      <c r="N121">
        <v>0</v>
      </c>
    </row>
    <row r="122" spans="1:14">
      <c r="A122">
        <v>1</v>
      </c>
      <c r="B122" t="s">
        <v>15</v>
      </c>
      <c r="C122" t="s">
        <v>67</v>
      </c>
      <c r="D122" t="s">
        <v>68</v>
      </c>
      <c r="E122" s="8">
        <v>46073</v>
      </c>
      <c r="F122">
        <v>8</v>
      </c>
      <c r="G122">
        <v>4089</v>
      </c>
      <c r="H122">
        <v>120631</v>
      </c>
      <c r="I122">
        <v>32712</v>
      </c>
      <c r="J122">
        <v>87919</v>
      </c>
      <c r="K122" t="s">
        <v>1635</v>
      </c>
      <c r="L122">
        <v>4089</v>
      </c>
      <c r="M122" t="s">
        <v>1635</v>
      </c>
      <c r="N122">
        <v>0</v>
      </c>
    </row>
    <row r="123" spans="1:14">
      <c r="A123">
        <v>1</v>
      </c>
      <c r="B123" t="s">
        <v>15</v>
      </c>
      <c r="C123" t="s">
        <v>73</v>
      </c>
      <c r="D123" t="s">
        <v>74</v>
      </c>
      <c r="E123" s="8">
        <v>46073</v>
      </c>
      <c r="F123">
        <v>8</v>
      </c>
      <c r="G123">
        <v>2400</v>
      </c>
      <c r="H123">
        <v>73000</v>
      </c>
      <c r="I123">
        <v>19200</v>
      </c>
      <c r="J123">
        <v>53800</v>
      </c>
      <c r="K123" t="s">
        <v>1635</v>
      </c>
      <c r="L123">
        <v>2400</v>
      </c>
      <c r="M123" t="s">
        <v>1635</v>
      </c>
      <c r="N123">
        <v>0</v>
      </c>
    </row>
    <row r="124" spans="1:14">
      <c r="A124">
        <v>1</v>
      </c>
      <c r="B124" t="s">
        <v>15</v>
      </c>
      <c r="C124" t="s">
        <v>81</v>
      </c>
      <c r="D124" t="s">
        <v>82</v>
      </c>
      <c r="E124" s="8">
        <v>46073</v>
      </c>
      <c r="F124">
        <v>8</v>
      </c>
      <c r="G124">
        <v>4732</v>
      </c>
      <c r="H124">
        <v>88947</v>
      </c>
      <c r="I124">
        <v>36429</v>
      </c>
      <c r="J124">
        <v>52518</v>
      </c>
      <c r="K124" t="s">
        <v>1635</v>
      </c>
      <c r="L124">
        <v>4732</v>
      </c>
      <c r="M124" t="s">
        <v>1635</v>
      </c>
      <c r="N124">
        <v>0</v>
      </c>
    </row>
    <row r="125" spans="1:14">
      <c r="A125">
        <v>1</v>
      </c>
      <c r="B125" t="s">
        <v>15</v>
      </c>
      <c r="C125" t="s">
        <v>83</v>
      </c>
      <c r="D125" t="s">
        <v>84</v>
      </c>
      <c r="E125" s="8">
        <v>46066</v>
      </c>
      <c r="F125">
        <v>8</v>
      </c>
      <c r="G125">
        <v>2970</v>
      </c>
      <c r="H125">
        <v>92789</v>
      </c>
      <c r="I125">
        <v>23760</v>
      </c>
      <c r="J125">
        <v>69029</v>
      </c>
      <c r="K125" t="s">
        <v>1635</v>
      </c>
      <c r="L125">
        <v>2970</v>
      </c>
      <c r="M125" t="s">
        <v>1635</v>
      </c>
      <c r="N125">
        <v>0</v>
      </c>
    </row>
    <row r="126" spans="1:14">
      <c r="A126">
        <v>1</v>
      </c>
      <c r="B126" t="s">
        <v>15</v>
      </c>
      <c r="C126" t="s">
        <v>87</v>
      </c>
      <c r="D126" t="s">
        <v>88</v>
      </c>
      <c r="E126" s="8">
        <v>46059</v>
      </c>
      <c r="F126">
        <v>8</v>
      </c>
      <c r="G126">
        <v>2464</v>
      </c>
      <c r="H126">
        <v>76000</v>
      </c>
      <c r="I126">
        <v>19712</v>
      </c>
      <c r="J126">
        <v>56288</v>
      </c>
      <c r="K126" t="s">
        <v>1635</v>
      </c>
      <c r="L126">
        <v>2464</v>
      </c>
      <c r="M126" t="s">
        <v>1635</v>
      </c>
      <c r="N126">
        <v>0</v>
      </c>
    </row>
    <row r="127" spans="1:14">
      <c r="A127">
        <v>1</v>
      </c>
      <c r="B127" t="s">
        <v>15</v>
      </c>
      <c r="C127" t="s">
        <v>89</v>
      </c>
      <c r="D127" t="s">
        <v>90</v>
      </c>
      <c r="E127" s="8">
        <v>46066</v>
      </c>
      <c r="F127">
        <v>8</v>
      </c>
      <c r="G127">
        <v>2900</v>
      </c>
      <c r="H127">
        <v>86585</v>
      </c>
      <c r="I127">
        <v>23200</v>
      </c>
      <c r="J127">
        <v>63385</v>
      </c>
      <c r="K127" t="s">
        <v>1635</v>
      </c>
      <c r="L127">
        <v>2900</v>
      </c>
      <c r="M127" t="s">
        <v>1635</v>
      </c>
      <c r="N127">
        <v>0</v>
      </c>
    </row>
    <row r="128" spans="1:14">
      <c r="A128">
        <v>1</v>
      </c>
      <c r="B128" t="s">
        <v>15</v>
      </c>
      <c r="C128" t="s">
        <v>104</v>
      </c>
      <c r="D128" t="s">
        <v>105</v>
      </c>
      <c r="E128" s="8">
        <v>46059</v>
      </c>
      <c r="F128">
        <v>8</v>
      </c>
      <c r="G128">
        <v>4150</v>
      </c>
      <c r="H128">
        <v>75285</v>
      </c>
      <c r="I128">
        <v>33200</v>
      </c>
      <c r="J128">
        <v>42085</v>
      </c>
      <c r="K128" t="s">
        <v>1635</v>
      </c>
      <c r="L128">
        <v>4150</v>
      </c>
      <c r="M128" t="s">
        <v>1635</v>
      </c>
      <c r="N128">
        <v>0</v>
      </c>
    </row>
    <row r="129" spans="1:14">
      <c r="A129">
        <v>1</v>
      </c>
      <c r="B129" t="s">
        <v>15</v>
      </c>
      <c r="C129" t="s">
        <v>111</v>
      </c>
      <c r="D129" t="s">
        <v>112</v>
      </c>
      <c r="E129" s="8">
        <v>46059</v>
      </c>
      <c r="F129">
        <v>8</v>
      </c>
      <c r="G129">
        <v>2210</v>
      </c>
      <c r="H129">
        <v>78900</v>
      </c>
      <c r="I129">
        <v>17680</v>
      </c>
      <c r="J129">
        <v>61220</v>
      </c>
      <c r="K129" t="s">
        <v>1635</v>
      </c>
      <c r="L129">
        <v>2210</v>
      </c>
      <c r="M129" t="s">
        <v>1635</v>
      </c>
      <c r="N129">
        <v>0</v>
      </c>
    </row>
    <row r="130" spans="1:14">
      <c r="A130">
        <v>1</v>
      </c>
      <c r="B130" t="s">
        <v>15</v>
      </c>
      <c r="C130" t="s">
        <v>117</v>
      </c>
      <c r="D130" t="s">
        <v>118</v>
      </c>
      <c r="E130" s="8">
        <v>46066</v>
      </c>
      <c r="F130">
        <v>8</v>
      </c>
      <c r="G130">
        <v>2520</v>
      </c>
      <c r="H130">
        <v>73000</v>
      </c>
      <c r="I130">
        <v>20160</v>
      </c>
      <c r="J130">
        <v>52840</v>
      </c>
      <c r="K130" t="s">
        <v>1635</v>
      </c>
      <c r="L130">
        <v>2520</v>
      </c>
      <c r="M130" t="s">
        <v>1635</v>
      </c>
      <c r="N130">
        <v>0</v>
      </c>
    </row>
    <row r="131" spans="1:14">
      <c r="A131">
        <v>1</v>
      </c>
      <c r="B131" t="s">
        <v>15</v>
      </c>
      <c r="C131" t="s">
        <v>127</v>
      </c>
      <c r="D131" t="s">
        <v>128</v>
      </c>
      <c r="E131" s="8">
        <v>46059</v>
      </c>
      <c r="F131">
        <v>8</v>
      </c>
      <c r="G131">
        <v>3000</v>
      </c>
      <c r="H131">
        <v>89318</v>
      </c>
      <c r="I131">
        <v>23750</v>
      </c>
      <c r="J131">
        <v>65568</v>
      </c>
      <c r="K131" t="s">
        <v>1635</v>
      </c>
      <c r="L131">
        <v>3000</v>
      </c>
      <c r="M131" t="s">
        <v>1635</v>
      </c>
      <c r="N131">
        <v>0</v>
      </c>
    </row>
    <row r="132" spans="1:14">
      <c r="A132">
        <v>1</v>
      </c>
      <c r="B132" t="s">
        <v>15</v>
      </c>
      <c r="C132" t="s">
        <v>137</v>
      </c>
      <c r="D132" t="s">
        <v>138</v>
      </c>
      <c r="E132" s="8">
        <v>46059</v>
      </c>
      <c r="F132">
        <v>8</v>
      </c>
      <c r="G132">
        <v>4664</v>
      </c>
      <c r="H132">
        <v>140559</v>
      </c>
      <c r="I132">
        <v>36168</v>
      </c>
      <c r="J132">
        <v>104391</v>
      </c>
      <c r="K132" t="s">
        <v>1635</v>
      </c>
      <c r="L132">
        <v>4664</v>
      </c>
      <c r="M132" t="s">
        <v>1635</v>
      </c>
      <c r="N132">
        <v>0</v>
      </c>
    </row>
    <row r="133" spans="1:14">
      <c r="A133">
        <v>1</v>
      </c>
      <c r="B133" t="s">
        <v>15</v>
      </c>
      <c r="C133" t="s">
        <v>139</v>
      </c>
      <c r="D133" t="s">
        <v>140</v>
      </c>
      <c r="E133" s="8">
        <v>46059</v>
      </c>
      <c r="F133">
        <v>8</v>
      </c>
      <c r="G133">
        <v>5382</v>
      </c>
      <c r="H133">
        <v>98888</v>
      </c>
      <c r="I133">
        <v>40534</v>
      </c>
      <c r="J133">
        <v>58354</v>
      </c>
      <c r="K133" t="s">
        <v>1635</v>
      </c>
      <c r="L133">
        <v>5382</v>
      </c>
      <c r="M133" t="s">
        <v>1635</v>
      </c>
      <c r="N133">
        <v>0</v>
      </c>
    </row>
    <row r="134" spans="1:14">
      <c r="A134">
        <v>1</v>
      </c>
      <c r="B134" t="s">
        <v>15</v>
      </c>
      <c r="C134" t="s">
        <v>141</v>
      </c>
      <c r="D134" t="s">
        <v>142</v>
      </c>
      <c r="E134" s="8">
        <v>46059</v>
      </c>
      <c r="F134">
        <v>8</v>
      </c>
      <c r="G134">
        <v>5382</v>
      </c>
      <c r="H134">
        <v>98888</v>
      </c>
      <c r="I134">
        <v>40534</v>
      </c>
      <c r="J134">
        <v>58354</v>
      </c>
      <c r="K134" t="s">
        <v>1635</v>
      </c>
      <c r="L134">
        <v>5382</v>
      </c>
      <c r="M134" t="s">
        <v>1635</v>
      </c>
      <c r="N134">
        <v>0</v>
      </c>
    </row>
    <row r="135" spans="1:14">
      <c r="A135">
        <v>1</v>
      </c>
      <c r="B135" t="s">
        <v>15</v>
      </c>
      <c r="C135" t="s">
        <v>143</v>
      </c>
      <c r="D135" t="s">
        <v>144</v>
      </c>
      <c r="E135" s="8">
        <v>46059</v>
      </c>
      <c r="F135">
        <v>8</v>
      </c>
      <c r="G135">
        <v>5704</v>
      </c>
      <c r="H135">
        <v>108000</v>
      </c>
      <c r="I135">
        <v>43304.67</v>
      </c>
      <c r="J135">
        <v>64695.33</v>
      </c>
      <c r="K135" t="s">
        <v>1635</v>
      </c>
      <c r="L135">
        <v>5704</v>
      </c>
      <c r="M135" t="s">
        <v>1635</v>
      </c>
      <c r="N135">
        <v>0</v>
      </c>
    </row>
    <row r="136" spans="1:14">
      <c r="A136">
        <v>1</v>
      </c>
      <c r="B136" t="s">
        <v>15</v>
      </c>
      <c r="C136" t="s">
        <v>151</v>
      </c>
      <c r="D136" t="s">
        <v>152</v>
      </c>
      <c r="E136" s="8">
        <v>46059</v>
      </c>
      <c r="F136">
        <v>8</v>
      </c>
      <c r="G136">
        <v>4352</v>
      </c>
      <c r="H136">
        <v>79477</v>
      </c>
      <c r="I136">
        <v>30742</v>
      </c>
      <c r="J136">
        <v>48735</v>
      </c>
      <c r="K136" t="s">
        <v>1635</v>
      </c>
      <c r="L136">
        <v>4352</v>
      </c>
      <c r="M136" t="s">
        <v>1635</v>
      </c>
      <c r="N136">
        <v>0</v>
      </c>
    </row>
    <row r="137" spans="1:14">
      <c r="A137">
        <v>1</v>
      </c>
      <c r="B137" t="s">
        <v>15</v>
      </c>
      <c r="C137" t="s">
        <v>155</v>
      </c>
      <c r="D137" t="s">
        <v>156</v>
      </c>
      <c r="E137" s="8">
        <v>46073</v>
      </c>
      <c r="F137">
        <v>8</v>
      </c>
      <c r="G137">
        <v>5520</v>
      </c>
      <c r="H137">
        <v>170000</v>
      </c>
      <c r="I137">
        <v>43600</v>
      </c>
      <c r="J137">
        <v>126400</v>
      </c>
      <c r="K137" t="s">
        <v>1635</v>
      </c>
      <c r="L137">
        <v>5520</v>
      </c>
      <c r="M137" t="s">
        <v>1635</v>
      </c>
      <c r="N137">
        <v>0</v>
      </c>
    </row>
    <row r="138" spans="1:14">
      <c r="A138">
        <v>1</v>
      </c>
      <c r="B138" t="s">
        <v>15</v>
      </c>
      <c r="C138" t="s">
        <v>157</v>
      </c>
      <c r="D138" t="s">
        <v>158</v>
      </c>
      <c r="E138" s="8">
        <v>46059</v>
      </c>
      <c r="F138">
        <v>8</v>
      </c>
      <c r="G138">
        <v>2970</v>
      </c>
      <c r="H138">
        <v>89244</v>
      </c>
      <c r="I138">
        <v>23760</v>
      </c>
      <c r="J138">
        <v>65484</v>
      </c>
      <c r="K138" t="s">
        <v>1635</v>
      </c>
      <c r="L138">
        <v>2970</v>
      </c>
      <c r="M138" t="s">
        <v>1635</v>
      </c>
      <c r="N138">
        <v>0</v>
      </c>
    </row>
    <row r="139" spans="1:14">
      <c r="A139">
        <v>1</v>
      </c>
      <c r="B139" t="s">
        <v>15</v>
      </c>
      <c r="C139" t="s">
        <v>159</v>
      </c>
      <c r="D139" t="s">
        <v>160</v>
      </c>
      <c r="E139" s="8">
        <v>46073</v>
      </c>
      <c r="F139">
        <v>8</v>
      </c>
      <c r="G139">
        <v>5428</v>
      </c>
      <c r="H139">
        <v>100000</v>
      </c>
      <c r="I139">
        <v>42419.33</v>
      </c>
      <c r="J139">
        <v>57580.67</v>
      </c>
      <c r="K139" t="s">
        <v>1635</v>
      </c>
      <c r="L139">
        <v>5428</v>
      </c>
      <c r="M139" t="s">
        <v>1635</v>
      </c>
      <c r="N139">
        <v>0</v>
      </c>
    </row>
    <row r="140" spans="1:14">
      <c r="A140">
        <v>1</v>
      </c>
      <c r="B140" t="s">
        <v>15</v>
      </c>
      <c r="C140" t="s">
        <v>167</v>
      </c>
      <c r="D140" t="s">
        <v>168</v>
      </c>
      <c r="E140" s="8">
        <v>46066</v>
      </c>
      <c r="F140">
        <v>8</v>
      </c>
      <c r="G140">
        <v>4536</v>
      </c>
      <c r="H140">
        <v>86485</v>
      </c>
      <c r="I140">
        <v>34362</v>
      </c>
      <c r="J140">
        <v>52123</v>
      </c>
      <c r="K140" t="s">
        <v>1635</v>
      </c>
      <c r="L140">
        <v>4536</v>
      </c>
      <c r="M140" t="s">
        <v>1635</v>
      </c>
      <c r="N140">
        <v>0</v>
      </c>
    </row>
    <row r="141" spans="1:14">
      <c r="A141">
        <v>1</v>
      </c>
      <c r="B141" t="s">
        <v>15</v>
      </c>
      <c r="C141" t="s">
        <v>169</v>
      </c>
      <c r="D141" t="s">
        <v>170</v>
      </c>
      <c r="E141" s="8">
        <v>46066</v>
      </c>
      <c r="F141">
        <v>8</v>
      </c>
      <c r="G141">
        <v>2805</v>
      </c>
      <c r="H141">
        <v>83860</v>
      </c>
      <c r="I141">
        <v>22440</v>
      </c>
      <c r="J141">
        <v>61420</v>
      </c>
      <c r="K141" t="s">
        <v>1635</v>
      </c>
      <c r="L141">
        <v>2805</v>
      </c>
      <c r="M141" t="s">
        <v>1635</v>
      </c>
      <c r="N141">
        <v>0</v>
      </c>
    </row>
    <row r="142" spans="1:14">
      <c r="A142">
        <v>1</v>
      </c>
      <c r="B142" t="s">
        <v>15</v>
      </c>
      <c r="C142" t="s">
        <v>171</v>
      </c>
      <c r="D142" t="s">
        <v>172</v>
      </c>
      <c r="E142" s="8">
        <v>46059</v>
      </c>
      <c r="F142">
        <v>8</v>
      </c>
      <c r="G142">
        <v>5635</v>
      </c>
      <c r="H142">
        <v>169978</v>
      </c>
      <c r="I142">
        <v>43661.67</v>
      </c>
      <c r="J142">
        <v>126316.33</v>
      </c>
      <c r="K142" t="s">
        <v>1635</v>
      </c>
      <c r="L142">
        <v>5635</v>
      </c>
      <c r="M142" t="s">
        <v>1635</v>
      </c>
      <c r="N142">
        <v>0</v>
      </c>
    </row>
    <row r="143" spans="1:14">
      <c r="A143">
        <v>1</v>
      </c>
      <c r="B143" t="s">
        <v>15</v>
      </c>
      <c r="C143" t="s">
        <v>173</v>
      </c>
      <c r="D143" t="s">
        <v>174</v>
      </c>
      <c r="E143" s="8">
        <v>46059</v>
      </c>
      <c r="F143">
        <v>8</v>
      </c>
      <c r="G143">
        <v>3024</v>
      </c>
      <c r="H143">
        <v>94861</v>
      </c>
      <c r="I143">
        <v>22988</v>
      </c>
      <c r="J143">
        <v>71873</v>
      </c>
      <c r="K143" t="s">
        <v>1635</v>
      </c>
      <c r="L143">
        <v>3024</v>
      </c>
      <c r="M143" t="s">
        <v>1635</v>
      </c>
      <c r="N143">
        <v>0</v>
      </c>
    </row>
    <row r="144" spans="1:14">
      <c r="A144">
        <v>1</v>
      </c>
      <c r="B144" t="s">
        <v>15</v>
      </c>
      <c r="C144" t="s">
        <v>175</v>
      </c>
      <c r="D144" t="s">
        <v>176</v>
      </c>
      <c r="E144" s="8">
        <v>46073</v>
      </c>
      <c r="F144">
        <v>8</v>
      </c>
      <c r="G144">
        <v>2800</v>
      </c>
      <c r="H144">
        <v>84036</v>
      </c>
      <c r="I144">
        <v>21433.33</v>
      </c>
      <c r="J144">
        <v>62602.67</v>
      </c>
      <c r="K144" t="s">
        <v>1635</v>
      </c>
      <c r="L144">
        <v>2800</v>
      </c>
      <c r="M144" t="s">
        <v>1635</v>
      </c>
      <c r="N144">
        <v>0</v>
      </c>
    </row>
    <row r="145" spans="1:14">
      <c r="A145">
        <v>1</v>
      </c>
      <c r="B145" t="s">
        <v>15</v>
      </c>
      <c r="C145" t="s">
        <v>179</v>
      </c>
      <c r="D145" t="s">
        <v>180</v>
      </c>
      <c r="E145" s="8">
        <v>46066</v>
      </c>
      <c r="F145">
        <v>8</v>
      </c>
      <c r="G145">
        <v>3933</v>
      </c>
      <c r="H145">
        <v>125000</v>
      </c>
      <c r="I145">
        <v>29566</v>
      </c>
      <c r="J145">
        <v>95434</v>
      </c>
      <c r="K145" t="s">
        <v>1635</v>
      </c>
      <c r="L145">
        <v>3933</v>
      </c>
      <c r="M145" t="s">
        <v>1635</v>
      </c>
      <c r="N145">
        <v>0</v>
      </c>
    </row>
    <row r="146" spans="1:14">
      <c r="A146">
        <v>1</v>
      </c>
      <c r="B146" t="s">
        <v>15</v>
      </c>
      <c r="C146" t="s">
        <v>183</v>
      </c>
      <c r="D146" t="s">
        <v>184</v>
      </c>
      <c r="E146" s="8">
        <v>46066</v>
      </c>
      <c r="F146">
        <v>8</v>
      </c>
      <c r="G146">
        <v>2924</v>
      </c>
      <c r="H146">
        <v>87520</v>
      </c>
      <c r="I146">
        <v>23011.33</v>
      </c>
      <c r="J146">
        <v>64508.67</v>
      </c>
      <c r="K146" t="s">
        <v>1635</v>
      </c>
      <c r="L146">
        <v>2924</v>
      </c>
      <c r="M146" t="s">
        <v>1635</v>
      </c>
      <c r="N146">
        <v>0</v>
      </c>
    </row>
    <row r="147" spans="1:14">
      <c r="A147">
        <v>1</v>
      </c>
      <c r="B147" t="s">
        <v>15</v>
      </c>
      <c r="C147" t="s">
        <v>185</v>
      </c>
      <c r="D147" t="s">
        <v>186</v>
      </c>
      <c r="E147" s="8">
        <v>46059</v>
      </c>
      <c r="F147">
        <v>8</v>
      </c>
      <c r="G147">
        <v>5616</v>
      </c>
      <c r="H147">
        <v>106000</v>
      </c>
      <c r="I147">
        <v>43842</v>
      </c>
      <c r="J147">
        <v>62158</v>
      </c>
      <c r="K147" t="s">
        <v>1635</v>
      </c>
      <c r="L147">
        <v>5616</v>
      </c>
      <c r="M147" t="s">
        <v>1635</v>
      </c>
      <c r="N147">
        <v>0</v>
      </c>
    </row>
    <row r="148" spans="1:14">
      <c r="A148">
        <v>1</v>
      </c>
      <c r="B148" t="s">
        <v>15</v>
      </c>
      <c r="C148" t="s">
        <v>187</v>
      </c>
      <c r="D148" t="s">
        <v>188</v>
      </c>
      <c r="E148" s="8">
        <v>46059</v>
      </c>
      <c r="F148">
        <v>8</v>
      </c>
      <c r="G148">
        <v>2263</v>
      </c>
      <c r="H148">
        <v>73000</v>
      </c>
      <c r="I148">
        <v>15369</v>
      </c>
      <c r="J148">
        <v>57631</v>
      </c>
      <c r="K148" t="s">
        <v>1635</v>
      </c>
      <c r="L148">
        <v>2263</v>
      </c>
      <c r="M148" t="s">
        <v>1635</v>
      </c>
      <c r="N148">
        <v>0</v>
      </c>
    </row>
    <row r="149" spans="1:14">
      <c r="A149">
        <v>1</v>
      </c>
      <c r="B149" t="s">
        <v>15</v>
      </c>
      <c r="C149" t="s">
        <v>191</v>
      </c>
      <c r="D149" t="s">
        <v>192</v>
      </c>
      <c r="E149" s="8">
        <v>46073</v>
      </c>
      <c r="F149">
        <v>8</v>
      </c>
      <c r="G149">
        <v>3933</v>
      </c>
      <c r="H149">
        <v>74625</v>
      </c>
      <c r="I149">
        <v>31464</v>
      </c>
      <c r="J149">
        <v>43161</v>
      </c>
      <c r="K149" t="s">
        <v>1635</v>
      </c>
      <c r="L149">
        <v>3933</v>
      </c>
      <c r="M149" t="s">
        <v>1635</v>
      </c>
      <c r="N149">
        <v>0</v>
      </c>
    </row>
    <row r="150" spans="1:14">
      <c r="A150">
        <v>1</v>
      </c>
      <c r="B150" t="s">
        <v>15</v>
      </c>
      <c r="C150" t="s">
        <v>193</v>
      </c>
      <c r="D150" t="s">
        <v>194</v>
      </c>
      <c r="E150" s="8">
        <v>46073</v>
      </c>
      <c r="F150">
        <v>8</v>
      </c>
      <c r="G150">
        <v>4725</v>
      </c>
      <c r="H150">
        <v>88848</v>
      </c>
      <c r="I150">
        <v>35385</v>
      </c>
      <c r="J150">
        <v>53463</v>
      </c>
      <c r="K150" t="s">
        <v>1635</v>
      </c>
      <c r="L150">
        <v>4725</v>
      </c>
      <c r="M150" t="s">
        <v>1635</v>
      </c>
      <c r="N150">
        <v>0</v>
      </c>
    </row>
    <row r="151" spans="1:14">
      <c r="A151">
        <v>1</v>
      </c>
      <c r="B151" t="s">
        <v>15</v>
      </c>
      <c r="C151" t="s">
        <v>195</v>
      </c>
      <c r="D151" t="s">
        <v>196</v>
      </c>
      <c r="E151" s="8">
        <v>46059</v>
      </c>
      <c r="F151">
        <v>8</v>
      </c>
      <c r="G151">
        <v>2340</v>
      </c>
      <c r="H151">
        <v>69800</v>
      </c>
      <c r="I151">
        <v>18720</v>
      </c>
      <c r="J151">
        <v>51080</v>
      </c>
      <c r="K151" t="s">
        <v>1635</v>
      </c>
      <c r="L151">
        <v>2340</v>
      </c>
      <c r="M151" t="s">
        <v>1635</v>
      </c>
      <c r="N151">
        <v>0</v>
      </c>
    </row>
    <row r="152" spans="1:14">
      <c r="A152">
        <v>1</v>
      </c>
      <c r="B152" t="s">
        <v>15</v>
      </c>
      <c r="C152" t="s">
        <v>197</v>
      </c>
      <c r="D152" t="s">
        <v>198</v>
      </c>
      <c r="E152" s="8">
        <v>46066</v>
      </c>
      <c r="F152">
        <v>8</v>
      </c>
      <c r="G152">
        <v>2730</v>
      </c>
      <c r="H152">
        <v>84220</v>
      </c>
      <c r="I152">
        <v>21793.33</v>
      </c>
      <c r="J152">
        <v>62426.67</v>
      </c>
      <c r="K152" t="s">
        <v>1635</v>
      </c>
      <c r="L152">
        <v>2730</v>
      </c>
      <c r="M152" t="s">
        <v>1635</v>
      </c>
      <c r="N152">
        <v>0</v>
      </c>
    </row>
    <row r="153" spans="1:14">
      <c r="A153">
        <v>1</v>
      </c>
      <c r="B153" t="s">
        <v>15</v>
      </c>
      <c r="C153" t="s">
        <v>201</v>
      </c>
      <c r="D153" t="s">
        <v>202</v>
      </c>
      <c r="E153" s="8">
        <v>46059</v>
      </c>
      <c r="F153">
        <v>8</v>
      </c>
      <c r="G153">
        <v>2814</v>
      </c>
      <c r="H153">
        <v>81975</v>
      </c>
      <c r="I153">
        <v>22254.67</v>
      </c>
      <c r="J153">
        <v>59720.33</v>
      </c>
      <c r="K153" t="s">
        <v>1635</v>
      </c>
      <c r="L153">
        <v>2814</v>
      </c>
      <c r="M153" t="s">
        <v>1635</v>
      </c>
      <c r="N153">
        <v>0</v>
      </c>
    </row>
    <row r="154" spans="1:14">
      <c r="A154">
        <v>1</v>
      </c>
      <c r="B154" t="s">
        <v>15</v>
      </c>
      <c r="C154" t="s">
        <v>203</v>
      </c>
      <c r="D154" t="s">
        <v>204</v>
      </c>
      <c r="E154" s="8">
        <v>46073</v>
      </c>
      <c r="F154">
        <v>8</v>
      </c>
      <c r="G154">
        <v>2460</v>
      </c>
      <c r="H154">
        <v>74625</v>
      </c>
      <c r="I154">
        <v>19420</v>
      </c>
      <c r="J154">
        <v>55205</v>
      </c>
      <c r="K154" t="s">
        <v>1635</v>
      </c>
      <c r="L154">
        <v>2460</v>
      </c>
      <c r="M154" t="s">
        <v>1635</v>
      </c>
      <c r="N154">
        <v>0</v>
      </c>
    </row>
    <row r="155" spans="1:14">
      <c r="A155">
        <v>1</v>
      </c>
      <c r="B155" t="s">
        <v>15</v>
      </c>
      <c r="C155" t="s">
        <v>211</v>
      </c>
      <c r="D155" t="s">
        <v>212</v>
      </c>
      <c r="E155" s="8">
        <v>46059</v>
      </c>
      <c r="F155">
        <v>8</v>
      </c>
      <c r="G155">
        <v>1356.67</v>
      </c>
      <c r="H155">
        <v>55200</v>
      </c>
      <c r="I155">
        <v>14890</v>
      </c>
      <c r="J155">
        <v>40310</v>
      </c>
      <c r="K155" t="s">
        <v>1635</v>
      </c>
      <c r="L155">
        <v>1356.67</v>
      </c>
      <c r="M155" t="s">
        <v>1635</v>
      </c>
      <c r="N155">
        <v>0</v>
      </c>
    </row>
    <row r="156" spans="1:14">
      <c r="A156">
        <v>1</v>
      </c>
      <c r="B156" t="s">
        <v>15</v>
      </c>
      <c r="C156" t="s">
        <v>213</v>
      </c>
      <c r="D156" t="s">
        <v>214</v>
      </c>
      <c r="E156" s="8">
        <v>46059</v>
      </c>
      <c r="F156">
        <v>8</v>
      </c>
      <c r="G156">
        <v>2940</v>
      </c>
      <c r="H156">
        <v>86200</v>
      </c>
      <c r="I156">
        <v>23520</v>
      </c>
      <c r="J156">
        <v>62680</v>
      </c>
      <c r="K156" t="s">
        <v>1635</v>
      </c>
      <c r="L156">
        <v>2940</v>
      </c>
      <c r="M156" t="s">
        <v>1635</v>
      </c>
      <c r="N156">
        <v>0</v>
      </c>
    </row>
    <row r="157" spans="1:14">
      <c r="A157">
        <v>1</v>
      </c>
      <c r="B157" t="s">
        <v>15</v>
      </c>
      <c r="C157" t="s">
        <v>215</v>
      </c>
      <c r="D157" t="s">
        <v>216</v>
      </c>
      <c r="E157" s="8">
        <v>46073</v>
      </c>
      <c r="F157">
        <v>8</v>
      </c>
      <c r="G157">
        <v>2640</v>
      </c>
      <c r="H157">
        <v>78314</v>
      </c>
      <c r="I157">
        <v>21120</v>
      </c>
      <c r="J157">
        <v>57194</v>
      </c>
      <c r="K157" t="s">
        <v>1635</v>
      </c>
      <c r="L157">
        <v>2640</v>
      </c>
      <c r="M157" t="s">
        <v>1635</v>
      </c>
      <c r="N157">
        <v>0</v>
      </c>
    </row>
    <row r="158" spans="1:14">
      <c r="A158">
        <v>1</v>
      </c>
      <c r="B158" t="s">
        <v>15</v>
      </c>
      <c r="C158" t="s">
        <v>217</v>
      </c>
      <c r="D158" t="s">
        <v>218</v>
      </c>
      <c r="E158" s="8">
        <v>46073</v>
      </c>
      <c r="F158">
        <v>8</v>
      </c>
      <c r="G158">
        <v>2990</v>
      </c>
      <c r="H158">
        <v>90000</v>
      </c>
      <c r="I158">
        <v>23694</v>
      </c>
      <c r="J158">
        <v>66306</v>
      </c>
      <c r="K158" t="s">
        <v>1635</v>
      </c>
      <c r="L158">
        <v>2990</v>
      </c>
      <c r="M158" t="s">
        <v>1635</v>
      </c>
      <c r="N158">
        <v>0</v>
      </c>
    </row>
    <row r="159" spans="1:14">
      <c r="A159">
        <v>1</v>
      </c>
      <c r="B159" t="s">
        <v>15</v>
      </c>
      <c r="C159" t="s">
        <v>221</v>
      </c>
      <c r="D159" t="s">
        <v>222</v>
      </c>
      <c r="E159" s="8">
        <v>46066</v>
      </c>
      <c r="F159">
        <v>8</v>
      </c>
      <c r="G159">
        <v>2420</v>
      </c>
      <c r="H159">
        <v>73000</v>
      </c>
      <c r="I159">
        <v>18956.669999999998</v>
      </c>
      <c r="J159">
        <v>54043.33</v>
      </c>
      <c r="K159" t="s">
        <v>1635</v>
      </c>
      <c r="L159">
        <v>2420</v>
      </c>
      <c r="M159" t="s">
        <v>1635</v>
      </c>
      <c r="N159">
        <v>0</v>
      </c>
    </row>
    <row r="160" spans="1:14">
      <c r="A160">
        <v>1</v>
      </c>
      <c r="B160" t="s">
        <v>15</v>
      </c>
      <c r="C160" t="s">
        <v>225</v>
      </c>
      <c r="D160" t="s">
        <v>226</v>
      </c>
      <c r="E160" s="8">
        <v>46059</v>
      </c>
      <c r="F160">
        <v>8</v>
      </c>
      <c r="G160">
        <v>4860</v>
      </c>
      <c r="H160">
        <v>92000</v>
      </c>
      <c r="I160">
        <v>36230</v>
      </c>
      <c r="J160">
        <v>55770</v>
      </c>
      <c r="K160" t="s">
        <v>1635</v>
      </c>
      <c r="L160">
        <v>4860</v>
      </c>
      <c r="M160" t="s">
        <v>1635</v>
      </c>
      <c r="N160">
        <v>0</v>
      </c>
    </row>
    <row r="161" spans="1:14">
      <c r="A161">
        <v>1</v>
      </c>
      <c r="B161" t="s">
        <v>15</v>
      </c>
      <c r="C161" t="s">
        <v>229</v>
      </c>
      <c r="D161" t="s">
        <v>230</v>
      </c>
      <c r="E161" s="8">
        <v>46059</v>
      </c>
      <c r="F161">
        <v>8</v>
      </c>
      <c r="G161">
        <v>4200</v>
      </c>
      <c r="H161">
        <v>77000</v>
      </c>
      <c r="I161">
        <v>31700</v>
      </c>
      <c r="J161">
        <v>45300</v>
      </c>
      <c r="K161" t="s">
        <v>1635</v>
      </c>
      <c r="L161">
        <v>4200</v>
      </c>
      <c r="M161" t="s">
        <v>1635</v>
      </c>
      <c r="N161">
        <v>0</v>
      </c>
    </row>
    <row r="162" spans="1:14">
      <c r="A162">
        <v>1</v>
      </c>
      <c r="B162" t="s">
        <v>15</v>
      </c>
      <c r="C162" t="s">
        <v>236</v>
      </c>
      <c r="D162" t="s">
        <v>237</v>
      </c>
      <c r="E162" s="8">
        <v>46066</v>
      </c>
      <c r="F162">
        <v>8</v>
      </c>
      <c r="G162">
        <v>2430</v>
      </c>
      <c r="H162">
        <v>73000</v>
      </c>
      <c r="I162">
        <v>18835</v>
      </c>
      <c r="J162">
        <v>54165</v>
      </c>
      <c r="K162" t="s">
        <v>1635</v>
      </c>
      <c r="L162">
        <v>2430</v>
      </c>
      <c r="M162" t="s">
        <v>1635</v>
      </c>
      <c r="N162">
        <v>0</v>
      </c>
    </row>
    <row r="163" spans="1:14">
      <c r="A163">
        <v>1</v>
      </c>
      <c r="B163" t="s">
        <v>15</v>
      </c>
      <c r="C163" t="s">
        <v>238</v>
      </c>
      <c r="D163" t="s">
        <v>239</v>
      </c>
      <c r="E163" s="8">
        <v>46066</v>
      </c>
      <c r="F163">
        <v>8</v>
      </c>
      <c r="G163">
        <v>4060</v>
      </c>
      <c r="H163">
        <v>74625</v>
      </c>
      <c r="I163">
        <v>30986.67</v>
      </c>
      <c r="J163">
        <v>43638.33</v>
      </c>
      <c r="K163" t="s">
        <v>1635</v>
      </c>
      <c r="L163">
        <v>4060</v>
      </c>
      <c r="M163" t="s">
        <v>1635</v>
      </c>
      <c r="N163">
        <v>0</v>
      </c>
    </row>
    <row r="164" spans="1:14">
      <c r="A164">
        <v>1</v>
      </c>
      <c r="B164" t="s">
        <v>15</v>
      </c>
      <c r="C164" t="s">
        <v>240</v>
      </c>
      <c r="D164" t="s">
        <v>241</v>
      </c>
      <c r="E164" s="8">
        <v>46073</v>
      </c>
      <c r="F164">
        <v>8</v>
      </c>
      <c r="G164">
        <v>3080</v>
      </c>
      <c r="H164">
        <v>100000</v>
      </c>
      <c r="I164">
        <v>24640</v>
      </c>
      <c r="J164">
        <v>75360</v>
      </c>
      <c r="K164" t="s">
        <v>1635</v>
      </c>
      <c r="L164">
        <v>3080</v>
      </c>
      <c r="M164" t="s">
        <v>1635</v>
      </c>
      <c r="N164">
        <v>0</v>
      </c>
    </row>
    <row r="165" spans="1:14">
      <c r="A165">
        <v>1</v>
      </c>
      <c r="B165" t="s">
        <v>15</v>
      </c>
      <c r="C165" t="s">
        <v>262</v>
      </c>
      <c r="D165" t="s">
        <v>263</v>
      </c>
      <c r="E165" s="8">
        <v>46073</v>
      </c>
      <c r="F165">
        <v>8</v>
      </c>
      <c r="G165">
        <v>2592</v>
      </c>
      <c r="H165">
        <v>78645</v>
      </c>
      <c r="I165">
        <v>20736</v>
      </c>
      <c r="J165">
        <v>57909</v>
      </c>
      <c r="K165" t="s">
        <v>1635</v>
      </c>
      <c r="L165">
        <v>2592</v>
      </c>
      <c r="M165" t="s">
        <v>1635</v>
      </c>
      <c r="N165">
        <v>0</v>
      </c>
    </row>
    <row r="166" spans="1:14">
      <c r="A166">
        <v>1</v>
      </c>
      <c r="B166" t="s">
        <v>15</v>
      </c>
      <c r="C166" t="s">
        <v>306</v>
      </c>
      <c r="D166" t="s">
        <v>307</v>
      </c>
      <c r="E166" s="8">
        <v>46066</v>
      </c>
      <c r="F166">
        <v>8</v>
      </c>
      <c r="G166">
        <v>2728</v>
      </c>
      <c r="H166">
        <v>77921</v>
      </c>
      <c r="I166">
        <v>21676</v>
      </c>
      <c r="J166">
        <v>56245</v>
      </c>
      <c r="K166" t="s">
        <v>1635</v>
      </c>
      <c r="L166">
        <v>2728</v>
      </c>
      <c r="M166" t="s">
        <v>1635</v>
      </c>
      <c r="N166">
        <v>0</v>
      </c>
    </row>
    <row r="167" spans="1:14">
      <c r="A167">
        <v>1</v>
      </c>
      <c r="B167" t="s">
        <v>15</v>
      </c>
      <c r="C167" t="s">
        <v>310</v>
      </c>
      <c r="D167" t="s">
        <v>311</v>
      </c>
      <c r="E167" s="8">
        <v>46059</v>
      </c>
      <c r="F167">
        <v>8</v>
      </c>
      <c r="G167">
        <v>2754</v>
      </c>
      <c r="H167">
        <v>98000</v>
      </c>
      <c r="I167">
        <v>19344</v>
      </c>
      <c r="J167">
        <v>78656</v>
      </c>
      <c r="K167" t="s">
        <v>1635</v>
      </c>
      <c r="L167">
        <v>2754</v>
      </c>
      <c r="M167" t="s">
        <v>1635</v>
      </c>
      <c r="N167">
        <v>0</v>
      </c>
    </row>
    <row r="168" spans="1:14">
      <c r="A168">
        <v>1</v>
      </c>
      <c r="B168" t="s">
        <v>15</v>
      </c>
      <c r="C168" t="s">
        <v>318</v>
      </c>
      <c r="D168" t="s">
        <v>319</v>
      </c>
      <c r="E168" s="8">
        <v>46066</v>
      </c>
      <c r="F168">
        <v>8</v>
      </c>
      <c r="G168">
        <v>3330</v>
      </c>
      <c r="H168">
        <v>80000</v>
      </c>
      <c r="I168">
        <v>24790</v>
      </c>
      <c r="J168">
        <v>55210</v>
      </c>
      <c r="K168" t="s">
        <v>1635</v>
      </c>
      <c r="L168">
        <v>3330</v>
      </c>
      <c r="M168" t="s">
        <v>1635</v>
      </c>
      <c r="N168">
        <v>0</v>
      </c>
    </row>
    <row r="169" spans="1:14">
      <c r="A169">
        <v>1</v>
      </c>
      <c r="B169" t="s">
        <v>15</v>
      </c>
      <c r="C169" t="s">
        <v>322</v>
      </c>
      <c r="D169" t="s">
        <v>323</v>
      </c>
      <c r="E169" s="8">
        <v>46066</v>
      </c>
      <c r="F169">
        <v>8</v>
      </c>
      <c r="G169">
        <v>1105</v>
      </c>
      <c r="H169">
        <v>19454</v>
      </c>
      <c r="I169">
        <v>8840</v>
      </c>
      <c r="J169">
        <v>10614</v>
      </c>
      <c r="K169" t="s">
        <v>1635</v>
      </c>
      <c r="L169">
        <v>1105</v>
      </c>
      <c r="M169" t="s">
        <v>1635</v>
      </c>
      <c r="N169">
        <v>0</v>
      </c>
    </row>
    <row r="170" spans="1:14">
      <c r="A170">
        <v>1</v>
      </c>
      <c r="B170" t="s">
        <v>15</v>
      </c>
      <c r="C170" t="s">
        <v>324</v>
      </c>
      <c r="D170" t="s">
        <v>325</v>
      </c>
      <c r="E170" s="8">
        <v>46059</v>
      </c>
      <c r="F170">
        <v>8</v>
      </c>
      <c r="G170">
        <v>2250</v>
      </c>
      <c r="H170">
        <v>69260</v>
      </c>
      <c r="I170">
        <v>15000</v>
      </c>
      <c r="J170">
        <v>54260</v>
      </c>
      <c r="K170" t="s">
        <v>1635</v>
      </c>
      <c r="L170">
        <v>2250</v>
      </c>
      <c r="M170" t="s">
        <v>1635</v>
      </c>
      <c r="N170">
        <v>0</v>
      </c>
    </row>
    <row r="171" spans="1:14">
      <c r="A171">
        <v>1</v>
      </c>
      <c r="B171" t="s">
        <v>15</v>
      </c>
      <c r="C171" t="s">
        <v>326</v>
      </c>
      <c r="D171" t="s">
        <v>327</v>
      </c>
      <c r="E171" s="8">
        <v>46059</v>
      </c>
      <c r="F171">
        <v>8</v>
      </c>
      <c r="G171">
        <v>4026</v>
      </c>
      <c r="H171">
        <v>122717</v>
      </c>
      <c r="I171">
        <v>30814.67</v>
      </c>
      <c r="J171">
        <v>91902.33</v>
      </c>
      <c r="K171" t="s">
        <v>1635</v>
      </c>
      <c r="L171">
        <v>4026</v>
      </c>
      <c r="M171" t="s">
        <v>1635</v>
      </c>
      <c r="N171">
        <v>0</v>
      </c>
    </row>
    <row r="172" spans="1:14">
      <c r="A172">
        <v>1</v>
      </c>
      <c r="B172" t="s">
        <v>15</v>
      </c>
      <c r="C172" t="s">
        <v>334</v>
      </c>
      <c r="D172" t="s">
        <v>335</v>
      </c>
      <c r="E172" s="8">
        <v>46066</v>
      </c>
      <c r="F172">
        <v>8</v>
      </c>
      <c r="G172">
        <v>4060</v>
      </c>
      <c r="H172">
        <v>119788</v>
      </c>
      <c r="I172">
        <v>31086.67</v>
      </c>
      <c r="J172">
        <v>88701.33</v>
      </c>
      <c r="K172" t="s">
        <v>1635</v>
      </c>
      <c r="L172">
        <v>4060</v>
      </c>
      <c r="M172" t="s">
        <v>1635</v>
      </c>
      <c r="N172">
        <v>0</v>
      </c>
    </row>
    <row r="173" spans="1:14">
      <c r="A173">
        <v>1</v>
      </c>
      <c r="B173" t="s">
        <v>15</v>
      </c>
      <c r="C173" t="s">
        <v>338</v>
      </c>
      <c r="D173" t="s">
        <v>339</v>
      </c>
      <c r="E173" s="8">
        <v>46059</v>
      </c>
      <c r="F173">
        <v>8</v>
      </c>
      <c r="G173">
        <v>3060</v>
      </c>
      <c r="H173">
        <v>92000</v>
      </c>
      <c r="I173">
        <v>24480</v>
      </c>
      <c r="J173">
        <v>67520</v>
      </c>
      <c r="K173" t="s">
        <v>1635</v>
      </c>
      <c r="L173">
        <v>3060</v>
      </c>
      <c r="M173" t="s">
        <v>1635</v>
      </c>
      <c r="N173">
        <v>0</v>
      </c>
    </row>
    <row r="174" spans="1:14">
      <c r="A174">
        <v>1</v>
      </c>
      <c r="B174" t="s">
        <v>15</v>
      </c>
      <c r="C174" t="s">
        <v>340</v>
      </c>
      <c r="D174" t="s">
        <v>341</v>
      </c>
      <c r="E174" s="8">
        <v>46059</v>
      </c>
      <c r="F174">
        <v>8</v>
      </c>
      <c r="G174">
        <v>3835</v>
      </c>
      <c r="H174">
        <v>118000</v>
      </c>
      <c r="I174">
        <v>29295</v>
      </c>
      <c r="J174">
        <v>88705</v>
      </c>
      <c r="K174" t="s">
        <v>1635</v>
      </c>
      <c r="L174">
        <v>3835</v>
      </c>
      <c r="M174" t="s">
        <v>1635</v>
      </c>
      <c r="N174">
        <v>0</v>
      </c>
    </row>
    <row r="175" spans="1:14">
      <c r="A175">
        <v>1</v>
      </c>
      <c r="B175" t="s">
        <v>15</v>
      </c>
      <c r="C175" t="s">
        <v>342</v>
      </c>
      <c r="D175" t="s">
        <v>343</v>
      </c>
      <c r="E175" s="8">
        <v>46059</v>
      </c>
      <c r="F175">
        <v>8</v>
      </c>
      <c r="G175">
        <v>5760</v>
      </c>
      <c r="H175">
        <v>173888</v>
      </c>
      <c r="I175">
        <v>43920</v>
      </c>
      <c r="J175">
        <v>129968</v>
      </c>
      <c r="K175" t="s">
        <v>1635</v>
      </c>
      <c r="L175">
        <v>5760</v>
      </c>
      <c r="M175" t="s">
        <v>1635</v>
      </c>
      <c r="N175">
        <v>0</v>
      </c>
    </row>
    <row r="176" spans="1:14">
      <c r="A176">
        <v>1</v>
      </c>
      <c r="B176" t="s">
        <v>15</v>
      </c>
      <c r="C176" t="s">
        <v>346</v>
      </c>
      <c r="D176" t="s">
        <v>347</v>
      </c>
      <c r="E176" s="8">
        <v>46073</v>
      </c>
      <c r="F176">
        <v>8</v>
      </c>
      <c r="G176">
        <v>3420</v>
      </c>
      <c r="H176">
        <v>109415</v>
      </c>
      <c r="I176">
        <v>26240</v>
      </c>
      <c r="J176">
        <v>83175</v>
      </c>
      <c r="K176" t="s">
        <v>1635</v>
      </c>
      <c r="L176">
        <v>3420</v>
      </c>
      <c r="M176" t="s">
        <v>1635</v>
      </c>
      <c r="N176">
        <v>0</v>
      </c>
    </row>
    <row r="177" spans="1:14">
      <c r="A177">
        <v>1</v>
      </c>
      <c r="B177" t="s">
        <v>15</v>
      </c>
      <c r="C177" t="s">
        <v>350</v>
      </c>
      <c r="D177" t="s">
        <v>351</v>
      </c>
      <c r="E177" s="8">
        <v>46066</v>
      </c>
      <c r="F177">
        <v>8</v>
      </c>
      <c r="G177">
        <v>2940</v>
      </c>
      <c r="H177">
        <v>90777</v>
      </c>
      <c r="I177">
        <v>22980</v>
      </c>
      <c r="J177">
        <v>67797</v>
      </c>
      <c r="K177" t="s">
        <v>1635</v>
      </c>
      <c r="L177">
        <v>2940</v>
      </c>
      <c r="M177" t="s">
        <v>1635</v>
      </c>
      <c r="N177">
        <v>0</v>
      </c>
    </row>
    <row r="178" spans="1:14">
      <c r="A178">
        <v>1</v>
      </c>
      <c r="B178" t="s">
        <v>15</v>
      </c>
      <c r="C178" t="s">
        <v>360</v>
      </c>
      <c r="D178" t="s">
        <v>361</v>
      </c>
      <c r="E178" s="8">
        <v>46059</v>
      </c>
      <c r="F178">
        <v>8</v>
      </c>
      <c r="G178">
        <v>2793</v>
      </c>
      <c r="H178">
        <v>80000</v>
      </c>
      <c r="I178">
        <v>21029.599999999999</v>
      </c>
      <c r="J178">
        <v>58970.400000000001</v>
      </c>
      <c r="K178" t="s">
        <v>1635</v>
      </c>
      <c r="L178">
        <v>2793</v>
      </c>
      <c r="M178" t="s">
        <v>1635</v>
      </c>
      <c r="N178">
        <v>0</v>
      </c>
    </row>
    <row r="179" spans="1:14">
      <c r="A179">
        <v>1</v>
      </c>
      <c r="B179" t="s">
        <v>15</v>
      </c>
      <c r="C179" t="s">
        <v>364</v>
      </c>
      <c r="D179" t="s">
        <v>365</v>
      </c>
      <c r="E179" s="8">
        <v>46066</v>
      </c>
      <c r="F179">
        <v>8</v>
      </c>
      <c r="G179">
        <v>2795</v>
      </c>
      <c r="H179">
        <v>83042</v>
      </c>
      <c r="I179">
        <v>22360</v>
      </c>
      <c r="J179">
        <v>60682</v>
      </c>
      <c r="K179" t="s">
        <v>1635</v>
      </c>
      <c r="L179">
        <v>2795</v>
      </c>
      <c r="M179" t="s">
        <v>1635</v>
      </c>
      <c r="N179">
        <v>0</v>
      </c>
    </row>
    <row r="180" spans="1:14">
      <c r="A180">
        <v>1</v>
      </c>
      <c r="B180" t="s">
        <v>15</v>
      </c>
      <c r="C180" t="s">
        <v>370</v>
      </c>
      <c r="D180" t="s">
        <v>371</v>
      </c>
      <c r="E180" s="8">
        <v>46073</v>
      </c>
      <c r="F180">
        <v>8</v>
      </c>
      <c r="G180">
        <v>2597</v>
      </c>
      <c r="H180">
        <v>77700</v>
      </c>
      <c r="I180">
        <v>20776</v>
      </c>
      <c r="J180">
        <v>56924</v>
      </c>
      <c r="K180" t="s">
        <v>1635</v>
      </c>
      <c r="L180">
        <v>2597</v>
      </c>
      <c r="M180" t="s">
        <v>1635</v>
      </c>
      <c r="N180">
        <v>0</v>
      </c>
    </row>
    <row r="181" spans="1:14">
      <c r="A181">
        <v>1</v>
      </c>
      <c r="B181" t="s">
        <v>15</v>
      </c>
      <c r="C181" t="s">
        <v>373</v>
      </c>
      <c r="D181" t="s">
        <v>374</v>
      </c>
      <c r="E181" s="8">
        <v>46073</v>
      </c>
      <c r="F181">
        <v>8</v>
      </c>
      <c r="G181">
        <v>7370</v>
      </c>
      <c r="H181">
        <v>220995</v>
      </c>
      <c r="I181">
        <v>58960</v>
      </c>
      <c r="J181">
        <v>162035</v>
      </c>
      <c r="K181" t="s">
        <v>1635</v>
      </c>
      <c r="L181">
        <v>7370</v>
      </c>
      <c r="M181" t="s">
        <v>1635</v>
      </c>
      <c r="N181">
        <v>0</v>
      </c>
    </row>
    <row r="182" spans="1:14">
      <c r="A182">
        <v>1</v>
      </c>
      <c r="B182" t="s">
        <v>15</v>
      </c>
      <c r="C182" t="s">
        <v>379</v>
      </c>
      <c r="D182" t="s">
        <v>380</v>
      </c>
      <c r="E182" s="8">
        <v>46059</v>
      </c>
      <c r="F182">
        <v>8</v>
      </c>
      <c r="G182">
        <v>2000</v>
      </c>
      <c r="H182">
        <v>33828</v>
      </c>
      <c r="I182">
        <v>14000</v>
      </c>
      <c r="J182">
        <v>19828</v>
      </c>
      <c r="K182" t="s">
        <v>1635</v>
      </c>
      <c r="L182">
        <v>2000</v>
      </c>
      <c r="M182" t="s">
        <v>1635</v>
      </c>
      <c r="N182">
        <v>0</v>
      </c>
    </row>
    <row r="183" spans="1:14">
      <c r="A183">
        <v>1</v>
      </c>
      <c r="B183" t="s">
        <v>15</v>
      </c>
      <c r="C183" t="s">
        <v>387</v>
      </c>
      <c r="D183" t="s">
        <v>388</v>
      </c>
      <c r="E183" s="8">
        <v>46073</v>
      </c>
      <c r="F183">
        <v>8</v>
      </c>
      <c r="G183">
        <v>2058</v>
      </c>
      <c r="H183">
        <v>78213</v>
      </c>
      <c r="I183">
        <v>19690</v>
      </c>
      <c r="J183">
        <v>58523</v>
      </c>
      <c r="K183" t="s">
        <v>1635</v>
      </c>
      <c r="L183">
        <v>2058</v>
      </c>
      <c r="M183" t="s">
        <v>1635</v>
      </c>
      <c r="N183">
        <v>0</v>
      </c>
    </row>
    <row r="184" spans="1:14">
      <c r="A184">
        <v>1</v>
      </c>
      <c r="B184" t="s">
        <v>15</v>
      </c>
      <c r="C184" t="s">
        <v>393</v>
      </c>
      <c r="D184" t="s">
        <v>394</v>
      </c>
      <c r="E184" s="8">
        <v>46059</v>
      </c>
      <c r="F184">
        <v>8</v>
      </c>
      <c r="G184">
        <v>2585</v>
      </c>
      <c r="H184">
        <v>93000</v>
      </c>
      <c r="I184">
        <v>20295</v>
      </c>
      <c r="J184">
        <v>72705</v>
      </c>
      <c r="K184" t="s">
        <v>1635</v>
      </c>
      <c r="L184">
        <v>2585</v>
      </c>
      <c r="M184" t="s">
        <v>1635</v>
      </c>
      <c r="N184">
        <v>0</v>
      </c>
    </row>
    <row r="185" spans="1:14">
      <c r="A185">
        <v>1</v>
      </c>
      <c r="B185" t="s">
        <v>15</v>
      </c>
      <c r="C185" t="s">
        <v>395</v>
      </c>
      <c r="D185" t="s">
        <v>396</v>
      </c>
      <c r="E185" s="8">
        <v>46059</v>
      </c>
      <c r="F185">
        <v>8</v>
      </c>
      <c r="G185">
        <v>1512</v>
      </c>
      <c r="H185">
        <v>27000</v>
      </c>
      <c r="I185">
        <v>12096</v>
      </c>
      <c r="J185">
        <v>14904</v>
      </c>
      <c r="K185" t="s">
        <v>1635</v>
      </c>
      <c r="L185">
        <v>1512</v>
      </c>
      <c r="M185" t="s">
        <v>1635</v>
      </c>
      <c r="N185">
        <v>0</v>
      </c>
    </row>
    <row r="186" spans="1:14">
      <c r="A186">
        <v>1</v>
      </c>
      <c r="B186" t="s">
        <v>15</v>
      </c>
      <c r="C186" t="s">
        <v>401</v>
      </c>
      <c r="D186" t="s">
        <v>402</v>
      </c>
      <c r="E186" s="8">
        <v>46066</v>
      </c>
      <c r="F186">
        <v>8</v>
      </c>
      <c r="G186">
        <v>3536</v>
      </c>
      <c r="H186">
        <v>121325</v>
      </c>
      <c r="I186">
        <v>28288</v>
      </c>
      <c r="J186">
        <v>93037</v>
      </c>
      <c r="K186" t="s">
        <v>1635</v>
      </c>
      <c r="L186">
        <v>3536</v>
      </c>
      <c r="M186" t="s">
        <v>1635</v>
      </c>
      <c r="N186">
        <v>0</v>
      </c>
    </row>
    <row r="187" spans="1:14">
      <c r="A187">
        <v>1</v>
      </c>
      <c r="B187" t="s">
        <v>15</v>
      </c>
      <c r="C187" t="s">
        <v>405</v>
      </c>
      <c r="D187" t="s">
        <v>406</v>
      </c>
      <c r="E187" s="8">
        <v>46066</v>
      </c>
      <c r="F187">
        <v>8</v>
      </c>
      <c r="G187">
        <v>3075</v>
      </c>
      <c r="H187">
        <v>89337</v>
      </c>
      <c r="I187">
        <v>24600</v>
      </c>
      <c r="J187">
        <v>64737</v>
      </c>
      <c r="K187" t="s">
        <v>1635</v>
      </c>
      <c r="L187">
        <v>3075</v>
      </c>
      <c r="M187" t="s">
        <v>1635</v>
      </c>
      <c r="N187">
        <v>0</v>
      </c>
    </row>
    <row r="188" spans="1:14">
      <c r="A188">
        <v>1</v>
      </c>
      <c r="B188" t="s">
        <v>15</v>
      </c>
      <c r="C188" t="s">
        <v>415</v>
      </c>
      <c r="D188" t="s">
        <v>416</v>
      </c>
      <c r="E188" s="8">
        <v>46066</v>
      </c>
      <c r="F188">
        <v>8</v>
      </c>
      <c r="G188">
        <v>1632</v>
      </c>
      <c r="H188">
        <v>46731</v>
      </c>
      <c r="I188">
        <v>13056</v>
      </c>
      <c r="J188">
        <v>33675</v>
      </c>
      <c r="K188" t="s">
        <v>1635</v>
      </c>
      <c r="L188">
        <v>1632</v>
      </c>
      <c r="M188" t="s">
        <v>1635</v>
      </c>
      <c r="N188">
        <v>0</v>
      </c>
    </row>
    <row r="189" spans="1:14">
      <c r="A189">
        <v>1</v>
      </c>
      <c r="B189" t="s">
        <v>15</v>
      </c>
      <c r="C189" t="s">
        <v>417</v>
      </c>
      <c r="D189" t="s">
        <v>418</v>
      </c>
      <c r="E189" s="8">
        <v>46059</v>
      </c>
      <c r="F189">
        <v>8</v>
      </c>
      <c r="G189">
        <v>1500</v>
      </c>
      <c r="H189">
        <v>26749</v>
      </c>
      <c r="I189">
        <v>12000</v>
      </c>
      <c r="J189">
        <v>14749</v>
      </c>
      <c r="K189" t="s">
        <v>1635</v>
      </c>
      <c r="L189">
        <v>1500</v>
      </c>
      <c r="M189" t="s">
        <v>1635</v>
      </c>
      <c r="N189">
        <v>0</v>
      </c>
    </row>
    <row r="190" spans="1:14">
      <c r="A190">
        <v>1</v>
      </c>
      <c r="B190" t="s">
        <v>15</v>
      </c>
      <c r="C190" t="s">
        <v>427</v>
      </c>
      <c r="D190" t="s">
        <v>428</v>
      </c>
      <c r="E190" s="8">
        <v>46066</v>
      </c>
      <c r="F190">
        <v>8</v>
      </c>
      <c r="G190">
        <v>4200</v>
      </c>
      <c r="H190">
        <v>151204</v>
      </c>
      <c r="I190">
        <v>32200</v>
      </c>
      <c r="J190">
        <v>119004</v>
      </c>
      <c r="K190" t="s">
        <v>1635</v>
      </c>
      <c r="L190">
        <v>4200</v>
      </c>
      <c r="M190" t="s">
        <v>1635</v>
      </c>
      <c r="N190">
        <v>0</v>
      </c>
    </row>
    <row r="191" spans="1:14">
      <c r="A191">
        <v>1</v>
      </c>
      <c r="B191" t="s">
        <v>15</v>
      </c>
      <c r="C191" t="s">
        <v>429</v>
      </c>
      <c r="D191" t="s">
        <v>430</v>
      </c>
      <c r="E191" s="8">
        <v>46073</v>
      </c>
      <c r="F191">
        <v>8</v>
      </c>
      <c r="G191">
        <v>3213</v>
      </c>
      <c r="H191">
        <v>120000</v>
      </c>
      <c r="I191">
        <v>24911</v>
      </c>
      <c r="J191">
        <v>95089</v>
      </c>
      <c r="K191" t="s">
        <v>1635</v>
      </c>
      <c r="L191">
        <v>3213</v>
      </c>
      <c r="M191" t="s">
        <v>1635</v>
      </c>
      <c r="N191">
        <v>0</v>
      </c>
    </row>
    <row r="192" spans="1:14">
      <c r="A192">
        <v>1</v>
      </c>
      <c r="B192" t="s">
        <v>15</v>
      </c>
      <c r="C192" t="s">
        <v>431</v>
      </c>
      <c r="D192" t="s">
        <v>432</v>
      </c>
      <c r="E192" s="8">
        <v>46073</v>
      </c>
      <c r="F192">
        <v>8</v>
      </c>
      <c r="G192">
        <v>4400</v>
      </c>
      <c r="H192">
        <v>159619</v>
      </c>
      <c r="I192">
        <v>32800</v>
      </c>
      <c r="J192">
        <v>126819</v>
      </c>
      <c r="K192" t="s">
        <v>1635</v>
      </c>
      <c r="L192">
        <v>4400</v>
      </c>
      <c r="M192" t="s">
        <v>1635</v>
      </c>
      <c r="N192">
        <v>0</v>
      </c>
    </row>
    <row r="193" spans="1:14">
      <c r="A193">
        <v>1</v>
      </c>
      <c r="B193" t="s">
        <v>15</v>
      </c>
      <c r="C193" t="s">
        <v>435</v>
      </c>
      <c r="D193" t="s">
        <v>436</v>
      </c>
      <c r="E193" s="8">
        <v>46059</v>
      </c>
      <c r="F193">
        <v>8</v>
      </c>
      <c r="G193">
        <v>826</v>
      </c>
      <c r="H193">
        <v>22053</v>
      </c>
      <c r="I193">
        <v>6608</v>
      </c>
      <c r="J193">
        <v>15445</v>
      </c>
      <c r="K193" t="s">
        <v>1635</v>
      </c>
      <c r="L193">
        <v>826</v>
      </c>
      <c r="M193" t="s">
        <v>1635</v>
      </c>
      <c r="N193">
        <v>0</v>
      </c>
    </row>
    <row r="194" spans="1:14">
      <c r="A194">
        <v>1</v>
      </c>
      <c r="B194" t="s">
        <v>15</v>
      </c>
      <c r="C194" t="s">
        <v>443</v>
      </c>
      <c r="D194" t="s">
        <v>444</v>
      </c>
      <c r="E194" s="8">
        <v>46073</v>
      </c>
      <c r="F194">
        <v>8</v>
      </c>
      <c r="G194">
        <v>2914</v>
      </c>
      <c r="H194">
        <v>84000</v>
      </c>
      <c r="I194">
        <v>22378</v>
      </c>
      <c r="J194">
        <v>61622</v>
      </c>
      <c r="K194" t="s">
        <v>1635</v>
      </c>
      <c r="L194">
        <v>2914</v>
      </c>
      <c r="M194" t="s">
        <v>1635</v>
      </c>
      <c r="N194">
        <v>0</v>
      </c>
    </row>
    <row r="195" spans="1:14">
      <c r="A195">
        <v>1</v>
      </c>
      <c r="B195" t="s">
        <v>15</v>
      </c>
      <c r="C195" t="s">
        <v>449</v>
      </c>
      <c r="D195" t="s">
        <v>450</v>
      </c>
      <c r="E195" s="8">
        <v>46059</v>
      </c>
      <c r="F195">
        <v>8</v>
      </c>
      <c r="G195">
        <v>1920</v>
      </c>
      <c r="H195">
        <v>69900</v>
      </c>
      <c r="I195">
        <v>15040</v>
      </c>
      <c r="J195">
        <v>54860</v>
      </c>
      <c r="K195" t="s">
        <v>1635</v>
      </c>
      <c r="L195">
        <v>1920</v>
      </c>
      <c r="M195" t="s">
        <v>1635</v>
      </c>
      <c r="N195">
        <v>0</v>
      </c>
    </row>
    <row r="196" spans="1:14">
      <c r="A196">
        <v>1</v>
      </c>
      <c r="B196" t="s">
        <v>15</v>
      </c>
      <c r="C196" t="s">
        <v>459</v>
      </c>
      <c r="D196" t="s">
        <v>460</v>
      </c>
      <c r="E196" s="8">
        <v>46066</v>
      </c>
      <c r="F196">
        <v>8</v>
      </c>
      <c r="G196">
        <v>4018</v>
      </c>
      <c r="H196">
        <v>118888</v>
      </c>
      <c r="I196">
        <v>27488</v>
      </c>
      <c r="J196">
        <v>91400</v>
      </c>
      <c r="K196" t="s">
        <v>1635</v>
      </c>
      <c r="L196">
        <v>4018</v>
      </c>
      <c r="M196" t="s">
        <v>1635</v>
      </c>
      <c r="N196">
        <v>0</v>
      </c>
    </row>
    <row r="197" spans="1:14">
      <c r="A197">
        <v>1</v>
      </c>
      <c r="B197" t="s">
        <v>15</v>
      </c>
      <c r="C197" t="s">
        <v>465</v>
      </c>
      <c r="D197" t="s">
        <v>466</v>
      </c>
      <c r="E197" s="8">
        <v>46059</v>
      </c>
      <c r="F197">
        <v>8</v>
      </c>
      <c r="G197">
        <v>3705</v>
      </c>
      <c r="H197">
        <v>112715</v>
      </c>
      <c r="I197">
        <v>28535</v>
      </c>
      <c r="J197">
        <v>84180</v>
      </c>
      <c r="K197" t="s">
        <v>1635</v>
      </c>
      <c r="L197">
        <v>3705</v>
      </c>
      <c r="M197" t="s">
        <v>1635</v>
      </c>
      <c r="N197">
        <v>0</v>
      </c>
    </row>
    <row r="198" spans="1:14">
      <c r="A198">
        <v>1</v>
      </c>
      <c r="B198" t="s">
        <v>15</v>
      </c>
      <c r="C198" t="s">
        <v>467</v>
      </c>
      <c r="D198" t="s">
        <v>468</v>
      </c>
      <c r="E198" s="8">
        <v>46059</v>
      </c>
      <c r="F198">
        <v>8</v>
      </c>
      <c r="G198">
        <v>1320</v>
      </c>
      <c r="H198">
        <v>22853</v>
      </c>
      <c r="I198">
        <v>10560</v>
      </c>
      <c r="J198">
        <v>12293</v>
      </c>
      <c r="K198" t="s">
        <v>1635</v>
      </c>
      <c r="L198">
        <v>1320</v>
      </c>
      <c r="M198" t="s">
        <v>1635</v>
      </c>
      <c r="N198">
        <v>0</v>
      </c>
    </row>
    <row r="199" spans="1:14">
      <c r="A199">
        <v>1</v>
      </c>
      <c r="B199" t="s">
        <v>15</v>
      </c>
      <c r="C199" t="s">
        <v>477</v>
      </c>
      <c r="D199" t="s">
        <v>478</v>
      </c>
      <c r="E199" s="8">
        <v>46066</v>
      </c>
      <c r="F199">
        <v>8</v>
      </c>
      <c r="G199">
        <v>2880</v>
      </c>
      <c r="H199">
        <v>90000</v>
      </c>
      <c r="I199">
        <v>19100</v>
      </c>
      <c r="J199">
        <v>70900</v>
      </c>
      <c r="K199" t="s">
        <v>1635</v>
      </c>
      <c r="L199">
        <v>2880</v>
      </c>
      <c r="M199" t="s">
        <v>1635</v>
      </c>
      <c r="N199">
        <v>0</v>
      </c>
    </row>
    <row r="200" spans="1:14">
      <c r="A200">
        <v>1</v>
      </c>
      <c r="B200" t="s">
        <v>15</v>
      </c>
      <c r="C200" t="s">
        <v>483</v>
      </c>
      <c r="D200" t="s">
        <v>484</v>
      </c>
      <c r="E200" s="8">
        <v>46059</v>
      </c>
      <c r="F200">
        <v>8</v>
      </c>
      <c r="G200">
        <v>4120</v>
      </c>
      <c r="H200">
        <v>137380</v>
      </c>
      <c r="I200">
        <v>29683</v>
      </c>
      <c r="J200">
        <v>107697</v>
      </c>
      <c r="K200" t="s">
        <v>1635</v>
      </c>
      <c r="L200">
        <v>4120</v>
      </c>
      <c r="M200" t="s">
        <v>1635</v>
      </c>
      <c r="N200">
        <v>0</v>
      </c>
    </row>
    <row r="201" spans="1:14">
      <c r="A201">
        <v>1</v>
      </c>
      <c r="B201" t="s">
        <v>15</v>
      </c>
      <c r="C201" t="s">
        <v>485</v>
      </c>
      <c r="D201" t="s">
        <v>486</v>
      </c>
      <c r="E201" s="8">
        <v>46073</v>
      </c>
      <c r="F201">
        <v>8</v>
      </c>
      <c r="G201">
        <v>3135</v>
      </c>
      <c r="H201">
        <v>93980</v>
      </c>
      <c r="I201">
        <v>23210</v>
      </c>
      <c r="J201">
        <v>70770</v>
      </c>
      <c r="K201" t="s">
        <v>1635</v>
      </c>
      <c r="L201">
        <v>3135</v>
      </c>
      <c r="M201" t="s">
        <v>1635</v>
      </c>
      <c r="N201">
        <v>0</v>
      </c>
    </row>
    <row r="202" spans="1:14">
      <c r="A202">
        <v>1</v>
      </c>
      <c r="B202" t="s">
        <v>15</v>
      </c>
      <c r="C202" t="s">
        <v>487</v>
      </c>
      <c r="D202" t="s">
        <v>488</v>
      </c>
      <c r="E202" s="8">
        <v>46066</v>
      </c>
      <c r="F202">
        <v>8</v>
      </c>
      <c r="G202">
        <v>2635.2</v>
      </c>
      <c r="H202">
        <v>77000</v>
      </c>
      <c r="I202">
        <v>20334.400000000001</v>
      </c>
      <c r="J202">
        <v>56665.599999999999</v>
      </c>
      <c r="K202" t="s">
        <v>1635</v>
      </c>
      <c r="L202">
        <v>2635.2</v>
      </c>
      <c r="M202" t="s">
        <v>1635</v>
      </c>
      <c r="N202">
        <v>0</v>
      </c>
    </row>
    <row r="203" spans="1:14">
      <c r="A203">
        <v>1</v>
      </c>
      <c r="B203" t="s">
        <v>15</v>
      </c>
      <c r="C203" t="s">
        <v>489</v>
      </c>
      <c r="D203" t="s">
        <v>490</v>
      </c>
      <c r="E203" s="8">
        <v>46066</v>
      </c>
      <c r="F203">
        <v>8</v>
      </c>
      <c r="G203">
        <v>1650</v>
      </c>
      <c r="H203">
        <v>28225</v>
      </c>
      <c r="I203">
        <v>13200</v>
      </c>
      <c r="J203">
        <v>15025</v>
      </c>
      <c r="K203" t="s">
        <v>1635</v>
      </c>
      <c r="L203">
        <v>1650</v>
      </c>
      <c r="M203" t="s">
        <v>1635</v>
      </c>
      <c r="N203">
        <v>0</v>
      </c>
    </row>
    <row r="204" spans="1:14">
      <c r="A204">
        <v>1</v>
      </c>
      <c r="B204" t="s">
        <v>15</v>
      </c>
      <c r="C204" t="s">
        <v>493</v>
      </c>
      <c r="D204" t="s">
        <v>494</v>
      </c>
      <c r="E204" s="8">
        <v>46073</v>
      </c>
      <c r="F204">
        <v>8</v>
      </c>
      <c r="G204">
        <v>3538</v>
      </c>
      <c r="H204">
        <v>109196</v>
      </c>
      <c r="I204">
        <v>27086</v>
      </c>
      <c r="J204">
        <v>82110</v>
      </c>
      <c r="K204" t="s">
        <v>1635</v>
      </c>
      <c r="L204">
        <v>3538</v>
      </c>
      <c r="M204" t="s">
        <v>1635</v>
      </c>
      <c r="N204">
        <v>0</v>
      </c>
    </row>
    <row r="205" spans="1:14">
      <c r="A205">
        <v>1</v>
      </c>
      <c r="B205" t="s">
        <v>15</v>
      </c>
      <c r="C205" t="s">
        <v>495</v>
      </c>
      <c r="D205" t="s">
        <v>496</v>
      </c>
      <c r="E205" s="8">
        <v>46073</v>
      </c>
      <c r="F205">
        <v>8</v>
      </c>
      <c r="G205">
        <v>1386</v>
      </c>
      <c r="H205">
        <v>24963</v>
      </c>
      <c r="I205">
        <v>10941</v>
      </c>
      <c r="J205">
        <v>14022</v>
      </c>
      <c r="K205" t="s">
        <v>1635</v>
      </c>
      <c r="L205">
        <v>1386</v>
      </c>
      <c r="M205" t="s">
        <v>1635</v>
      </c>
      <c r="N205">
        <v>0</v>
      </c>
    </row>
    <row r="206" spans="1:14">
      <c r="A206">
        <v>1</v>
      </c>
      <c r="B206" t="s">
        <v>15</v>
      </c>
      <c r="C206" t="s">
        <v>497</v>
      </c>
      <c r="D206" t="s">
        <v>498</v>
      </c>
      <c r="E206" s="8">
        <v>46073</v>
      </c>
      <c r="F206">
        <v>8</v>
      </c>
      <c r="G206">
        <v>1679</v>
      </c>
      <c r="H206">
        <v>30363</v>
      </c>
      <c r="I206">
        <v>13432</v>
      </c>
      <c r="J206">
        <v>16931</v>
      </c>
      <c r="K206" t="s">
        <v>1635</v>
      </c>
      <c r="L206">
        <v>1679</v>
      </c>
      <c r="M206" t="s">
        <v>1635</v>
      </c>
      <c r="N206">
        <v>0</v>
      </c>
    </row>
    <row r="207" spans="1:14">
      <c r="A207">
        <v>1</v>
      </c>
      <c r="B207" t="s">
        <v>15</v>
      </c>
      <c r="C207" t="s">
        <v>501</v>
      </c>
      <c r="D207" t="s">
        <v>502</v>
      </c>
      <c r="E207" s="8">
        <v>46059</v>
      </c>
      <c r="F207">
        <v>8</v>
      </c>
      <c r="G207">
        <v>3300</v>
      </c>
      <c r="H207">
        <v>99900</v>
      </c>
      <c r="I207">
        <v>25500</v>
      </c>
      <c r="J207">
        <v>74400</v>
      </c>
      <c r="K207" t="s">
        <v>1635</v>
      </c>
      <c r="L207">
        <v>3300</v>
      </c>
      <c r="M207" t="s">
        <v>1635</v>
      </c>
      <c r="N207">
        <v>0</v>
      </c>
    </row>
    <row r="208" spans="1:14">
      <c r="A208">
        <v>1</v>
      </c>
      <c r="B208" t="s">
        <v>15</v>
      </c>
      <c r="C208" t="s">
        <v>505</v>
      </c>
      <c r="D208" t="s">
        <v>506</v>
      </c>
      <c r="E208" s="8">
        <v>46073</v>
      </c>
      <c r="F208">
        <v>8</v>
      </c>
      <c r="G208">
        <v>494</v>
      </c>
      <c r="H208">
        <v>8910</v>
      </c>
      <c r="I208">
        <v>3952</v>
      </c>
      <c r="J208">
        <v>4958</v>
      </c>
      <c r="K208" t="s">
        <v>1635</v>
      </c>
      <c r="L208">
        <v>494</v>
      </c>
      <c r="M208" t="s">
        <v>1635</v>
      </c>
      <c r="N208">
        <v>0</v>
      </c>
    </row>
    <row r="209" spans="1:14">
      <c r="A209">
        <v>1</v>
      </c>
      <c r="B209" t="s">
        <v>15</v>
      </c>
      <c r="C209" t="s">
        <v>507</v>
      </c>
      <c r="D209" t="s">
        <v>508</v>
      </c>
      <c r="E209" s="8">
        <v>46073</v>
      </c>
      <c r="F209">
        <v>8</v>
      </c>
      <c r="G209">
        <v>3480</v>
      </c>
      <c r="H209">
        <v>105075</v>
      </c>
      <c r="I209">
        <v>25960</v>
      </c>
      <c r="J209">
        <v>79115</v>
      </c>
      <c r="K209" t="s">
        <v>1635</v>
      </c>
      <c r="L209">
        <v>3480</v>
      </c>
      <c r="M209" t="s">
        <v>1635</v>
      </c>
      <c r="N209">
        <v>0</v>
      </c>
    </row>
    <row r="210" spans="1:14">
      <c r="A210">
        <v>1</v>
      </c>
      <c r="B210" t="s">
        <v>15</v>
      </c>
      <c r="C210" t="s">
        <v>509</v>
      </c>
      <c r="D210" t="s">
        <v>510</v>
      </c>
      <c r="E210" s="8">
        <v>46066</v>
      </c>
      <c r="F210">
        <v>8</v>
      </c>
      <c r="G210">
        <v>3922</v>
      </c>
      <c r="H210">
        <v>119603</v>
      </c>
      <c r="I210">
        <v>29574</v>
      </c>
      <c r="J210">
        <v>90029</v>
      </c>
      <c r="K210" t="s">
        <v>1635</v>
      </c>
      <c r="L210">
        <v>3922</v>
      </c>
      <c r="M210" t="s">
        <v>1635</v>
      </c>
      <c r="N210">
        <v>0</v>
      </c>
    </row>
    <row r="211" spans="1:14">
      <c r="A211">
        <v>1</v>
      </c>
      <c r="B211" t="s">
        <v>15</v>
      </c>
      <c r="C211" t="s">
        <v>511</v>
      </c>
      <c r="D211" t="s">
        <v>512</v>
      </c>
      <c r="E211" s="8">
        <v>46059</v>
      </c>
      <c r="F211">
        <v>8</v>
      </c>
      <c r="G211">
        <v>2967</v>
      </c>
      <c r="H211">
        <v>90192</v>
      </c>
      <c r="I211">
        <v>22489</v>
      </c>
      <c r="J211">
        <v>67703</v>
      </c>
      <c r="K211" t="s">
        <v>1635</v>
      </c>
      <c r="L211">
        <v>2967</v>
      </c>
      <c r="M211" t="s">
        <v>1635</v>
      </c>
      <c r="N211">
        <v>0</v>
      </c>
    </row>
    <row r="212" spans="1:14">
      <c r="A212">
        <v>1</v>
      </c>
      <c r="B212" t="s">
        <v>15</v>
      </c>
      <c r="C212" t="s">
        <v>513</v>
      </c>
      <c r="D212" t="s">
        <v>514</v>
      </c>
      <c r="E212" s="8">
        <v>46066</v>
      </c>
      <c r="F212">
        <v>8</v>
      </c>
      <c r="G212">
        <v>2565</v>
      </c>
      <c r="H212">
        <v>78200</v>
      </c>
      <c r="I212">
        <v>19755</v>
      </c>
      <c r="J212">
        <v>58445</v>
      </c>
      <c r="K212" t="s">
        <v>1635</v>
      </c>
      <c r="L212">
        <v>2565</v>
      </c>
      <c r="M212" t="s">
        <v>1635</v>
      </c>
      <c r="N212">
        <v>0</v>
      </c>
    </row>
    <row r="213" spans="1:14">
      <c r="A213">
        <v>1</v>
      </c>
      <c r="B213" t="s">
        <v>15</v>
      </c>
      <c r="C213" t="s">
        <v>519</v>
      </c>
      <c r="D213" t="s">
        <v>520</v>
      </c>
      <c r="E213" s="8">
        <v>46066</v>
      </c>
      <c r="F213">
        <v>8</v>
      </c>
      <c r="G213">
        <v>3630</v>
      </c>
      <c r="H213">
        <v>110000</v>
      </c>
      <c r="I213">
        <v>26600</v>
      </c>
      <c r="J213">
        <v>83400</v>
      </c>
      <c r="K213" t="s">
        <v>1635</v>
      </c>
      <c r="L213">
        <v>3630</v>
      </c>
      <c r="M213" t="s">
        <v>1635</v>
      </c>
      <c r="N213">
        <v>0</v>
      </c>
    </row>
    <row r="214" spans="1:14">
      <c r="A214">
        <v>1</v>
      </c>
      <c r="B214" t="s">
        <v>15</v>
      </c>
      <c r="C214" t="s">
        <v>521</v>
      </c>
      <c r="D214" t="s">
        <v>522</v>
      </c>
      <c r="E214" s="8">
        <v>46059</v>
      </c>
      <c r="F214">
        <v>8</v>
      </c>
      <c r="G214">
        <v>1302</v>
      </c>
      <c r="H214">
        <v>23001</v>
      </c>
      <c r="I214">
        <v>10416</v>
      </c>
      <c r="J214">
        <v>12585</v>
      </c>
      <c r="K214" t="s">
        <v>1635</v>
      </c>
      <c r="L214">
        <v>1302</v>
      </c>
      <c r="M214" t="s">
        <v>1635</v>
      </c>
      <c r="N214">
        <v>0</v>
      </c>
    </row>
    <row r="215" spans="1:14">
      <c r="A215">
        <v>1</v>
      </c>
      <c r="B215" t="s">
        <v>15</v>
      </c>
      <c r="C215" t="s">
        <v>523</v>
      </c>
      <c r="D215" t="s">
        <v>524</v>
      </c>
      <c r="E215" s="8">
        <v>46059</v>
      </c>
      <c r="F215">
        <v>8</v>
      </c>
      <c r="G215">
        <v>1755</v>
      </c>
      <c r="H215">
        <v>31400</v>
      </c>
      <c r="I215">
        <v>14040</v>
      </c>
      <c r="J215">
        <v>17360</v>
      </c>
      <c r="K215" t="s">
        <v>1635</v>
      </c>
      <c r="L215">
        <v>1755</v>
      </c>
      <c r="M215" t="s">
        <v>1635</v>
      </c>
      <c r="N215">
        <v>0</v>
      </c>
    </row>
    <row r="216" spans="1:14">
      <c r="A216">
        <v>1</v>
      </c>
      <c r="B216" t="s">
        <v>15</v>
      </c>
      <c r="C216" t="s">
        <v>527</v>
      </c>
      <c r="D216" t="s">
        <v>528</v>
      </c>
      <c r="E216" s="8">
        <v>46073</v>
      </c>
      <c r="F216">
        <v>8</v>
      </c>
      <c r="G216">
        <v>4575</v>
      </c>
      <c r="H216">
        <v>135731</v>
      </c>
      <c r="I216">
        <v>35075</v>
      </c>
      <c r="J216">
        <v>100656</v>
      </c>
      <c r="K216" t="s">
        <v>1635</v>
      </c>
      <c r="L216">
        <v>4575</v>
      </c>
      <c r="M216" t="s">
        <v>1635</v>
      </c>
      <c r="N216">
        <v>0</v>
      </c>
    </row>
    <row r="217" spans="1:14">
      <c r="A217">
        <v>1</v>
      </c>
      <c r="B217" t="s">
        <v>15</v>
      </c>
      <c r="C217" t="s">
        <v>539</v>
      </c>
      <c r="D217" t="s">
        <v>540</v>
      </c>
      <c r="E217" s="8">
        <v>46073</v>
      </c>
      <c r="F217">
        <v>8</v>
      </c>
      <c r="G217">
        <v>2745</v>
      </c>
      <c r="H217">
        <v>82476</v>
      </c>
      <c r="I217">
        <v>21015</v>
      </c>
      <c r="J217">
        <v>61461</v>
      </c>
      <c r="K217" t="s">
        <v>1635</v>
      </c>
      <c r="L217">
        <v>2745</v>
      </c>
      <c r="M217" t="s">
        <v>1635</v>
      </c>
      <c r="N217">
        <v>0</v>
      </c>
    </row>
    <row r="218" spans="1:14">
      <c r="A218">
        <v>1</v>
      </c>
      <c r="B218" t="s">
        <v>15</v>
      </c>
      <c r="C218" t="s">
        <v>541</v>
      </c>
      <c r="D218" t="s">
        <v>542</v>
      </c>
      <c r="E218" s="8">
        <v>46073</v>
      </c>
      <c r="F218">
        <v>8</v>
      </c>
      <c r="G218">
        <v>4290</v>
      </c>
      <c r="H218">
        <v>130000</v>
      </c>
      <c r="I218">
        <v>32230</v>
      </c>
      <c r="J218">
        <v>97770</v>
      </c>
      <c r="K218" t="s">
        <v>1635</v>
      </c>
      <c r="L218">
        <v>4290</v>
      </c>
      <c r="M218" t="s">
        <v>1635</v>
      </c>
      <c r="N218">
        <v>0</v>
      </c>
    </row>
    <row r="219" spans="1:14">
      <c r="A219">
        <v>1</v>
      </c>
      <c r="B219" t="s">
        <v>15</v>
      </c>
      <c r="C219" t="s">
        <v>544</v>
      </c>
      <c r="D219" t="s">
        <v>545</v>
      </c>
      <c r="E219" s="8">
        <v>46066</v>
      </c>
      <c r="F219">
        <v>8</v>
      </c>
      <c r="G219">
        <v>3339</v>
      </c>
      <c r="H219">
        <v>101368</v>
      </c>
      <c r="I219">
        <v>25493</v>
      </c>
      <c r="J219">
        <v>75875</v>
      </c>
      <c r="K219" t="s">
        <v>1635</v>
      </c>
      <c r="L219">
        <v>3339</v>
      </c>
      <c r="M219" t="s">
        <v>1635</v>
      </c>
      <c r="N219">
        <v>0</v>
      </c>
    </row>
    <row r="220" spans="1:14">
      <c r="A220">
        <v>1</v>
      </c>
      <c r="B220" t="s">
        <v>15</v>
      </c>
      <c r="C220" t="s">
        <v>548</v>
      </c>
      <c r="D220" t="s">
        <v>549</v>
      </c>
      <c r="E220" s="8">
        <v>46073</v>
      </c>
      <c r="F220">
        <v>8</v>
      </c>
      <c r="G220">
        <v>2632</v>
      </c>
      <c r="H220">
        <v>78025</v>
      </c>
      <c r="I220">
        <v>20354</v>
      </c>
      <c r="J220">
        <v>57671</v>
      </c>
      <c r="K220" t="s">
        <v>1635</v>
      </c>
      <c r="L220">
        <v>2632</v>
      </c>
      <c r="M220" t="s">
        <v>1635</v>
      </c>
      <c r="N220">
        <v>0</v>
      </c>
    </row>
    <row r="221" spans="1:14">
      <c r="A221">
        <v>1</v>
      </c>
      <c r="B221" t="s">
        <v>15</v>
      </c>
      <c r="C221" t="s">
        <v>554</v>
      </c>
      <c r="D221" t="s">
        <v>555</v>
      </c>
      <c r="E221" s="8">
        <v>46066</v>
      </c>
      <c r="F221">
        <v>8</v>
      </c>
      <c r="G221">
        <v>5358</v>
      </c>
      <c r="H221">
        <v>163831</v>
      </c>
      <c r="I221">
        <v>41216</v>
      </c>
      <c r="J221">
        <v>122615</v>
      </c>
      <c r="K221" t="s">
        <v>1635</v>
      </c>
      <c r="L221">
        <v>5358</v>
      </c>
      <c r="M221" t="s">
        <v>1635</v>
      </c>
      <c r="N221">
        <v>0</v>
      </c>
    </row>
    <row r="222" spans="1:14">
      <c r="A222">
        <v>1</v>
      </c>
      <c r="B222" t="s">
        <v>15</v>
      </c>
      <c r="C222" t="s">
        <v>558</v>
      </c>
      <c r="D222" t="s">
        <v>559</v>
      </c>
      <c r="E222" s="8">
        <v>46059</v>
      </c>
      <c r="F222">
        <v>8</v>
      </c>
      <c r="G222">
        <v>1440</v>
      </c>
      <c r="H222">
        <v>25912</v>
      </c>
      <c r="I222">
        <v>11520</v>
      </c>
      <c r="J222">
        <v>14392</v>
      </c>
      <c r="K222" t="s">
        <v>1635</v>
      </c>
      <c r="L222">
        <v>1440</v>
      </c>
      <c r="M222" t="s">
        <v>1635</v>
      </c>
      <c r="N222">
        <v>0</v>
      </c>
    </row>
    <row r="223" spans="1:14">
      <c r="A223">
        <v>1</v>
      </c>
      <c r="B223" t="s">
        <v>15</v>
      </c>
      <c r="C223" t="s">
        <v>560</v>
      </c>
      <c r="D223" t="s">
        <v>561</v>
      </c>
      <c r="E223" s="8">
        <v>46066</v>
      </c>
      <c r="F223">
        <v>8</v>
      </c>
      <c r="G223">
        <v>2900</v>
      </c>
      <c r="H223">
        <v>87000</v>
      </c>
      <c r="I223">
        <v>18500</v>
      </c>
      <c r="J223">
        <v>68500</v>
      </c>
      <c r="K223" t="s">
        <v>1635</v>
      </c>
      <c r="L223">
        <v>2900</v>
      </c>
      <c r="M223" t="s">
        <v>1635</v>
      </c>
      <c r="N223">
        <v>0</v>
      </c>
    </row>
    <row r="224" spans="1:14">
      <c r="A224">
        <v>1</v>
      </c>
      <c r="B224" t="s">
        <v>15</v>
      </c>
      <c r="C224" t="s">
        <v>564</v>
      </c>
      <c r="D224" t="s">
        <v>565</v>
      </c>
      <c r="E224" s="8">
        <v>46066</v>
      </c>
      <c r="F224">
        <v>8</v>
      </c>
      <c r="G224">
        <v>1560</v>
      </c>
      <c r="H224">
        <v>27722</v>
      </c>
      <c r="I224">
        <v>12480</v>
      </c>
      <c r="J224">
        <v>15242</v>
      </c>
      <c r="K224" t="s">
        <v>1635</v>
      </c>
      <c r="L224">
        <v>1560</v>
      </c>
      <c r="M224" t="s">
        <v>1635</v>
      </c>
      <c r="N224">
        <v>0</v>
      </c>
    </row>
    <row r="225" spans="1:14">
      <c r="A225">
        <v>1</v>
      </c>
      <c r="B225" t="s">
        <v>15</v>
      </c>
      <c r="C225" t="s">
        <v>569</v>
      </c>
      <c r="D225" t="s">
        <v>570</v>
      </c>
      <c r="E225" s="8">
        <v>46073</v>
      </c>
      <c r="F225">
        <v>8</v>
      </c>
      <c r="G225">
        <v>3139</v>
      </c>
      <c r="H225">
        <v>100000</v>
      </c>
      <c r="I225">
        <v>22512</v>
      </c>
      <c r="J225">
        <v>77488</v>
      </c>
      <c r="K225" t="s">
        <v>1635</v>
      </c>
      <c r="L225">
        <v>3139</v>
      </c>
      <c r="M225" t="s">
        <v>1635</v>
      </c>
      <c r="N225">
        <v>0</v>
      </c>
    </row>
    <row r="226" spans="1:14">
      <c r="A226">
        <v>1</v>
      </c>
      <c r="B226" t="s">
        <v>15</v>
      </c>
      <c r="C226" t="s">
        <v>571</v>
      </c>
      <c r="D226" t="s">
        <v>572</v>
      </c>
      <c r="E226" s="8">
        <v>46066</v>
      </c>
      <c r="F226">
        <v>8</v>
      </c>
      <c r="G226">
        <v>2271.5</v>
      </c>
      <c r="H226">
        <v>68100</v>
      </c>
      <c r="I226">
        <v>17460.5</v>
      </c>
      <c r="J226">
        <v>50639.5</v>
      </c>
      <c r="K226" t="s">
        <v>1635</v>
      </c>
      <c r="L226">
        <v>2271.5</v>
      </c>
      <c r="M226" t="s">
        <v>1635</v>
      </c>
      <c r="N226">
        <v>0</v>
      </c>
    </row>
    <row r="227" spans="1:14">
      <c r="A227">
        <v>1</v>
      </c>
      <c r="B227" t="s">
        <v>15</v>
      </c>
      <c r="C227" t="s">
        <v>577</v>
      </c>
      <c r="D227" t="s">
        <v>578</v>
      </c>
      <c r="E227" s="8">
        <v>46073</v>
      </c>
      <c r="F227">
        <v>8</v>
      </c>
      <c r="G227">
        <v>5880</v>
      </c>
      <c r="H227">
        <v>179000</v>
      </c>
      <c r="I227">
        <v>42158</v>
      </c>
      <c r="J227">
        <v>136842</v>
      </c>
      <c r="K227" t="s">
        <v>1635</v>
      </c>
      <c r="L227">
        <v>5880</v>
      </c>
      <c r="M227" t="s">
        <v>1635</v>
      </c>
      <c r="N227">
        <v>0</v>
      </c>
    </row>
    <row r="228" spans="1:14">
      <c r="A228">
        <v>1</v>
      </c>
      <c r="B228" t="s">
        <v>15</v>
      </c>
      <c r="C228" t="s">
        <v>580</v>
      </c>
      <c r="D228" t="s">
        <v>581</v>
      </c>
      <c r="E228" s="8">
        <v>46073</v>
      </c>
      <c r="F228">
        <v>8</v>
      </c>
      <c r="G228">
        <v>1254</v>
      </c>
      <c r="H228">
        <v>37493</v>
      </c>
      <c r="I228">
        <v>10032</v>
      </c>
      <c r="J228">
        <v>27461</v>
      </c>
      <c r="K228" t="s">
        <v>1635</v>
      </c>
      <c r="L228">
        <v>1254</v>
      </c>
      <c r="M228" t="s">
        <v>1635</v>
      </c>
      <c r="N228">
        <v>0</v>
      </c>
    </row>
    <row r="229" spans="1:14">
      <c r="A229">
        <v>1</v>
      </c>
      <c r="B229" t="s">
        <v>15</v>
      </c>
      <c r="C229" t="s">
        <v>582</v>
      </c>
      <c r="D229" t="s">
        <v>583</v>
      </c>
      <c r="E229" s="8">
        <v>46073</v>
      </c>
      <c r="F229">
        <v>8</v>
      </c>
      <c r="G229">
        <v>2236</v>
      </c>
      <c r="H229">
        <v>67000</v>
      </c>
      <c r="I229">
        <v>17372</v>
      </c>
      <c r="J229">
        <v>49628</v>
      </c>
      <c r="K229" t="s">
        <v>1635</v>
      </c>
      <c r="L229">
        <v>2236</v>
      </c>
      <c r="M229" t="s">
        <v>1635</v>
      </c>
      <c r="N229">
        <v>0</v>
      </c>
    </row>
    <row r="230" spans="1:14">
      <c r="A230">
        <v>1</v>
      </c>
      <c r="B230" t="s">
        <v>15</v>
      </c>
      <c r="C230" t="s">
        <v>586</v>
      </c>
      <c r="D230" t="s">
        <v>587</v>
      </c>
      <c r="E230" s="8">
        <v>46073</v>
      </c>
      <c r="F230">
        <v>8</v>
      </c>
      <c r="G230">
        <v>3840</v>
      </c>
      <c r="H230">
        <v>160380</v>
      </c>
      <c r="I230">
        <v>39360</v>
      </c>
      <c r="J230">
        <v>121020</v>
      </c>
      <c r="K230" t="s">
        <v>1635</v>
      </c>
      <c r="L230">
        <v>3840</v>
      </c>
      <c r="M230" t="s">
        <v>1635</v>
      </c>
      <c r="N230">
        <v>0</v>
      </c>
    </row>
    <row r="231" spans="1:14">
      <c r="A231">
        <v>1</v>
      </c>
      <c r="B231" t="s">
        <v>15</v>
      </c>
      <c r="C231" t="s">
        <v>590</v>
      </c>
      <c r="D231" t="s">
        <v>591</v>
      </c>
      <c r="E231" s="8">
        <v>46059</v>
      </c>
      <c r="F231">
        <v>8</v>
      </c>
      <c r="G231">
        <v>1491</v>
      </c>
      <c r="H231">
        <v>27758</v>
      </c>
      <c r="I231">
        <v>11928</v>
      </c>
      <c r="J231">
        <v>15830</v>
      </c>
      <c r="K231" t="s">
        <v>1635</v>
      </c>
      <c r="L231">
        <v>1491</v>
      </c>
      <c r="M231" t="s">
        <v>1635</v>
      </c>
      <c r="N231">
        <v>0</v>
      </c>
    </row>
    <row r="232" spans="1:14">
      <c r="A232">
        <v>1</v>
      </c>
      <c r="B232" t="s">
        <v>15</v>
      </c>
      <c r="C232" t="s">
        <v>594</v>
      </c>
      <c r="D232" t="s">
        <v>595</v>
      </c>
      <c r="E232" s="8">
        <v>46066</v>
      </c>
      <c r="F232">
        <v>8</v>
      </c>
      <c r="G232">
        <v>2772</v>
      </c>
      <c r="H232">
        <v>84510</v>
      </c>
      <c r="I232">
        <v>21084</v>
      </c>
      <c r="J232">
        <v>63426</v>
      </c>
      <c r="K232" t="s">
        <v>1635</v>
      </c>
      <c r="L232">
        <v>2772</v>
      </c>
      <c r="M232" t="s">
        <v>1635</v>
      </c>
      <c r="N232">
        <v>0</v>
      </c>
    </row>
    <row r="233" spans="1:14">
      <c r="A233">
        <v>1</v>
      </c>
      <c r="B233" t="s">
        <v>15</v>
      </c>
      <c r="C233" t="s">
        <v>596</v>
      </c>
      <c r="D233" t="s">
        <v>597</v>
      </c>
      <c r="E233" s="8">
        <v>46059</v>
      </c>
      <c r="F233">
        <v>8</v>
      </c>
      <c r="G233">
        <v>3567</v>
      </c>
      <c r="H233">
        <v>107595</v>
      </c>
      <c r="I233">
        <v>26659</v>
      </c>
      <c r="J233">
        <v>80936</v>
      </c>
      <c r="K233" t="s">
        <v>1635</v>
      </c>
      <c r="L233">
        <v>3567</v>
      </c>
      <c r="M233" t="s">
        <v>1635</v>
      </c>
      <c r="N233">
        <v>0</v>
      </c>
    </row>
    <row r="234" spans="1:14">
      <c r="A234">
        <v>1</v>
      </c>
      <c r="B234" t="s">
        <v>15</v>
      </c>
      <c r="C234" t="s">
        <v>598</v>
      </c>
      <c r="D234" t="s">
        <v>599</v>
      </c>
      <c r="E234" s="8">
        <v>46073</v>
      </c>
      <c r="F234">
        <v>8</v>
      </c>
      <c r="G234">
        <v>4650</v>
      </c>
      <c r="H234">
        <v>138500</v>
      </c>
      <c r="I234">
        <v>35130</v>
      </c>
      <c r="J234">
        <v>103370</v>
      </c>
      <c r="K234" t="s">
        <v>1635</v>
      </c>
      <c r="L234">
        <v>4650</v>
      </c>
      <c r="M234" t="s">
        <v>1635</v>
      </c>
      <c r="N234">
        <v>0</v>
      </c>
    </row>
    <row r="235" spans="1:14">
      <c r="A235">
        <v>1</v>
      </c>
      <c r="B235" t="s">
        <v>15</v>
      </c>
      <c r="C235" t="s">
        <v>600</v>
      </c>
      <c r="D235" t="s">
        <v>601</v>
      </c>
      <c r="E235" s="8">
        <v>46066</v>
      </c>
      <c r="F235">
        <v>8</v>
      </c>
      <c r="G235">
        <v>4524</v>
      </c>
      <c r="H235">
        <v>136666</v>
      </c>
      <c r="I235">
        <v>33748</v>
      </c>
      <c r="J235">
        <v>102918</v>
      </c>
      <c r="K235" t="s">
        <v>1635</v>
      </c>
      <c r="L235">
        <v>4524</v>
      </c>
      <c r="M235" t="s">
        <v>1635</v>
      </c>
      <c r="N235">
        <v>0</v>
      </c>
    </row>
    <row r="236" spans="1:14">
      <c r="A236">
        <v>1</v>
      </c>
      <c r="B236" t="s">
        <v>15</v>
      </c>
      <c r="C236" t="s">
        <v>615</v>
      </c>
      <c r="D236" t="s">
        <v>616</v>
      </c>
      <c r="E236" s="8">
        <v>46073</v>
      </c>
      <c r="F236">
        <v>8</v>
      </c>
      <c r="G236">
        <v>2250</v>
      </c>
      <c r="H236">
        <v>68787</v>
      </c>
      <c r="I236">
        <v>17550</v>
      </c>
      <c r="J236">
        <v>51237</v>
      </c>
      <c r="K236" t="s">
        <v>1635</v>
      </c>
      <c r="L236">
        <v>2250</v>
      </c>
      <c r="M236" t="s">
        <v>1635</v>
      </c>
      <c r="N236">
        <v>0</v>
      </c>
    </row>
    <row r="237" spans="1:14">
      <c r="A237">
        <v>1</v>
      </c>
      <c r="B237" t="s">
        <v>15</v>
      </c>
      <c r="C237" t="s">
        <v>620</v>
      </c>
      <c r="D237" t="s">
        <v>621</v>
      </c>
      <c r="E237" s="8">
        <v>46059</v>
      </c>
      <c r="F237">
        <v>8</v>
      </c>
      <c r="G237">
        <v>1350</v>
      </c>
      <c r="H237">
        <v>24498</v>
      </c>
      <c r="I237">
        <v>10800</v>
      </c>
      <c r="J237">
        <v>13698</v>
      </c>
      <c r="K237" t="s">
        <v>1635</v>
      </c>
      <c r="L237">
        <v>1350</v>
      </c>
      <c r="M237" t="s">
        <v>1635</v>
      </c>
      <c r="N237">
        <v>0</v>
      </c>
    </row>
    <row r="238" spans="1:14">
      <c r="A238">
        <v>1</v>
      </c>
      <c r="B238" t="s">
        <v>15</v>
      </c>
      <c r="C238" t="s">
        <v>632</v>
      </c>
      <c r="D238" t="s">
        <v>633</v>
      </c>
      <c r="E238" s="8">
        <v>46059</v>
      </c>
      <c r="F238">
        <v>8</v>
      </c>
      <c r="G238">
        <v>2928</v>
      </c>
      <c r="H238">
        <v>85000</v>
      </c>
      <c r="I238">
        <v>22516</v>
      </c>
      <c r="J238">
        <v>62484</v>
      </c>
      <c r="K238" t="s">
        <v>1635</v>
      </c>
      <c r="L238">
        <v>2928</v>
      </c>
      <c r="M238" t="s">
        <v>1635</v>
      </c>
      <c r="N238">
        <v>0</v>
      </c>
    </row>
    <row r="239" spans="1:14">
      <c r="A239">
        <v>1</v>
      </c>
      <c r="B239" t="s">
        <v>15</v>
      </c>
      <c r="C239" t="s">
        <v>638</v>
      </c>
      <c r="D239" t="s">
        <v>639</v>
      </c>
      <c r="E239" s="8">
        <v>46066</v>
      </c>
      <c r="F239">
        <v>8</v>
      </c>
      <c r="G239">
        <v>1273</v>
      </c>
      <c r="H239">
        <v>22732</v>
      </c>
      <c r="I239">
        <v>10184</v>
      </c>
      <c r="J239">
        <v>12548</v>
      </c>
      <c r="K239" t="s">
        <v>1635</v>
      </c>
      <c r="L239">
        <v>1273</v>
      </c>
      <c r="M239" t="s">
        <v>1635</v>
      </c>
      <c r="N239">
        <v>0</v>
      </c>
    </row>
    <row r="240" spans="1:14">
      <c r="A240">
        <v>1</v>
      </c>
      <c r="B240" t="s">
        <v>15</v>
      </c>
      <c r="C240" t="s">
        <v>640</v>
      </c>
      <c r="D240" t="s">
        <v>641</v>
      </c>
      <c r="E240" s="8">
        <v>46073</v>
      </c>
      <c r="F240">
        <v>8</v>
      </c>
      <c r="G240">
        <v>2520</v>
      </c>
      <c r="H240">
        <v>76300</v>
      </c>
      <c r="I240">
        <v>19440</v>
      </c>
      <c r="J240">
        <v>56860</v>
      </c>
      <c r="K240" t="s">
        <v>1635</v>
      </c>
      <c r="L240">
        <v>2520</v>
      </c>
      <c r="M240" t="s">
        <v>1635</v>
      </c>
      <c r="N240">
        <v>0</v>
      </c>
    </row>
    <row r="241" spans="1:14">
      <c r="A241">
        <v>1</v>
      </c>
      <c r="B241" t="s">
        <v>15</v>
      </c>
      <c r="C241" t="s">
        <v>651</v>
      </c>
      <c r="D241" t="s">
        <v>652</v>
      </c>
      <c r="E241" s="8">
        <v>46073</v>
      </c>
      <c r="F241">
        <v>8</v>
      </c>
      <c r="G241">
        <v>4875</v>
      </c>
      <c r="H241">
        <v>148000</v>
      </c>
      <c r="I241">
        <v>36725</v>
      </c>
      <c r="J241">
        <v>111275</v>
      </c>
      <c r="K241" t="s">
        <v>1635</v>
      </c>
      <c r="L241">
        <v>4875</v>
      </c>
      <c r="M241" t="s">
        <v>1635</v>
      </c>
      <c r="N241">
        <v>0</v>
      </c>
    </row>
    <row r="242" spans="1:14">
      <c r="A242">
        <v>1</v>
      </c>
      <c r="B242" t="s">
        <v>15</v>
      </c>
      <c r="C242" t="s">
        <v>659</v>
      </c>
      <c r="D242" t="s">
        <v>660</v>
      </c>
      <c r="E242" s="8">
        <v>46059</v>
      </c>
      <c r="F242">
        <v>8</v>
      </c>
      <c r="G242">
        <v>1360</v>
      </c>
      <c r="H242">
        <v>24696</v>
      </c>
      <c r="I242">
        <v>10880</v>
      </c>
      <c r="J242">
        <v>13816</v>
      </c>
      <c r="K242" t="s">
        <v>1635</v>
      </c>
      <c r="L242">
        <v>1360</v>
      </c>
      <c r="M242" t="s">
        <v>1635</v>
      </c>
      <c r="N242">
        <v>0</v>
      </c>
    </row>
    <row r="243" spans="1:14">
      <c r="A243">
        <v>1</v>
      </c>
      <c r="B243" t="s">
        <v>15</v>
      </c>
      <c r="C243" t="s">
        <v>661</v>
      </c>
      <c r="D243" t="s">
        <v>662</v>
      </c>
      <c r="E243" s="8">
        <v>46073</v>
      </c>
      <c r="F243">
        <v>8</v>
      </c>
      <c r="G243">
        <v>4005</v>
      </c>
      <c r="H243">
        <v>121500</v>
      </c>
      <c r="I243">
        <v>29835</v>
      </c>
      <c r="J243">
        <v>91665</v>
      </c>
      <c r="K243" t="s">
        <v>1635</v>
      </c>
      <c r="L243">
        <v>4005</v>
      </c>
      <c r="M243" t="s">
        <v>1635</v>
      </c>
      <c r="N243">
        <v>0</v>
      </c>
    </row>
    <row r="244" spans="1:14">
      <c r="A244">
        <v>1</v>
      </c>
      <c r="B244" t="s">
        <v>15</v>
      </c>
      <c r="C244" t="s">
        <v>665</v>
      </c>
      <c r="D244" t="s">
        <v>666</v>
      </c>
      <c r="E244" s="8">
        <v>46073</v>
      </c>
      <c r="F244">
        <v>8</v>
      </c>
      <c r="G244">
        <v>1749</v>
      </c>
      <c r="H244">
        <v>30538</v>
      </c>
      <c r="I244">
        <v>14388</v>
      </c>
      <c r="J244">
        <v>16150</v>
      </c>
      <c r="K244" t="s">
        <v>1635</v>
      </c>
      <c r="L244">
        <v>1749</v>
      </c>
      <c r="M244" t="s">
        <v>1635</v>
      </c>
      <c r="N244">
        <v>0</v>
      </c>
    </row>
    <row r="245" spans="1:14">
      <c r="A245">
        <v>1</v>
      </c>
      <c r="B245" t="s">
        <v>15</v>
      </c>
      <c r="C245" t="s">
        <v>669</v>
      </c>
      <c r="D245" t="s">
        <v>670</v>
      </c>
      <c r="E245" s="8">
        <v>46066</v>
      </c>
      <c r="F245">
        <v>8</v>
      </c>
      <c r="G245">
        <v>3834</v>
      </c>
      <c r="H245">
        <v>111671</v>
      </c>
      <c r="I245">
        <v>29098</v>
      </c>
      <c r="J245">
        <v>82573</v>
      </c>
      <c r="K245" t="s">
        <v>1635</v>
      </c>
      <c r="L245">
        <v>3834</v>
      </c>
      <c r="M245" t="s">
        <v>1635</v>
      </c>
      <c r="N245">
        <v>0</v>
      </c>
    </row>
    <row r="246" spans="1:14">
      <c r="A246">
        <v>1</v>
      </c>
      <c r="B246" t="s">
        <v>15</v>
      </c>
      <c r="C246" t="s">
        <v>671</v>
      </c>
      <c r="D246" t="s">
        <v>672</v>
      </c>
      <c r="E246" s="8">
        <v>46059</v>
      </c>
      <c r="F246">
        <v>8</v>
      </c>
      <c r="G246">
        <v>3360</v>
      </c>
      <c r="H246">
        <v>100000</v>
      </c>
      <c r="I246">
        <v>26880</v>
      </c>
      <c r="J246">
        <v>73120</v>
      </c>
      <c r="K246" t="s">
        <v>1635</v>
      </c>
      <c r="L246">
        <v>3360</v>
      </c>
      <c r="M246" t="s">
        <v>1635</v>
      </c>
      <c r="N246">
        <v>0</v>
      </c>
    </row>
    <row r="247" spans="1:14">
      <c r="A247">
        <v>1</v>
      </c>
      <c r="B247" t="s">
        <v>15</v>
      </c>
      <c r="C247" t="s">
        <v>677</v>
      </c>
      <c r="D247" t="s">
        <v>678</v>
      </c>
      <c r="E247" s="8">
        <v>46073</v>
      </c>
      <c r="F247">
        <v>8</v>
      </c>
      <c r="G247">
        <v>2576</v>
      </c>
      <c r="H247">
        <v>75768</v>
      </c>
      <c r="I247">
        <v>19922</v>
      </c>
      <c r="J247">
        <v>55846</v>
      </c>
      <c r="K247" t="s">
        <v>1635</v>
      </c>
      <c r="L247">
        <v>2576</v>
      </c>
      <c r="M247" t="s">
        <v>1635</v>
      </c>
      <c r="N247">
        <v>0</v>
      </c>
    </row>
    <row r="248" spans="1:14">
      <c r="A248">
        <v>1</v>
      </c>
      <c r="B248" t="s">
        <v>15</v>
      </c>
      <c r="C248" t="s">
        <v>694</v>
      </c>
      <c r="D248" t="s">
        <v>695</v>
      </c>
      <c r="E248" s="8">
        <v>46066</v>
      </c>
      <c r="F248">
        <v>8</v>
      </c>
      <c r="G248">
        <v>1320</v>
      </c>
      <c r="H248">
        <v>26600</v>
      </c>
      <c r="I248">
        <v>10560</v>
      </c>
      <c r="J248">
        <v>16040</v>
      </c>
      <c r="K248" t="s">
        <v>1635</v>
      </c>
      <c r="L248">
        <v>1320</v>
      </c>
      <c r="M248" t="s">
        <v>1635</v>
      </c>
      <c r="N248">
        <v>0</v>
      </c>
    </row>
    <row r="249" spans="1:14">
      <c r="A249">
        <v>1</v>
      </c>
      <c r="B249" t="s">
        <v>15</v>
      </c>
      <c r="C249" t="s">
        <v>704</v>
      </c>
      <c r="D249" t="s">
        <v>705</v>
      </c>
      <c r="E249" s="8">
        <v>46059</v>
      </c>
      <c r="F249">
        <v>8</v>
      </c>
      <c r="G249">
        <v>2520</v>
      </c>
      <c r="H249">
        <v>76656</v>
      </c>
      <c r="I249">
        <v>17055</v>
      </c>
      <c r="J249">
        <v>59601</v>
      </c>
      <c r="K249" t="s">
        <v>1635</v>
      </c>
      <c r="L249">
        <v>2520</v>
      </c>
      <c r="M249" t="s">
        <v>1635</v>
      </c>
      <c r="N249">
        <v>0</v>
      </c>
    </row>
    <row r="250" spans="1:14">
      <c r="A250">
        <v>1</v>
      </c>
      <c r="B250" t="s">
        <v>15</v>
      </c>
      <c r="C250" t="s">
        <v>707</v>
      </c>
      <c r="D250" t="s">
        <v>708</v>
      </c>
      <c r="E250" s="8">
        <v>46073</v>
      </c>
      <c r="F250">
        <v>8</v>
      </c>
      <c r="G250">
        <v>3354</v>
      </c>
      <c r="H250">
        <v>103822</v>
      </c>
      <c r="I250">
        <v>25198</v>
      </c>
      <c r="J250">
        <v>78624</v>
      </c>
      <c r="K250" t="s">
        <v>1635</v>
      </c>
      <c r="L250">
        <v>3354</v>
      </c>
      <c r="M250" t="s">
        <v>1635</v>
      </c>
      <c r="N250">
        <v>0</v>
      </c>
    </row>
    <row r="251" spans="1:14">
      <c r="A251">
        <v>1</v>
      </c>
      <c r="B251" t="s">
        <v>15</v>
      </c>
      <c r="C251" t="s">
        <v>778</v>
      </c>
      <c r="D251" t="s">
        <v>779</v>
      </c>
      <c r="E251" s="8">
        <v>46073</v>
      </c>
      <c r="F251">
        <v>8</v>
      </c>
      <c r="G251">
        <v>1014</v>
      </c>
      <c r="H251">
        <v>17949</v>
      </c>
      <c r="I251">
        <v>8112</v>
      </c>
      <c r="J251">
        <v>9837</v>
      </c>
      <c r="K251" t="s">
        <v>1635</v>
      </c>
      <c r="L251">
        <v>1014</v>
      </c>
      <c r="M251" t="s">
        <v>1635</v>
      </c>
      <c r="N251">
        <v>0</v>
      </c>
    </row>
    <row r="252" spans="1:14">
      <c r="A252">
        <v>1</v>
      </c>
      <c r="B252" t="s">
        <v>15</v>
      </c>
      <c r="C252" t="s">
        <v>790</v>
      </c>
      <c r="D252" t="s">
        <v>791</v>
      </c>
      <c r="E252" s="8">
        <v>46059</v>
      </c>
      <c r="F252">
        <v>8</v>
      </c>
      <c r="G252">
        <v>3780</v>
      </c>
      <c r="H252">
        <v>115818</v>
      </c>
      <c r="I252">
        <v>28860</v>
      </c>
      <c r="J252">
        <v>86958</v>
      </c>
      <c r="K252" t="s">
        <v>1635</v>
      </c>
      <c r="L252">
        <v>3780</v>
      </c>
      <c r="M252" t="s">
        <v>1635</v>
      </c>
      <c r="N252">
        <v>0</v>
      </c>
    </row>
    <row r="253" spans="1:14">
      <c r="A253">
        <v>1</v>
      </c>
      <c r="B253" t="s">
        <v>15</v>
      </c>
      <c r="C253" t="s">
        <v>818</v>
      </c>
      <c r="D253" t="s">
        <v>819</v>
      </c>
      <c r="E253" s="8">
        <v>46066</v>
      </c>
      <c r="F253">
        <v>8</v>
      </c>
      <c r="G253">
        <v>1189</v>
      </c>
      <c r="H253">
        <v>21735</v>
      </c>
      <c r="I253">
        <v>7569</v>
      </c>
      <c r="J253">
        <v>14166</v>
      </c>
      <c r="K253" t="s">
        <v>1635</v>
      </c>
      <c r="L253">
        <v>1189</v>
      </c>
      <c r="M253" t="s">
        <v>1635</v>
      </c>
      <c r="N253">
        <v>0</v>
      </c>
    </row>
    <row r="254" spans="1:14">
      <c r="A254">
        <v>1</v>
      </c>
      <c r="B254" t="s">
        <v>15</v>
      </c>
      <c r="C254" t="s">
        <v>38</v>
      </c>
      <c r="D254" t="s">
        <v>39</v>
      </c>
      <c r="E254" s="8">
        <v>46066</v>
      </c>
      <c r="F254">
        <v>9</v>
      </c>
      <c r="G254">
        <v>1840</v>
      </c>
      <c r="H254">
        <v>55000</v>
      </c>
      <c r="I254">
        <v>16560</v>
      </c>
      <c r="J254">
        <v>38440</v>
      </c>
      <c r="K254" t="s">
        <v>1635</v>
      </c>
      <c r="L254">
        <v>1840</v>
      </c>
      <c r="M254" t="s">
        <v>1635</v>
      </c>
      <c r="N254">
        <v>0</v>
      </c>
    </row>
    <row r="255" spans="1:14">
      <c r="A255">
        <v>1</v>
      </c>
      <c r="B255" t="s">
        <v>15</v>
      </c>
      <c r="C255" t="s">
        <v>53</v>
      </c>
      <c r="D255" t="s">
        <v>54</v>
      </c>
      <c r="E255" s="8">
        <v>46066</v>
      </c>
      <c r="F255">
        <v>9</v>
      </c>
      <c r="G255">
        <v>3471</v>
      </c>
      <c r="H255">
        <v>103759</v>
      </c>
      <c r="I255">
        <v>31239</v>
      </c>
      <c r="J255">
        <v>72520</v>
      </c>
      <c r="K255" t="s">
        <v>1635</v>
      </c>
      <c r="L255">
        <v>3471</v>
      </c>
      <c r="M255" t="s">
        <v>1635</v>
      </c>
      <c r="N255">
        <v>0</v>
      </c>
    </row>
    <row r="256" spans="1:14">
      <c r="A256">
        <v>1</v>
      </c>
      <c r="B256" t="s">
        <v>15</v>
      </c>
      <c r="C256" t="s">
        <v>55</v>
      </c>
      <c r="D256" t="s">
        <v>56</v>
      </c>
      <c r="E256" s="8">
        <v>46073</v>
      </c>
      <c r="F256">
        <v>9</v>
      </c>
      <c r="G256">
        <v>3045</v>
      </c>
      <c r="H256">
        <v>90955</v>
      </c>
      <c r="I256">
        <v>24360</v>
      </c>
      <c r="J256">
        <v>66595</v>
      </c>
      <c r="K256" t="s">
        <v>1635</v>
      </c>
      <c r="L256">
        <v>3045</v>
      </c>
      <c r="M256" t="s">
        <v>1635</v>
      </c>
      <c r="N256">
        <v>0</v>
      </c>
    </row>
    <row r="257" spans="1:14">
      <c r="A257">
        <v>1</v>
      </c>
      <c r="B257" t="s">
        <v>15</v>
      </c>
      <c r="C257" t="s">
        <v>61</v>
      </c>
      <c r="D257" t="s">
        <v>62</v>
      </c>
      <c r="E257" s="8">
        <v>46059</v>
      </c>
      <c r="F257">
        <v>9</v>
      </c>
      <c r="G257">
        <v>2992</v>
      </c>
      <c r="H257">
        <v>93250</v>
      </c>
      <c r="I257">
        <v>26329.33</v>
      </c>
      <c r="J257">
        <v>66920.67</v>
      </c>
      <c r="K257" t="s">
        <v>1635</v>
      </c>
      <c r="L257">
        <v>2992</v>
      </c>
      <c r="M257" t="s">
        <v>1635</v>
      </c>
      <c r="N257">
        <v>0</v>
      </c>
    </row>
    <row r="258" spans="1:14">
      <c r="A258">
        <v>1</v>
      </c>
      <c r="B258" t="s">
        <v>15</v>
      </c>
      <c r="C258" t="s">
        <v>71</v>
      </c>
      <c r="D258" t="s">
        <v>72</v>
      </c>
      <c r="E258" s="8">
        <v>46059</v>
      </c>
      <c r="F258">
        <v>9</v>
      </c>
      <c r="G258">
        <v>2415</v>
      </c>
      <c r="H258">
        <v>74625</v>
      </c>
      <c r="I258">
        <v>21332.5</v>
      </c>
      <c r="J258">
        <v>53292.5</v>
      </c>
      <c r="K258" t="s">
        <v>1635</v>
      </c>
      <c r="L258">
        <v>2415</v>
      </c>
      <c r="M258" t="s">
        <v>1635</v>
      </c>
      <c r="N258">
        <v>0</v>
      </c>
    </row>
    <row r="259" spans="1:14">
      <c r="A259">
        <v>1</v>
      </c>
      <c r="B259" t="s">
        <v>15</v>
      </c>
      <c r="C259" t="s">
        <v>75</v>
      </c>
      <c r="D259" t="s">
        <v>76</v>
      </c>
      <c r="E259" s="8">
        <v>46066</v>
      </c>
      <c r="F259">
        <v>9</v>
      </c>
      <c r="G259">
        <v>4108</v>
      </c>
      <c r="H259">
        <v>75868</v>
      </c>
      <c r="I259">
        <v>34944</v>
      </c>
      <c r="J259">
        <v>40924</v>
      </c>
      <c r="K259" t="s">
        <v>1635</v>
      </c>
      <c r="L259">
        <v>4108</v>
      </c>
      <c r="M259" t="s">
        <v>1635</v>
      </c>
      <c r="N259">
        <v>0</v>
      </c>
    </row>
    <row r="260" spans="1:14">
      <c r="A260">
        <v>1</v>
      </c>
      <c r="B260" t="s">
        <v>15</v>
      </c>
      <c r="C260" t="s">
        <v>79</v>
      </c>
      <c r="D260" t="s">
        <v>80</v>
      </c>
      <c r="E260" s="8">
        <v>46073</v>
      </c>
      <c r="F260">
        <v>9</v>
      </c>
      <c r="G260">
        <v>4134</v>
      </c>
      <c r="H260">
        <v>78000</v>
      </c>
      <c r="I260">
        <v>35962</v>
      </c>
      <c r="J260">
        <v>42038</v>
      </c>
      <c r="K260" t="s">
        <v>1635</v>
      </c>
      <c r="L260">
        <v>4134</v>
      </c>
      <c r="M260" t="s">
        <v>1635</v>
      </c>
      <c r="N260">
        <v>0</v>
      </c>
    </row>
    <row r="261" spans="1:14">
      <c r="A261">
        <v>1</v>
      </c>
      <c r="B261" t="s">
        <v>15</v>
      </c>
      <c r="C261" t="s">
        <v>85</v>
      </c>
      <c r="D261" t="s">
        <v>86</v>
      </c>
      <c r="E261" s="8">
        <v>46073</v>
      </c>
      <c r="F261">
        <v>9</v>
      </c>
      <c r="G261">
        <v>2970</v>
      </c>
      <c r="H261">
        <v>88849</v>
      </c>
      <c r="I261">
        <v>26730</v>
      </c>
      <c r="J261">
        <v>62119</v>
      </c>
      <c r="K261" t="s">
        <v>1635</v>
      </c>
      <c r="L261">
        <v>2970</v>
      </c>
      <c r="M261" t="s">
        <v>1635</v>
      </c>
      <c r="N261">
        <v>0</v>
      </c>
    </row>
    <row r="262" spans="1:14">
      <c r="A262">
        <v>1</v>
      </c>
      <c r="B262" t="s">
        <v>15</v>
      </c>
      <c r="C262" t="s">
        <v>91</v>
      </c>
      <c r="D262" t="s">
        <v>92</v>
      </c>
      <c r="E262" s="8">
        <v>46073</v>
      </c>
      <c r="F262">
        <v>9</v>
      </c>
      <c r="G262">
        <v>2475</v>
      </c>
      <c r="H262">
        <v>73000</v>
      </c>
      <c r="I262">
        <v>22275</v>
      </c>
      <c r="J262">
        <v>50725</v>
      </c>
      <c r="K262" t="s">
        <v>1635</v>
      </c>
      <c r="L262">
        <v>2475</v>
      </c>
      <c r="M262" t="s">
        <v>1635</v>
      </c>
      <c r="N262">
        <v>0</v>
      </c>
    </row>
    <row r="263" spans="1:14">
      <c r="A263">
        <v>1</v>
      </c>
      <c r="B263" t="s">
        <v>15</v>
      </c>
      <c r="C263" t="s">
        <v>93</v>
      </c>
      <c r="D263" t="s">
        <v>94</v>
      </c>
      <c r="E263" s="8">
        <v>46073</v>
      </c>
      <c r="F263">
        <v>9</v>
      </c>
      <c r="G263">
        <v>2700</v>
      </c>
      <c r="H263">
        <v>80000</v>
      </c>
      <c r="I263">
        <v>24300</v>
      </c>
      <c r="J263">
        <v>55700</v>
      </c>
      <c r="K263" t="s">
        <v>1635</v>
      </c>
      <c r="L263">
        <v>2700</v>
      </c>
      <c r="M263" t="s">
        <v>1635</v>
      </c>
      <c r="N263">
        <v>0</v>
      </c>
    </row>
    <row r="264" spans="1:14">
      <c r="A264">
        <v>1</v>
      </c>
      <c r="B264" t="s">
        <v>15</v>
      </c>
      <c r="C264" t="s">
        <v>100</v>
      </c>
      <c r="D264" t="s">
        <v>101</v>
      </c>
      <c r="E264" s="8">
        <v>46073</v>
      </c>
      <c r="F264">
        <v>9</v>
      </c>
      <c r="G264">
        <v>3116</v>
      </c>
      <c r="H264">
        <v>92555</v>
      </c>
      <c r="I264">
        <v>27764.67</v>
      </c>
      <c r="J264">
        <v>64790.33</v>
      </c>
      <c r="K264" t="s">
        <v>1635</v>
      </c>
      <c r="L264">
        <v>3116</v>
      </c>
      <c r="M264" t="s">
        <v>1635</v>
      </c>
      <c r="N264">
        <v>0</v>
      </c>
    </row>
    <row r="265" spans="1:14">
      <c r="A265">
        <v>1</v>
      </c>
      <c r="B265" t="s">
        <v>15</v>
      </c>
      <c r="C265" t="s">
        <v>102</v>
      </c>
      <c r="D265" t="s">
        <v>103</v>
      </c>
      <c r="E265" s="8">
        <v>46066</v>
      </c>
      <c r="F265">
        <v>9</v>
      </c>
      <c r="G265">
        <v>5460</v>
      </c>
      <c r="H265">
        <v>100000</v>
      </c>
      <c r="I265">
        <v>46230</v>
      </c>
      <c r="J265">
        <v>53770</v>
      </c>
      <c r="K265" t="s">
        <v>1635</v>
      </c>
      <c r="L265">
        <v>5460</v>
      </c>
      <c r="M265" t="s">
        <v>1635</v>
      </c>
      <c r="N265">
        <v>0</v>
      </c>
    </row>
    <row r="266" spans="1:14">
      <c r="A266">
        <v>1</v>
      </c>
      <c r="B266" t="s">
        <v>15</v>
      </c>
      <c r="C266" t="s">
        <v>106</v>
      </c>
      <c r="D266" t="s">
        <v>107</v>
      </c>
      <c r="E266" s="8">
        <v>46059</v>
      </c>
      <c r="F266">
        <v>9</v>
      </c>
      <c r="G266">
        <v>2926</v>
      </c>
      <c r="H266">
        <v>91996</v>
      </c>
      <c r="I266">
        <v>26334</v>
      </c>
      <c r="J266">
        <v>65662</v>
      </c>
      <c r="K266" t="s">
        <v>1635</v>
      </c>
      <c r="L266">
        <v>2926</v>
      </c>
      <c r="M266" t="s">
        <v>1635</v>
      </c>
      <c r="N266">
        <v>0</v>
      </c>
    </row>
    <row r="267" spans="1:14">
      <c r="A267">
        <v>1</v>
      </c>
      <c r="B267" t="s">
        <v>15</v>
      </c>
      <c r="C267" t="s">
        <v>108</v>
      </c>
      <c r="D267" t="s">
        <v>109</v>
      </c>
      <c r="E267" s="8">
        <v>46059</v>
      </c>
      <c r="F267">
        <v>9</v>
      </c>
      <c r="G267">
        <v>2709</v>
      </c>
      <c r="H267">
        <v>85845</v>
      </c>
      <c r="I267">
        <v>24042</v>
      </c>
      <c r="J267">
        <v>61803</v>
      </c>
      <c r="K267" t="s">
        <v>1635</v>
      </c>
      <c r="L267">
        <v>2709</v>
      </c>
      <c r="M267" t="s">
        <v>1635</v>
      </c>
      <c r="N267">
        <v>0</v>
      </c>
    </row>
    <row r="268" spans="1:14">
      <c r="A268">
        <v>1</v>
      </c>
      <c r="B268" t="s">
        <v>15</v>
      </c>
      <c r="C268" t="s">
        <v>113</v>
      </c>
      <c r="D268" t="s">
        <v>114</v>
      </c>
      <c r="E268" s="8">
        <v>46073</v>
      </c>
      <c r="F268">
        <v>9</v>
      </c>
      <c r="G268">
        <v>5280</v>
      </c>
      <c r="H268">
        <v>160091</v>
      </c>
      <c r="I268">
        <v>47040</v>
      </c>
      <c r="J268">
        <v>113051</v>
      </c>
      <c r="K268" t="s">
        <v>1635</v>
      </c>
      <c r="L268">
        <v>5280</v>
      </c>
      <c r="M268" t="s">
        <v>1635</v>
      </c>
      <c r="N268">
        <v>0</v>
      </c>
    </row>
    <row r="269" spans="1:14">
      <c r="A269">
        <v>1</v>
      </c>
      <c r="B269" t="s">
        <v>15</v>
      </c>
      <c r="C269" t="s">
        <v>123</v>
      </c>
      <c r="D269" t="s">
        <v>124</v>
      </c>
      <c r="E269" s="8">
        <v>46059</v>
      </c>
      <c r="F269">
        <v>9</v>
      </c>
      <c r="G269">
        <v>2700</v>
      </c>
      <c r="H269">
        <v>78148</v>
      </c>
      <c r="I269">
        <v>23175</v>
      </c>
      <c r="J269">
        <v>54973</v>
      </c>
      <c r="K269" t="s">
        <v>1635</v>
      </c>
      <c r="L269">
        <v>2700</v>
      </c>
      <c r="M269" t="s">
        <v>1635</v>
      </c>
      <c r="N269">
        <v>0</v>
      </c>
    </row>
    <row r="270" spans="1:14">
      <c r="A270">
        <v>1</v>
      </c>
      <c r="B270" t="s">
        <v>15</v>
      </c>
      <c r="C270" t="s">
        <v>125</v>
      </c>
      <c r="D270" t="s">
        <v>126</v>
      </c>
      <c r="E270" s="8">
        <v>46059</v>
      </c>
      <c r="F270">
        <v>9</v>
      </c>
      <c r="G270">
        <v>2566.67</v>
      </c>
      <c r="H270">
        <v>84023</v>
      </c>
      <c r="I270">
        <v>24661.339999999898</v>
      </c>
      <c r="J270">
        <v>59361.66</v>
      </c>
      <c r="K270" t="s">
        <v>1635</v>
      </c>
      <c r="L270">
        <v>2566.67</v>
      </c>
      <c r="M270" t="s">
        <v>1635</v>
      </c>
      <c r="N270">
        <v>0</v>
      </c>
    </row>
    <row r="271" spans="1:14">
      <c r="A271">
        <v>1</v>
      </c>
      <c r="B271" t="s">
        <v>15</v>
      </c>
      <c r="C271" t="s">
        <v>129</v>
      </c>
      <c r="D271" t="s">
        <v>130</v>
      </c>
      <c r="E271" s="8">
        <v>46066</v>
      </c>
      <c r="F271">
        <v>9</v>
      </c>
      <c r="G271">
        <v>3080</v>
      </c>
      <c r="H271">
        <v>94515</v>
      </c>
      <c r="I271">
        <v>27524</v>
      </c>
      <c r="J271">
        <v>66991</v>
      </c>
      <c r="K271" t="s">
        <v>1635</v>
      </c>
      <c r="L271">
        <v>3080</v>
      </c>
      <c r="M271" t="s">
        <v>1635</v>
      </c>
      <c r="N271">
        <v>0</v>
      </c>
    </row>
    <row r="272" spans="1:14">
      <c r="A272">
        <v>1</v>
      </c>
      <c r="B272" t="s">
        <v>15</v>
      </c>
      <c r="C272" t="s">
        <v>145</v>
      </c>
      <c r="D272" t="s">
        <v>146</v>
      </c>
      <c r="E272" s="8">
        <v>46059</v>
      </c>
      <c r="F272">
        <v>9</v>
      </c>
      <c r="G272">
        <v>2237.1999999999998</v>
      </c>
      <c r="H272">
        <v>78000</v>
      </c>
      <c r="I272">
        <v>20134.8</v>
      </c>
      <c r="J272">
        <v>57865.2</v>
      </c>
      <c r="K272" t="s">
        <v>1635</v>
      </c>
      <c r="L272">
        <v>2237.1999999999998</v>
      </c>
      <c r="M272" t="s">
        <v>1635</v>
      </c>
      <c r="N272">
        <v>0</v>
      </c>
    </row>
    <row r="273" spans="1:14">
      <c r="A273">
        <v>1</v>
      </c>
      <c r="B273" t="s">
        <v>15</v>
      </c>
      <c r="C273" t="s">
        <v>147</v>
      </c>
      <c r="D273" t="s">
        <v>148</v>
      </c>
      <c r="E273" s="8">
        <v>46073</v>
      </c>
      <c r="F273">
        <v>9</v>
      </c>
      <c r="G273">
        <v>2752</v>
      </c>
      <c r="H273">
        <v>81225</v>
      </c>
      <c r="I273">
        <v>24626</v>
      </c>
      <c r="J273">
        <v>56599</v>
      </c>
      <c r="K273" t="s">
        <v>1635</v>
      </c>
      <c r="L273">
        <v>2752</v>
      </c>
      <c r="M273" t="s">
        <v>1635</v>
      </c>
      <c r="N273">
        <v>0</v>
      </c>
    </row>
    <row r="274" spans="1:14">
      <c r="A274">
        <v>1</v>
      </c>
      <c r="B274" t="s">
        <v>15</v>
      </c>
      <c r="C274" t="s">
        <v>149</v>
      </c>
      <c r="D274" t="s">
        <v>150</v>
      </c>
      <c r="E274" s="8">
        <v>46066</v>
      </c>
      <c r="F274">
        <v>9</v>
      </c>
      <c r="G274">
        <v>3445</v>
      </c>
      <c r="H274">
        <v>104637</v>
      </c>
      <c r="I274">
        <v>29943.33</v>
      </c>
      <c r="J274">
        <v>74693.67</v>
      </c>
      <c r="K274" t="s">
        <v>1635</v>
      </c>
      <c r="L274">
        <v>3445</v>
      </c>
      <c r="M274" t="s">
        <v>1635</v>
      </c>
      <c r="N274">
        <v>0</v>
      </c>
    </row>
    <row r="275" spans="1:14">
      <c r="A275">
        <v>1</v>
      </c>
      <c r="B275" t="s">
        <v>15</v>
      </c>
      <c r="C275" t="s">
        <v>161</v>
      </c>
      <c r="D275" t="s">
        <v>162</v>
      </c>
      <c r="E275" s="8">
        <v>46073</v>
      </c>
      <c r="F275">
        <v>9</v>
      </c>
      <c r="G275">
        <v>2862</v>
      </c>
      <c r="H275">
        <v>86000</v>
      </c>
      <c r="I275">
        <v>25016</v>
      </c>
      <c r="J275">
        <v>60984</v>
      </c>
      <c r="K275" t="s">
        <v>1635</v>
      </c>
      <c r="L275">
        <v>2862</v>
      </c>
      <c r="M275" t="s">
        <v>1635</v>
      </c>
      <c r="N275">
        <v>0</v>
      </c>
    </row>
    <row r="276" spans="1:14">
      <c r="A276">
        <v>1</v>
      </c>
      <c r="B276" t="s">
        <v>15</v>
      </c>
      <c r="C276" t="s">
        <v>177</v>
      </c>
      <c r="D276" t="s">
        <v>178</v>
      </c>
      <c r="E276" s="8">
        <v>46073</v>
      </c>
      <c r="F276">
        <v>9</v>
      </c>
      <c r="G276">
        <v>3055</v>
      </c>
      <c r="H276">
        <v>73660</v>
      </c>
      <c r="I276">
        <v>27040</v>
      </c>
      <c r="J276">
        <v>46620</v>
      </c>
      <c r="K276" t="s">
        <v>1635</v>
      </c>
      <c r="L276">
        <v>3055</v>
      </c>
      <c r="M276" t="s">
        <v>1635</v>
      </c>
      <c r="N276">
        <v>0</v>
      </c>
    </row>
    <row r="277" spans="1:14">
      <c r="A277">
        <v>1</v>
      </c>
      <c r="B277" t="s">
        <v>15</v>
      </c>
      <c r="C277" t="s">
        <v>328</v>
      </c>
      <c r="D277" t="s">
        <v>329</v>
      </c>
      <c r="E277" s="8">
        <v>46066</v>
      </c>
      <c r="F277">
        <v>9</v>
      </c>
      <c r="G277">
        <v>3780</v>
      </c>
      <c r="H277">
        <v>114888</v>
      </c>
      <c r="I277">
        <v>32450</v>
      </c>
      <c r="J277">
        <v>82438</v>
      </c>
      <c r="K277" t="s">
        <v>1635</v>
      </c>
      <c r="L277">
        <v>3780</v>
      </c>
      <c r="M277" t="s">
        <v>1635</v>
      </c>
      <c r="N277">
        <v>0</v>
      </c>
    </row>
    <row r="278" spans="1:14">
      <c r="A278">
        <v>1</v>
      </c>
      <c r="B278" t="s">
        <v>15</v>
      </c>
      <c r="C278" t="s">
        <v>354</v>
      </c>
      <c r="D278" t="s">
        <v>355</v>
      </c>
      <c r="E278" s="8">
        <v>46059</v>
      </c>
      <c r="F278">
        <v>9</v>
      </c>
      <c r="G278">
        <v>3976</v>
      </c>
      <c r="H278">
        <v>117000</v>
      </c>
      <c r="I278">
        <v>34698</v>
      </c>
      <c r="J278">
        <v>82302</v>
      </c>
      <c r="K278" t="s">
        <v>1635</v>
      </c>
      <c r="L278">
        <v>3976</v>
      </c>
      <c r="M278" t="s">
        <v>1635</v>
      </c>
      <c r="N278">
        <v>0</v>
      </c>
    </row>
    <row r="279" spans="1:14">
      <c r="A279">
        <v>1</v>
      </c>
      <c r="B279" t="s">
        <v>15</v>
      </c>
      <c r="C279" t="s">
        <v>356</v>
      </c>
      <c r="D279" t="s">
        <v>357</v>
      </c>
      <c r="E279" s="8">
        <v>46066</v>
      </c>
      <c r="F279">
        <v>9</v>
      </c>
      <c r="G279">
        <v>4176</v>
      </c>
      <c r="H279">
        <v>126800</v>
      </c>
      <c r="I279">
        <v>35228</v>
      </c>
      <c r="J279">
        <v>91572</v>
      </c>
      <c r="K279" t="s">
        <v>1635</v>
      </c>
      <c r="L279">
        <v>4176</v>
      </c>
      <c r="M279" t="s">
        <v>1635</v>
      </c>
      <c r="N279">
        <v>0</v>
      </c>
    </row>
    <row r="280" spans="1:14">
      <c r="A280">
        <v>1</v>
      </c>
      <c r="B280" t="s">
        <v>15</v>
      </c>
      <c r="C280" t="s">
        <v>358</v>
      </c>
      <c r="D280" t="s">
        <v>359</v>
      </c>
      <c r="E280" s="8">
        <v>46073</v>
      </c>
      <c r="F280">
        <v>9</v>
      </c>
      <c r="G280">
        <v>3360</v>
      </c>
      <c r="H280">
        <v>121800</v>
      </c>
      <c r="I280">
        <v>28480</v>
      </c>
      <c r="J280">
        <v>93320</v>
      </c>
      <c r="K280" t="s">
        <v>1635</v>
      </c>
      <c r="L280">
        <v>3360</v>
      </c>
      <c r="M280" t="s">
        <v>1635</v>
      </c>
      <c r="N280">
        <v>0</v>
      </c>
    </row>
    <row r="281" spans="1:14">
      <c r="A281">
        <v>1</v>
      </c>
      <c r="B281" t="s">
        <v>15</v>
      </c>
      <c r="C281" t="s">
        <v>362</v>
      </c>
      <c r="D281" t="s">
        <v>363</v>
      </c>
      <c r="E281" s="8">
        <v>46059</v>
      </c>
      <c r="F281">
        <v>9</v>
      </c>
      <c r="G281">
        <v>2035.5</v>
      </c>
      <c r="H281">
        <v>59000</v>
      </c>
      <c r="I281">
        <v>17739</v>
      </c>
      <c r="J281">
        <v>41261</v>
      </c>
      <c r="K281" t="s">
        <v>1635</v>
      </c>
      <c r="L281">
        <v>2035.5</v>
      </c>
      <c r="M281" t="s">
        <v>1635</v>
      </c>
      <c r="N281">
        <v>0</v>
      </c>
    </row>
    <row r="282" spans="1:14">
      <c r="A282">
        <v>1</v>
      </c>
      <c r="B282" t="s">
        <v>15</v>
      </c>
      <c r="C282" t="s">
        <v>366</v>
      </c>
      <c r="D282" t="s">
        <v>367</v>
      </c>
      <c r="E282" s="8">
        <v>46073</v>
      </c>
      <c r="F282">
        <v>9</v>
      </c>
      <c r="G282">
        <v>3016</v>
      </c>
      <c r="H282">
        <v>104008</v>
      </c>
      <c r="I282">
        <v>26308</v>
      </c>
      <c r="J282">
        <v>77700</v>
      </c>
      <c r="K282" t="s">
        <v>1635</v>
      </c>
      <c r="L282">
        <v>3016</v>
      </c>
      <c r="M282" t="s">
        <v>1635</v>
      </c>
      <c r="N282">
        <v>0</v>
      </c>
    </row>
    <row r="283" spans="1:14">
      <c r="A283">
        <v>1</v>
      </c>
      <c r="B283" t="s">
        <v>15</v>
      </c>
      <c r="C283" t="s">
        <v>368</v>
      </c>
      <c r="D283" t="s">
        <v>369</v>
      </c>
      <c r="E283" s="8">
        <v>46059</v>
      </c>
      <c r="F283">
        <v>9</v>
      </c>
      <c r="G283">
        <v>1615</v>
      </c>
      <c r="H283">
        <v>28553</v>
      </c>
      <c r="I283">
        <v>14535</v>
      </c>
      <c r="J283">
        <v>14018</v>
      </c>
      <c r="K283" t="s">
        <v>1635</v>
      </c>
      <c r="L283">
        <v>1615</v>
      </c>
      <c r="M283" t="s">
        <v>1635</v>
      </c>
      <c r="N283">
        <v>0</v>
      </c>
    </row>
    <row r="284" spans="1:14">
      <c r="A284">
        <v>1</v>
      </c>
      <c r="B284" t="s">
        <v>15</v>
      </c>
      <c r="C284" t="s">
        <v>377</v>
      </c>
      <c r="D284" t="s">
        <v>378</v>
      </c>
      <c r="E284" s="8">
        <v>46073</v>
      </c>
      <c r="F284">
        <v>9</v>
      </c>
      <c r="G284">
        <v>2200</v>
      </c>
      <c r="H284">
        <v>66000</v>
      </c>
      <c r="I284">
        <v>19200</v>
      </c>
      <c r="J284">
        <v>46800</v>
      </c>
      <c r="K284" t="s">
        <v>1635</v>
      </c>
      <c r="L284">
        <v>2200</v>
      </c>
      <c r="M284" t="s">
        <v>1635</v>
      </c>
      <c r="N284">
        <v>0</v>
      </c>
    </row>
    <row r="285" spans="1:14">
      <c r="A285">
        <v>1</v>
      </c>
      <c r="B285" t="s">
        <v>15</v>
      </c>
      <c r="C285" t="s">
        <v>383</v>
      </c>
      <c r="D285" t="s">
        <v>384</v>
      </c>
      <c r="E285" s="8">
        <v>46059</v>
      </c>
      <c r="F285">
        <v>9</v>
      </c>
      <c r="G285">
        <v>1540</v>
      </c>
      <c r="H285">
        <v>44340</v>
      </c>
      <c r="I285">
        <v>12320</v>
      </c>
      <c r="J285">
        <v>32020</v>
      </c>
      <c r="K285" t="s">
        <v>1635</v>
      </c>
      <c r="L285">
        <v>1540</v>
      </c>
      <c r="M285" t="s">
        <v>1635</v>
      </c>
      <c r="N285">
        <v>0</v>
      </c>
    </row>
    <row r="286" spans="1:14">
      <c r="A286">
        <v>1</v>
      </c>
      <c r="B286" t="s">
        <v>15</v>
      </c>
      <c r="C286" t="s">
        <v>385</v>
      </c>
      <c r="D286" t="s">
        <v>386</v>
      </c>
      <c r="E286" s="8">
        <v>46066</v>
      </c>
      <c r="F286">
        <v>9</v>
      </c>
      <c r="G286">
        <v>2914</v>
      </c>
      <c r="H286">
        <v>87624</v>
      </c>
      <c r="I286">
        <v>25192</v>
      </c>
      <c r="J286">
        <v>62432</v>
      </c>
      <c r="K286" t="s">
        <v>1635</v>
      </c>
      <c r="L286">
        <v>2914</v>
      </c>
      <c r="M286" t="s">
        <v>1635</v>
      </c>
      <c r="N286">
        <v>0</v>
      </c>
    </row>
    <row r="287" spans="1:14">
      <c r="A287">
        <v>1</v>
      </c>
      <c r="B287" t="s">
        <v>15</v>
      </c>
      <c r="C287" t="s">
        <v>391</v>
      </c>
      <c r="D287" t="s">
        <v>392</v>
      </c>
      <c r="E287" s="8">
        <v>46073</v>
      </c>
      <c r="F287">
        <v>9</v>
      </c>
      <c r="G287">
        <v>4242.12</v>
      </c>
      <c r="H287">
        <v>124469</v>
      </c>
      <c r="I287">
        <v>36949.56</v>
      </c>
      <c r="J287">
        <v>87519.44</v>
      </c>
      <c r="K287" t="s">
        <v>1635</v>
      </c>
      <c r="L287">
        <v>4242.12</v>
      </c>
      <c r="M287" t="s">
        <v>1635</v>
      </c>
      <c r="N287">
        <v>0</v>
      </c>
    </row>
    <row r="288" spans="1:14">
      <c r="A288">
        <v>1</v>
      </c>
      <c r="B288" t="s">
        <v>15</v>
      </c>
      <c r="C288" t="s">
        <v>403</v>
      </c>
      <c r="D288" t="s">
        <v>404</v>
      </c>
      <c r="E288" s="8">
        <v>46066</v>
      </c>
      <c r="F288">
        <v>9</v>
      </c>
      <c r="G288">
        <v>2990</v>
      </c>
      <c r="H288">
        <v>107000</v>
      </c>
      <c r="I288">
        <v>23530</v>
      </c>
      <c r="J288">
        <v>83470</v>
      </c>
      <c r="K288" t="s">
        <v>1635</v>
      </c>
      <c r="L288">
        <v>2990</v>
      </c>
      <c r="M288" t="s">
        <v>1635</v>
      </c>
      <c r="N288">
        <v>0</v>
      </c>
    </row>
    <row r="289" spans="1:14">
      <c r="A289">
        <v>1</v>
      </c>
      <c r="B289" t="s">
        <v>15</v>
      </c>
      <c r="C289" t="s">
        <v>407</v>
      </c>
      <c r="D289" t="s">
        <v>408</v>
      </c>
      <c r="E289" s="8">
        <v>46059</v>
      </c>
      <c r="F289">
        <v>9</v>
      </c>
      <c r="G289">
        <v>3375</v>
      </c>
      <c r="H289">
        <v>98000</v>
      </c>
      <c r="I289">
        <v>25930</v>
      </c>
      <c r="J289">
        <v>72070</v>
      </c>
      <c r="K289" t="s">
        <v>1635</v>
      </c>
      <c r="L289">
        <v>3375</v>
      </c>
      <c r="M289" t="s">
        <v>1635</v>
      </c>
      <c r="N289">
        <v>0</v>
      </c>
    </row>
    <row r="290" spans="1:14">
      <c r="A290">
        <v>1</v>
      </c>
      <c r="B290" t="s">
        <v>15</v>
      </c>
      <c r="C290" t="s">
        <v>409</v>
      </c>
      <c r="D290" t="s">
        <v>410</v>
      </c>
      <c r="E290" s="8">
        <v>46073</v>
      </c>
      <c r="F290">
        <v>9</v>
      </c>
      <c r="G290">
        <v>2898</v>
      </c>
      <c r="H290">
        <v>88101</v>
      </c>
      <c r="I290">
        <v>23184</v>
      </c>
      <c r="J290">
        <v>64917</v>
      </c>
      <c r="K290" t="s">
        <v>1635</v>
      </c>
      <c r="L290">
        <v>2898</v>
      </c>
      <c r="M290" t="s">
        <v>1635</v>
      </c>
      <c r="N290">
        <v>0</v>
      </c>
    </row>
    <row r="291" spans="1:14">
      <c r="A291">
        <v>1</v>
      </c>
      <c r="B291" t="s">
        <v>15</v>
      </c>
      <c r="C291" t="s">
        <v>411</v>
      </c>
      <c r="D291" t="s">
        <v>412</v>
      </c>
      <c r="E291" s="8">
        <v>46066</v>
      </c>
      <c r="F291">
        <v>9</v>
      </c>
      <c r="G291">
        <v>368</v>
      </c>
      <c r="H291">
        <v>9216</v>
      </c>
      <c r="I291">
        <v>4324</v>
      </c>
      <c r="J291">
        <v>4892</v>
      </c>
      <c r="K291" t="s">
        <v>1635</v>
      </c>
      <c r="L291">
        <v>368</v>
      </c>
      <c r="M291" t="s">
        <v>1635</v>
      </c>
      <c r="N291">
        <v>0</v>
      </c>
    </row>
    <row r="292" spans="1:14">
      <c r="A292">
        <v>1</v>
      </c>
      <c r="B292" t="s">
        <v>15</v>
      </c>
      <c r="C292" t="s">
        <v>413</v>
      </c>
      <c r="D292" t="s">
        <v>414</v>
      </c>
      <c r="E292" s="8">
        <v>46066</v>
      </c>
      <c r="F292">
        <v>9</v>
      </c>
      <c r="G292">
        <v>1734</v>
      </c>
      <c r="H292">
        <v>50000</v>
      </c>
      <c r="I292">
        <v>15606</v>
      </c>
      <c r="J292">
        <v>34394</v>
      </c>
      <c r="K292" t="s">
        <v>1635</v>
      </c>
      <c r="L292">
        <v>1734</v>
      </c>
      <c r="M292" t="s">
        <v>1635</v>
      </c>
      <c r="N292">
        <v>0</v>
      </c>
    </row>
    <row r="293" spans="1:14">
      <c r="A293">
        <v>1</v>
      </c>
      <c r="B293" t="s">
        <v>15</v>
      </c>
      <c r="C293" t="s">
        <v>419</v>
      </c>
      <c r="D293" t="s">
        <v>420</v>
      </c>
      <c r="E293" s="8">
        <v>46073</v>
      </c>
      <c r="F293">
        <v>9</v>
      </c>
      <c r="G293">
        <v>476</v>
      </c>
      <c r="H293">
        <v>8410</v>
      </c>
      <c r="I293">
        <v>4284</v>
      </c>
      <c r="J293">
        <v>4126</v>
      </c>
      <c r="K293" t="s">
        <v>1635</v>
      </c>
      <c r="L293">
        <v>476</v>
      </c>
      <c r="M293" t="s">
        <v>1635</v>
      </c>
      <c r="N293">
        <v>0</v>
      </c>
    </row>
    <row r="294" spans="1:14">
      <c r="A294">
        <v>1</v>
      </c>
      <c r="B294" t="s">
        <v>15</v>
      </c>
      <c r="C294" t="s">
        <v>421</v>
      </c>
      <c r="D294" t="s">
        <v>422</v>
      </c>
      <c r="E294" s="8">
        <v>46066</v>
      </c>
      <c r="F294">
        <v>9</v>
      </c>
      <c r="G294">
        <v>4100</v>
      </c>
      <c r="H294">
        <v>70000</v>
      </c>
      <c r="I294">
        <v>32409</v>
      </c>
      <c r="J294">
        <v>37591</v>
      </c>
      <c r="K294" t="s">
        <v>1635</v>
      </c>
      <c r="L294">
        <v>4100</v>
      </c>
      <c r="M294" t="s">
        <v>1635</v>
      </c>
      <c r="N294">
        <v>0</v>
      </c>
    </row>
    <row r="295" spans="1:14">
      <c r="A295">
        <v>1</v>
      </c>
      <c r="B295" t="s">
        <v>15</v>
      </c>
      <c r="C295" t="s">
        <v>423</v>
      </c>
      <c r="D295" t="s">
        <v>424</v>
      </c>
      <c r="E295" s="8">
        <v>46073</v>
      </c>
      <c r="F295">
        <v>9</v>
      </c>
      <c r="G295">
        <v>2160</v>
      </c>
      <c r="H295">
        <v>75570</v>
      </c>
      <c r="I295">
        <v>19275</v>
      </c>
      <c r="J295">
        <v>56295</v>
      </c>
      <c r="K295" t="s">
        <v>1635</v>
      </c>
      <c r="L295">
        <v>2160</v>
      </c>
      <c r="M295" t="s">
        <v>1635</v>
      </c>
      <c r="N295">
        <v>0</v>
      </c>
    </row>
    <row r="296" spans="1:14">
      <c r="A296">
        <v>1</v>
      </c>
      <c r="B296" t="s">
        <v>15</v>
      </c>
      <c r="C296" t="s">
        <v>433</v>
      </c>
      <c r="D296" t="s">
        <v>434</v>
      </c>
      <c r="E296" s="8">
        <v>46066</v>
      </c>
      <c r="F296">
        <v>9</v>
      </c>
      <c r="G296">
        <v>2400</v>
      </c>
      <c r="H296">
        <v>76000</v>
      </c>
      <c r="I296">
        <v>22286</v>
      </c>
      <c r="J296">
        <v>53714</v>
      </c>
      <c r="K296" t="s">
        <v>1635</v>
      </c>
      <c r="L296">
        <v>2400</v>
      </c>
      <c r="M296" t="s">
        <v>1635</v>
      </c>
      <c r="N296">
        <v>0</v>
      </c>
    </row>
    <row r="297" spans="1:14">
      <c r="A297">
        <v>1</v>
      </c>
      <c r="B297" t="s">
        <v>15</v>
      </c>
      <c r="C297" t="s">
        <v>439</v>
      </c>
      <c r="D297" t="s">
        <v>440</v>
      </c>
      <c r="E297" s="8">
        <v>46073</v>
      </c>
      <c r="F297">
        <v>9</v>
      </c>
      <c r="G297">
        <v>1083</v>
      </c>
      <c r="H297">
        <v>20000</v>
      </c>
      <c r="I297">
        <v>9747</v>
      </c>
      <c r="J297">
        <v>10253</v>
      </c>
      <c r="K297" t="s">
        <v>1635</v>
      </c>
      <c r="L297">
        <v>1083</v>
      </c>
      <c r="M297" t="s">
        <v>1635</v>
      </c>
      <c r="N297">
        <v>0</v>
      </c>
    </row>
    <row r="298" spans="1:14">
      <c r="A298">
        <v>1</v>
      </c>
      <c r="B298" t="s">
        <v>15</v>
      </c>
      <c r="C298" t="s">
        <v>441</v>
      </c>
      <c r="D298" t="s">
        <v>442</v>
      </c>
      <c r="E298" s="8">
        <v>46059</v>
      </c>
      <c r="F298">
        <v>9</v>
      </c>
      <c r="G298">
        <v>2550</v>
      </c>
      <c r="H298">
        <v>79554</v>
      </c>
      <c r="I298">
        <v>20060</v>
      </c>
      <c r="J298">
        <v>59494</v>
      </c>
      <c r="K298" t="s">
        <v>1635</v>
      </c>
      <c r="L298">
        <v>2550</v>
      </c>
      <c r="M298" t="s">
        <v>1635</v>
      </c>
      <c r="N298">
        <v>0</v>
      </c>
    </row>
    <row r="299" spans="1:14">
      <c r="A299">
        <v>1</v>
      </c>
      <c r="B299" t="s">
        <v>15</v>
      </c>
      <c r="C299" t="s">
        <v>445</v>
      </c>
      <c r="D299" t="s">
        <v>446</v>
      </c>
      <c r="E299" s="8">
        <v>46073</v>
      </c>
      <c r="F299">
        <v>9</v>
      </c>
      <c r="G299">
        <v>2520</v>
      </c>
      <c r="H299">
        <v>76666</v>
      </c>
      <c r="I299">
        <v>21840</v>
      </c>
      <c r="J299">
        <v>54826</v>
      </c>
      <c r="K299" t="s">
        <v>1635</v>
      </c>
      <c r="L299">
        <v>2520</v>
      </c>
      <c r="M299" t="s">
        <v>1635</v>
      </c>
      <c r="N299">
        <v>0</v>
      </c>
    </row>
    <row r="300" spans="1:14">
      <c r="A300">
        <v>1</v>
      </c>
      <c r="B300" t="s">
        <v>15</v>
      </c>
      <c r="C300" t="s">
        <v>457</v>
      </c>
      <c r="D300" t="s">
        <v>458</v>
      </c>
      <c r="E300" s="8">
        <v>46073</v>
      </c>
      <c r="F300">
        <v>9</v>
      </c>
      <c r="G300">
        <v>1763</v>
      </c>
      <c r="H300">
        <v>66238</v>
      </c>
      <c r="I300">
        <v>15644</v>
      </c>
      <c r="J300">
        <v>50594</v>
      </c>
      <c r="K300" t="s">
        <v>1635</v>
      </c>
      <c r="L300">
        <v>1763</v>
      </c>
      <c r="M300" t="s">
        <v>1635</v>
      </c>
      <c r="N300">
        <v>0</v>
      </c>
    </row>
    <row r="301" spans="1:14">
      <c r="A301">
        <v>1</v>
      </c>
      <c r="B301" t="s">
        <v>15</v>
      </c>
      <c r="C301" t="s">
        <v>473</v>
      </c>
      <c r="D301" t="s">
        <v>474</v>
      </c>
      <c r="E301" s="8">
        <v>46073</v>
      </c>
      <c r="F301">
        <v>9</v>
      </c>
      <c r="G301">
        <v>1311</v>
      </c>
      <c r="H301">
        <v>23863</v>
      </c>
      <c r="I301">
        <v>11799</v>
      </c>
      <c r="J301">
        <v>12064</v>
      </c>
      <c r="K301" t="s">
        <v>1635</v>
      </c>
      <c r="L301">
        <v>1311</v>
      </c>
      <c r="M301" t="s">
        <v>1635</v>
      </c>
      <c r="N301">
        <v>0</v>
      </c>
    </row>
    <row r="302" spans="1:14">
      <c r="A302">
        <v>1</v>
      </c>
      <c r="B302" t="s">
        <v>15</v>
      </c>
      <c r="C302" t="s">
        <v>475</v>
      </c>
      <c r="D302" t="s">
        <v>476</v>
      </c>
      <c r="E302" s="8">
        <v>46066</v>
      </c>
      <c r="F302">
        <v>9</v>
      </c>
      <c r="G302">
        <v>1566</v>
      </c>
      <c r="H302">
        <v>29297</v>
      </c>
      <c r="I302">
        <v>12876</v>
      </c>
      <c r="J302">
        <v>16421</v>
      </c>
      <c r="K302" t="s">
        <v>1635</v>
      </c>
      <c r="L302">
        <v>1566</v>
      </c>
      <c r="M302" t="s">
        <v>1635</v>
      </c>
      <c r="N302">
        <v>0</v>
      </c>
    </row>
    <row r="303" spans="1:14">
      <c r="A303">
        <v>1</v>
      </c>
      <c r="B303" t="s">
        <v>15</v>
      </c>
      <c r="C303" t="s">
        <v>491</v>
      </c>
      <c r="D303" t="s">
        <v>492</v>
      </c>
      <c r="E303" s="8">
        <v>46073</v>
      </c>
      <c r="F303">
        <v>9</v>
      </c>
      <c r="G303">
        <v>4361</v>
      </c>
      <c r="H303">
        <v>132000</v>
      </c>
      <c r="I303">
        <v>34432</v>
      </c>
      <c r="J303">
        <v>97568</v>
      </c>
      <c r="K303" t="s">
        <v>1635</v>
      </c>
      <c r="L303">
        <v>4361</v>
      </c>
      <c r="M303" t="s">
        <v>1635</v>
      </c>
      <c r="N303">
        <v>0</v>
      </c>
    </row>
    <row r="304" spans="1:14">
      <c r="A304">
        <v>1</v>
      </c>
      <c r="B304" t="s">
        <v>15</v>
      </c>
      <c r="C304" t="s">
        <v>533</v>
      </c>
      <c r="D304" t="s">
        <v>534</v>
      </c>
      <c r="E304" s="8">
        <v>46066</v>
      </c>
      <c r="F304">
        <v>9</v>
      </c>
      <c r="G304">
        <v>1250</v>
      </c>
      <c r="H304">
        <v>22478</v>
      </c>
      <c r="I304">
        <v>10000</v>
      </c>
      <c r="J304">
        <v>12478</v>
      </c>
      <c r="K304" t="s">
        <v>1635</v>
      </c>
      <c r="L304">
        <v>1250</v>
      </c>
      <c r="M304" t="s">
        <v>1635</v>
      </c>
      <c r="N304">
        <v>0</v>
      </c>
    </row>
    <row r="305" spans="1:14">
      <c r="A305">
        <v>1</v>
      </c>
      <c r="B305" t="s">
        <v>15</v>
      </c>
      <c r="C305" t="s">
        <v>546</v>
      </c>
      <c r="D305" t="s">
        <v>547</v>
      </c>
      <c r="E305" s="8">
        <v>46059</v>
      </c>
      <c r="F305">
        <v>9</v>
      </c>
      <c r="G305">
        <v>1638</v>
      </c>
      <c r="H305">
        <v>27862</v>
      </c>
      <c r="I305">
        <v>12551</v>
      </c>
      <c r="J305">
        <v>15311</v>
      </c>
      <c r="K305" t="s">
        <v>1635</v>
      </c>
      <c r="L305">
        <v>1638</v>
      </c>
      <c r="M305" t="s">
        <v>1635</v>
      </c>
      <c r="N305">
        <v>0</v>
      </c>
    </row>
    <row r="306" spans="1:14">
      <c r="A306">
        <v>1</v>
      </c>
      <c r="B306" t="s">
        <v>15</v>
      </c>
      <c r="C306" t="s">
        <v>634</v>
      </c>
      <c r="D306" t="s">
        <v>635</v>
      </c>
      <c r="E306" s="8">
        <v>46066</v>
      </c>
      <c r="F306">
        <v>9</v>
      </c>
      <c r="G306">
        <v>1399.92</v>
      </c>
      <c r="H306">
        <v>24606</v>
      </c>
      <c r="I306">
        <v>12599.28</v>
      </c>
      <c r="J306">
        <v>12006.72</v>
      </c>
      <c r="K306" t="s">
        <v>1635</v>
      </c>
      <c r="L306">
        <v>1399.92</v>
      </c>
      <c r="M306" t="s">
        <v>1635</v>
      </c>
      <c r="N306">
        <v>0</v>
      </c>
    </row>
    <row r="307" spans="1:14">
      <c r="A307">
        <v>1</v>
      </c>
      <c r="B307" t="s">
        <v>15</v>
      </c>
      <c r="C307" t="s">
        <v>646</v>
      </c>
      <c r="D307" t="s">
        <v>1652</v>
      </c>
      <c r="E307" s="8">
        <v>46066</v>
      </c>
      <c r="F307">
        <v>9</v>
      </c>
      <c r="G307">
        <v>90</v>
      </c>
      <c r="H307">
        <v>83705</v>
      </c>
      <c r="I307">
        <v>19123</v>
      </c>
      <c r="J307">
        <v>64582</v>
      </c>
      <c r="K307" t="s">
        <v>1635</v>
      </c>
      <c r="L307">
        <v>90</v>
      </c>
      <c r="M307" t="s">
        <v>1635</v>
      </c>
      <c r="N307">
        <v>0</v>
      </c>
    </row>
    <row r="308" spans="1:14">
      <c r="A308">
        <v>1</v>
      </c>
      <c r="B308" t="s">
        <v>15</v>
      </c>
      <c r="C308" t="s">
        <v>647</v>
      </c>
      <c r="D308" t="s">
        <v>648</v>
      </c>
      <c r="E308" s="8">
        <v>46073</v>
      </c>
      <c r="F308">
        <v>9</v>
      </c>
      <c r="G308">
        <v>966</v>
      </c>
      <c r="H308">
        <v>17689</v>
      </c>
      <c r="I308">
        <v>8648</v>
      </c>
      <c r="J308">
        <v>9041</v>
      </c>
      <c r="K308" t="s">
        <v>1635</v>
      </c>
      <c r="L308">
        <v>966</v>
      </c>
      <c r="M308" t="s">
        <v>1635</v>
      </c>
      <c r="N308">
        <v>0</v>
      </c>
    </row>
    <row r="309" spans="1:14">
      <c r="A309">
        <v>1</v>
      </c>
      <c r="B309" t="s">
        <v>15</v>
      </c>
      <c r="C309" t="s">
        <v>682</v>
      </c>
      <c r="D309" t="s">
        <v>683</v>
      </c>
      <c r="E309" s="8">
        <v>46073</v>
      </c>
      <c r="F309">
        <v>9</v>
      </c>
      <c r="G309">
        <v>1339</v>
      </c>
      <c r="H309">
        <v>22342</v>
      </c>
      <c r="I309">
        <v>12051</v>
      </c>
      <c r="J309">
        <v>10291</v>
      </c>
      <c r="K309" t="s">
        <v>1635</v>
      </c>
      <c r="L309">
        <v>1339</v>
      </c>
      <c r="M309" t="s">
        <v>1635</v>
      </c>
      <c r="N309">
        <v>0</v>
      </c>
    </row>
    <row r="310" spans="1:14">
      <c r="A310">
        <v>1</v>
      </c>
      <c r="B310" t="s">
        <v>15</v>
      </c>
      <c r="C310" t="s">
        <v>16</v>
      </c>
      <c r="D310" t="s">
        <v>17</v>
      </c>
      <c r="E310" s="8">
        <v>46073</v>
      </c>
      <c r="F310">
        <v>10</v>
      </c>
      <c r="G310">
        <v>5830</v>
      </c>
      <c r="H310">
        <v>97419</v>
      </c>
      <c r="I310">
        <v>46640</v>
      </c>
      <c r="J310">
        <v>50779</v>
      </c>
      <c r="K310" t="s">
        <v>1635</v>
      </c>
      <c r="L310">
        <v>5830</v>
      </c>
      <c r="M310" t="s">
        <v>1635</v>
      </c>
      <c r="N310">
        <v>0</v>
      </c>
    </row>
    <row r="311" spans="1:14">
      <c r="A311">
        <v>1</v>
      </c>
      <c r="B311" t="s">
        <v>15</v>
      </c>
      <c r="C311" t="s">
        <v>96</v>
      </c>
      <c r="D311" t="s">
        <v>97</v>
      </c>
      <c r="E311" s="8">
        <v>46066</v>
      </c>
      <c r="F311">
        <v>10</v>
      </c>
      <c r="G311">
        <v>5740</v>
      </c>
      <c r="H311">
        <v>105000</v>
      </c>
      <c r="I311">
        <v>54460</v>
      </c>
      <c r="J311">
        <v>50540</v>
      </c>
      <c r="K311" t="s">
        <v>1635</v>
      </c>
      <c r="L311">
        <v>5740</v>
      </c>
      <c r="M311" t="s">
        <v>1635</v>
      </c>
      <c r="N311">
        <v>0</v>
      </c>
    </row>
    <row r="312" spans="1:14">
      <c r="A312">
        <v>1</v>
      </c>
      <c r="B312" t="s">
        <v>15</v>
      </c>
      <c r="C312" t="s">
        <v>314</v>
      </c>
      <c r="D312" t="s">
        <v>315</v>
      </c>
      <c r="E312" s="8">
        <v>46073</v>
      </c>
      <c r="F312">
        <v>10</v>
      </c>
      <c r="G312">
        <v>3710</v>
      </c>
      <c r="H312">
        <v>106791.67</v>
      </c>
      <c r="I312">
        <v>33390</v>
      </c>
      <c r="J312">
        <v>73401.67</v>
      </c>
      <c r="K312" t="s">
        <v>1635</v>
      </c>
      <c r="L312">
        <v>3710</v>
      </c>
      <c r="M312" t="s">
        <v>1635</v>
      </c>
      <c r="N312">
        <v>0</v>
      </c>
    </row>
    <row r="313" spans="1:14">
      <c r="A313">
        <v>1</v>
      </c>
      <c r="B313" t="s">
        <v>15</v>
      </c>
      <c r="C313" t="s">
        <v>336</v>
      </c>
      <c r="D313" t="s">
        <v>337</v>
      </c>
      <c r="E313" s="8">
        <v>46066</v>
      </c>
      <c r="F313">
        <v>10</v>
      </c>
      <c r="G313">
        <v>2400</v>
      </c>
      <c r="H313">
        <v>44000</v>
      </c>
      <c r="I313">
        <v>24000</v>
      </c>
      <c r="J313">
        <v>20000</v>
      </c>
      <c r="K313" t="s">
        <v>1635</v>
      </c>
      <c r="L313">
        <v>2400</v>
      </c>
      <c r="M313" t="s">
        <v>1635</v>
      </c>
      <c r="N313">
        <v>0</v>
      </c>
    </row>
    <row r="314" spans="1:14">
      <c r="A314">
        <v>1</v>
      </c>
      <c r="B314" t="s">
        <v>15</v>
      </c>
      <c r="C314" t="s">
        <v>344</v>
      </c>
      <c r="D314" t="s">
        <v>345</v>
      </c>
      <c r="E314" s="8">
        <v>46073</v>
      </c>
      <c r="F314">
        <v>10</v>
      </c>
      <c r="G314">
        <v>4230</v>
      </c>
      <c r="H314">
        <v>119000</v>
      </c>
      <c r="I314">
        <v>40000</v>
      </c>
      <c r="J314">
        <v>79000</v>
      </c>
      <c r="K314" t="s">
        <v>1635</v>
      </c>
      <c r="L314">
        <v>4230</v>
      </c>
      <c r="M314" t="s">
        <v>1635</v>
      </c>
      <c r="N314">
        <v>0</v>
      </c>
    </row>
    <row r="315" spans="1:14">
      <c r="A315">
        <v>1</v>
      </c>
      <c r="B315" t="s">
        <v>15</v>
      </c>
      <c r="C315" t="s">
        <v>481</v>
      </c>
      <c r="D315" t="s">
        <v>482</v>
      </c>
      <c r="E315" s="8">
        <v>46066</v>
      </c>
      <c r="F315">
        <v>10</v>
      </c>
      <c r="G315">
        <v>4636</v>
      </c>
      <c r="H315">
        <v>141000</v>
      </c>
      <c r="I315">
        <v>44064</v>
      </c>
      <c r="J315">
        <v>96936</v>
      </c>
      <c r="K315" t="s">
        <v>1635</v>
      </c>
      <c r="L315">
        <v>4636</v>
      </c>
      <c r="M315" t="s">
        <v>1635</v>
      </c>
      <c r="N315">
        <v>0</v>
      </c>
    </row>
    <row r="316" spans="1:14">
      <c r="A316">
        <v>1</v>
      </c>
      <c r="B316" t="s">
        <v>15</v>
      </c>
      <c r="C316" t="s">
        <v>24</v>
      </c>
      <c r="D316" t="s">
        <v>25</v>
      </c>
      <c r="E316" s="8">
        <v>46066</v>
      </c>
      <c r="F316">
        <v>11</v>
      </c>
      <c r="G316">
        <v>3465</v>
      </c>
      <c r="H316">
        <v>92990</v>
      </c>
      <c r="I316">
        <v>27720</v>
      </c>
      <c r="J316">
        <v>65270</v>
      </c>
      <c r="K316" t="s">
        <v>1635</v>
      </c>
      <c r="L316">
        <v>3465</v>
      </c>
      <c r="M316" t="s">
        <v>1635</v>
      </c>
      <c r="N316">
        <v>0</v>
      </c>
    </row>
    <row r="317" spans="1:14">
      <c r="A317">
        <v>1</v>
      </c>
      <c r="B317" t="s">
        <v>15</v>
      </c>
      <c r="C317" t="s">
        <v>77</v>
      </c>
      <c r="D317" t="s">
        <v>78</v>
      </c>
      <c r="E317" s="8">
        <v>46073</v>
      </c>
      <c r="F317">
        <v>11</v>
      </c>
      <c r="G317">
        <v>882</v>
      </c>
      <c r="H317">
        <v>78585</v>
      </c>
      <c r="I317">
        <v>37435</v>
      </c>
      <c r="J317">
        <v>41150</v>
      </c>
      <c r="K317" t="s">
        <v>1635</v>
      </c>
      <c r="L317">
        <v>882</v>
      </c>
      <c r="M317" t="s">
        <v>1635</v>
      </c>
      <c r="N317">
        <v>0</v>
      </c>
    </row>
    <row r="318" spans="1:14">
      <c r="A318">
        <v>1</v>
      </c>
      <c r="B318" t="s">
        <v>15</v>
      </c>
      <c r="C318" t="s">
        <v>312</v>
      </c>
      <c r="D318" t="s">
        <v>313</v>
      </c>
      <c r="E318" s="8">
        <v>46059</v>
      </c>
      <c r="F318">
        <v>11</v>
      </c>
      <c r="G318">
        <v>1782</v>
      </c>
      <c r="H318">
        <v>52000</v>
      </c>
      <c r="I318">
        <v>19602</v>
      </c>
      <c r="J318">
        <v>32398</v>
      </c>
      <c r="K318" t="s">
        <v>1635</v>
      </c>
      <c r="L318">
        <v>1782</v>
      </c>
      <c r="M318" t="s">
        <v>1635</v>
      </c>
      <c r="N318">
        <v>0</v>
      </c>
    </row>
    <row r="319" spans="1:14">
      <c r="A319">
        <v>1</v>
      </c>
      <c r="B319" t="s">
        <v>15</v>
      </c>
      <c r="C319" t="s">
        <v>316</v>
      </c>
      <c r="D319" t="s">
        <v>317</v>
      </c>
      <c r="E319" s="8">
        <v>46059</v>
      </c>
      <c r="F319">
        <v>11</v>
      </c>
      <c r="G319">
        <v>2790</v>
      </c>
      <c r="H319">
        <v>77507.5</v>
      </c>
      <c r="I319">
        <v>22320</v>
      </c>
      <c r="J319">
        <v>55187.5</v>
      </c>
      <c r="K319" t="s">
        <v>1635</v>
      </c>
      <c r="L319">
        <v>2790</v>
      </c>
      <c r="M319" t="s">
        <v>1635</v>
      </c>
      <c r="N319">
        <v>0</v>
      </c>
    </row>
    <row r="320" spans="1:14">
      <c r="A320">
        <v>1</v>
      </c>
      <c r="B320" t="s">
        <v>15</v>
      </c>
      <c r="C320" t="s">
        <v>20</v>
      </c>
      <c r="D320" t="s">
        <v>21</v>
      </c>
      <c r="E320" s="8">
        <v>46073</v>
      </c>
      <c r="F320">
        <v>13</v>
      </c>
      <c r="G320">
        <v>3200</v>
      </c>
      <c r="H320">
        <v>94060</v>
      </c>
      <c r="I320">
        <v>51395</v>
      </c>
      <c r="J320">
        <v>42665</v>
      </c>
      <c r="K320" t="s">
        <v>1635</v>
      </c>
      <c r="L320">
        <v>3200</v>
      </c>
      <c r="M320" t="s">
        <v>1635</v>
      </c>
      <c r="N320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3550-62E8-B84E-B668-0A0BF09F508C}">
  <dimension ref="A1:L213"/>
  <sheetViews>
    <sheetView workbookViewId="0">
      <selection activeCell="I8" sqref="I8:I19"/>
    </sheetView>
  </sheetViews>
  <sheetFormatPr baseColWidth="10" defaultRowHeight="14"/>
  <cols>
    <col min="1" max="1" width="11.6640625" customWidth="1"/>
    <col min="2" max="2" width="15.33203125" bestFit="1" customWidth="1"/>
    <col min="3" max="3" width="18.6640625" bestFit="1" customWidth="1"/>
    <col min="4" max="4" width="15.33203125" bestFit="1" customWidth="1"/>
    <col min="5" max="5" width="14.33203125" customWidth="1"/>
    <col min="6" max="6" width="17.1640625" bestFit="1" customWidth="1"/>
    <col min="7" max="8" width="15" bestFit="1" customWidth="1"/>
    <col min="9" max="9" width="13" bestFit="1" customWidth="1"/>
    <col min="10" max="10" width="17.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191</v>
      </c>
      <c r="D2" s="12">
        <v>101130107192</v>
      </c>
      <c r="E2">
        <v>3933</v>
      </c>
      <c r="F2">
        <f>IFERROR(VLOOKUP(C2,回款计划!B:E,4,0),0)</f>
        <v>74625</v>
      </c>
      <c r="G2">
        <f>IFERROR(VLOOKUP(C2,回款计划!B:E,5,0),0)</f>
        <v>0</v>
      </c>
      <c r="H2">
        <f>IFERROR(VLOOKUP(C2,回款计划!B:E,6,0),0)</f>
        <v>0</v>
      </c>
      <c r="I2" t="s">
        <v>1635</v>
      </c>
      <c r="J2">
        <v>3933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169</v>
      </c>
      <c r="D3" s="12">
        <v>101129954626</v>
      </c>
      <c r="E3">
        <v>2805</v>
      </c>
      <c r="F3">
        <f>IFERROR(VLOOKUP(C3,回款计划!B:E,4,0),0)</f>
        <v>83860</v>
      </c>
      <c r="G3">
        <f>IFERROR(VLOOKUP(C3,回款计划!B:E,5,0),0)</f>
        <v>0</v>
      </c>
      <c r="H3">
        <f>IFERROR(VLOOKUP(C3,回款计划!B:E,6,0),0)</f>
        <v>0</v>
      </c>
      <c r="I3" t="s">
        <v>1635</v>
      </c>
      <c r="J3">
        <v>2805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465</v>
      </c>
      <c r="D4" s="12">
        <v>107112460003</v>
      </c>
      <c r="E4">
        <v>3705</v>
      </c>
      <c r="F4">
        <f>IFERROR(VLOOKUP(C4,回款计划!B:E,4,0),0)</f>
        <v>112715</v>
      </c>
      <c r="G4">
        <f>IFERROR(VLOOKUP(C4,回款计划!B:E,5,0),0)</f>
        <v>0</v>
      </c>
      <c r="H4">
        <f>IFERROR(VLOOKUP(C4,回款计划!B:E,6,0),0)</f>
        <v>0</v>
      </c>
      <c r="I4" t="s">
        <v>1635</v>
      </c>
      <c r="J4">
        <v>3705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215</v>
      </c>
      <c r="D5" s="12">
        <v>101130216363</v>
      </c>
      <c r="E5">
        <v>2640</v>
      </c>
      <c r="F5">
        <f>IFERROR(VLOOKUP(C5,回款计划!B:E,4,0),0)</f>
        <v>78314</v>
      </c>
      <c r="G5">
        <f>IFERROR(VLOOKUP(C5,回款计划!B:E,5,0),0)</f>
        <v>0</v>
      </c>
      <c r="H5">
        <f>IFERROR(VLOOKUP(C5,回款计划!B:E,6,0),0)</f>
        <v>0</v>
      </c>
      <c r="I5" t="s">
        <v>1635</v>
      </c>
      <c r="J5">
        <v>2640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511</v>
      </c>
      <c r="D6" s="12">
        <v>107112557175</v>
      </c>
      <c r="E6">
        <v>2967</v>
      </c>
      <c r="F6">
        <f>IFERROR(VLOOKUP(C6,回款计划!B:E,4,0),0)</f>
        <v>90192</v>
      </c>
      <c r="G6">
        <f>IFERROR(VLOOKUP(C6,回款计划!B:E,5,0),0)</f>
        <v>0</v>
      </c>
      <c r="H6">
        <f>IFERROR(VLOOKUP(C6,回款计划!B:E,6,0),0)</f>
        <v>0</v>
      </c>
      <c r="I6" t="s">
        <v>1635</v>
      </c>
      <c r="J6">
        <v>2967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780</v>
      </c>
      <c r="D7" s="12">
        <v>107113004258</v>
      </c>
      <c r="E7">
        <v>4500</v>
      </c>
      <c r="F7">
        <f>IFERROR(VLOOKUP(C7,回款计划!B:E,4,0),0)</f>
        <v>106935</v>
      </c>
      <c r="G7">
        <f>IFERROR(VLOOKUP(C7,回款计划!B:E,5,0),0)</f>
        <v>0</v>
      </c>
      <c r="H7">
        <f>IFERROR(VLOOKUP(C7,回款计划!B:E,6,0),0)</f>
        <v>0</v>
      </c>
      <c r="I7" t="s">
        <v>1635</v>
      </c>
      <c r="J7">
        <v>4500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517</v>
      </c>
      <c r="D8" s="12">
        <v>107112568721</v>
      </c>
      <c r="E8">
        <v>2500</v>
      </c>
      <c r="F8">
        <f>IFERROR(VLOOKUP(C8,回款计划!B:E,4,0),0)</f>
        <v>44480</v>
      </c>
      <c r="G8">
        <f>IFERROR(VLOOKUP(C8,回款计划!B:E,5,0),0)</f>
        <v>0</v>
      </c>
      <c r="H8">
        <f>IFERROR(VLOOKUP(C8,回款计划!B:E,6,0),0)</f>
        <v>0</v>
      </c>
      <c r="I8" t="s">
        <v>1635</v>
      </c>
      <c r="J8">
        <v>2500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393</v>
      </c>
      <c r="D9" s="12">
        <v>107112278618</v>
      </c>
      <c r="E9">
        <v>2585</v>
      </c>
      <c r="F9">
        <f>IFERROR(VLOOKUP(C9,回款计划!B:E,4,0),0)</f>
        <v>93000</v>
      </c>
      <c r="G9">
        <f>IFERROR(VLOOKUP(C9,回款计划!B:E,5,0),0)</f>
        <v>0</v>
      </c>
      <c r="H9">
        <f>IFERROR(VLOOKUP(C9,回款计划!B:E,6,0),0)</f>
        <v>0</v>
      </c>
      <c r="I9" t="s">
        <v>1635</v>
      </c>
      <c r="J9">
        <v>2585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709</v>
      </c>
      <c r="D10" s="12">
        <v>107112858272</v>
      </c>
      <c r="E10">
        <v>4500</v>
      </c>
      <c r="F10">
        <f>IFERROR(VLOOKUP(C10,回款计划!B:E,4,0),0)</f>
        <v>134461</v>
      </c>
      <c r="G10">
        <f>IFERROR(VLOOKUP(C10,回款计划!B:E,5,0),0)</f>
        <v>0</v>
      </c>
      <c r="H10">
        <f>IFERROR(VLOOKUP(C10,回款计划!B:E,6,0),0)</f>
        <v>0</v>
      </c>
      <c r="I10" t="s">
        <v>1635</v>
      </c>
      <c r="J10">
        <v>4500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129</v>
      </c>
      <c r="D11" s="12">
        <v>101129590806</v>
      </c>
      <c r="E11">
        <v>3080</v>
      </c>
      <c r="F11">
        <f>IFERROR(VLOOKUP(C11,回款计划!B:E,4,0),0)</f>
        <v>94515</v>
      </c>
      <c r="G11">
        <f>IFERROR(VLOOKUP(C11,回款计划!B:E,5,0),0)</f>
        <v>0</v>
      </c>
      <c r="H11">
        <f>IFERROR(VLOOKUP(C11,回款计划!B:E,6,0),0)</f>
        <v>0</v>
      </c>
      <c r="I11" t="s">
        <v>1635</v>
      </c>
      <c r="J11">
        <v>3080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556</v>
      </c>
      <c r="D12" s="12">
        <v>107112612966</v>
      </c>
      <c r="E12">
        <v>3050</v>
      </c>
      <c r="F12">
        <f>IFERROR(VLOOKUP(C12,回款计划!B:E,4,0),0)</f>
        <v>91016</v>
      </c>
      <c r="G12">
        <f>IFERROR(VLOOKUP(C12,回款计划!B:E,5,0),0)</f>
        <v>0</v>
      </c>
      <c r="H12">
        <f>IFERROR(VLOOKUP(C12,回款计划!B:E,6,0),0)</f>
        <v>0</v>
      </c>
      <c r="I12" t="s">
        <v>1635</v>
      </c>
      <c r="J12">
        <v>3050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523</v>
      </c>
      <c r="D13" s="12">
        <v>107112576388</v>
      </c>
      <c r="E13">
        <v>1755</v>
      </c>
      <c r="F13">
        <f>IFERROR(VLOOKUP(C13,回款计划!B:E,4,0),0)</f>
        <v>31400</v>
      </c>
      <c r="G13">
        <f>IFERROR(VLOOKUP(C13,回款计划!B:E,5,0),0)</f>
        <v>0</v>
      </c>
      <c r="H13">
        <f>IFERROR(VLOOKUP(C13,回款计划!B:E,6,0),0)</f>
        <v>0</v>
      </c>
      <c r="I13" t="s">
        <v>1635</v>
      </c>
      <c r="J13">
        <v>1755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800</v>
      </c>
      <c r="D14" s="12">
        <v>107113048741</v>
      </c>
      <c r="E14">
        <v>3960</v>
      </c>
      <c r="F14">
        <f>IFERROR(VLOOKUP(C14,回款计划!B:E,4,0),0)</f>
        <v>115000</v>
      </c>
      <c r="G14">
        <f>IFERROR(VLOOKUP(C14,回款计划!B:E,5,0),0)</f>
        <v>0</v>
      </c>
      <c r="H14">
        <f>IFERROR(VLOOKUP(C14,回款计划!B:E,6,0),0)</f>
        <v>0</v>
      </c>
      <c r="I14" t="s">
        <v>1635</v>
      </c>
      <c r="J14">
        <v>3960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437</v>
      </c>
      <c r="D15" s="12">
        <v>107112369860</v>
      </c>
      <c r="E15">
        <v>3525</v>
      </c>
      <c r="F15">
        <f>IFERROR(VLOOKUP(C15,回款计划!B:E,4,0),0)</f>
        <v>105878</v>
      </c>
      <c r="G15">
        <f>IFERROR(VLOOKUP(C15,回款计划!B:E,5,0),0)</f>
        <v>0</v>
      </c>
      <c r="H15">
        <f>IFERROR(VLOOKUP(C15,回款计划!B:E,6,0),0)</f>
        <v>0</v>
      </c>
      <c r="I15" t="s">
        <v>1635</v>
      </c>
      <c r="J15">
        <v>3525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260</v>
      </c>
      <c r="D16" s="12">
        <v>101130708066</v>
      </c>
      <c r="E16">
        <v>2660</v>
      </c>
      <c r="F16">
        <f>IFERROR(VLOOKUP(C16,回款计划!B:E,4,0),0)</f>
        <v>78299</v>
      </c>
      <c r="G16">
        <f>IFERROR(VLOOKUP(C16,回款计划!B:E,5,0),0)</f>
        <v>0</v>
      </c>
      <c r="H16">
        <f>IFERROR(VLOOKUP(C16,回款计划!B:E,6,0),0)</f>
        <v>0</v>
      </c>
      <c r="I16" t="s">
        <v>1635</v>
      </c>
      <c r="J16">
        <v>2660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219</v>
      </c>
      <c r="D17" s="12">
        <v>101130314638</v>
      </c>
      <c r="E17">
        <v>3914</v>
      </c>
      <c r="F17">
        <f>IFERROR(VLOOKUP(C17,回款计划!B:E,4,0),0)</f>
        <v>73000</v>
      </c>
      <c r="G17">
        <f>IFERROR(VLOOKUP(C17,回款计划!B:E,5,0),0)</f>
        <v>0</v>
      </c>
      <c r="H17">
        <f>IFERROR(VLOOKUP(C17,回款计划!B:E,6,0),0)</f>
        <v>0</v>
      </c>
      <c r="I17" t="s">
        <v>1635</v>
      </c>
      <c r="J17">
        <v>3914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782</v>
      </c>
      <c r="D18" s="12">
        <v>107113006545</v>
      </c>
      <c r="E18">
        <v>1950</v>
      </c>
      <c r="F18">
        <f>IFERROR(VLOOKUP(C18,回款计划!B:E,4,0),0)</f>
        <v>81000</v>
      </c>
      <c r="G18">
        <f>IFERROR(VLOOKUP(C18,回款计划!B:E,5,0),0)</f>
        <v>0</v>
      </c>
      <c r="H18">
        <f>IFERROR(VLOOKUP(C18,回款计划!B:E,6,0),0)</f>
        <v>0</v>
      </c>
      <c r="I18" t="s">
        <v>1635</v>
      </c>
      <c r="J18">
        <v>1950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473</v>
      </c>
      <c r="D19" s="12">
        <v>107112470213</v>
      </c>
      <c r="E19">
        <v>711</v>
      </c>
      <c r="F19">
        <f>IFERROR(VLOOKUP(C19,回款计划!B:E,4,0),0)</f>
        <v>23863</v>
      </c>
      <c r="G19">
        <f>IFERROR(VLOOKUP(C19,回款计划!B:E,5,0),0)</f>
        <v>0</v>
      </c>
      <c r="H19">
        <f>IFERROR(VLOOKUP(C19,回款计划!B:E,6,0),0)</f>
        <v>0</v>
      </c>
      <c r="I19" t="s">
        <v>1635</v>
      </c>
      <c r="J19">
        <v>711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67</v>
      </c>
      <c r="D20" s="12">
        <v>101129170432</v>
      </c>
      <c r="E20">
        <v>4089</v>
      </c>
      <c r="F20">
        <f>IFERROR(VLOOKUP(C20,回款计划!B:E,4,0),0)</f>
        <v>120631</v>
      </c>
      <c r="G20">
        <f>IFERROR(VLOOKUP(C20,回款计划!B:E,5,0),0)</f>
        <v>0</v>
      </c>
      <c r="H20">
        <f>IFERROR(VLOOKUP(C20,回款计划!B:E,6,0),0)</f>
        <v>0</v>
      </c>
      <c r="I20" t="s">
        <v>1635</v>
      </c>
      <c r="J20">
        <v>4089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119</v>
      </c>
      <c r="D21" s="12">
        <v>101129527798</v>
      </c>
      <c r="E21">
        <v>3280</v>
      </c>
      <c r="F21">
        <f>IFERROR(VLOOKUP(C21,回款计划!B:E,4,0),0)</f>
        <v>95000</v>
      </c>
      <c r="G21">
        <f>IFERROR(VLOOKUP(C21,回款计划!B:E,5,0),0)</f>
        <v>0</v>
      </c>
      <c r="H21">
        <f>IFERROR(VLOOKUP(C21,回款计划!B:E,6,0),0)</f>
        <v>0</v>
      </c>
      <c r="I21" t="s">
        <v>1635</v>
      </c>
      <c r="J21">
        <v>3280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471</v>
      </c>
      <c r="D22" s="12">
        <v>107112466550</v>
      </c>
      <c r="E22">
        <v>3870</v>
      </c>
      <c r="F22">
        <f>IFERROR(VLOOKUP(C22,回款计划!B:E,4,0),0)</f>
        <v>118000</v>
      </c>
      <c r="G22">
        <f>IFERROR(VLOOKUP(C22,回款计划!B:E,5,0),0)</f>
        <v>0</v>
      </c>
      <c r="H22">
        <f>IFERROR(VLOOKUP(C22,回款计划!B:E,6,0),0)</f>
        <v>0</v>
      </c>
      <c r="I22" t="s">
        <v>1635</v>
      </c>
      <c r="J22">
        <v>3870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501</v>
      </c>
      <c r="D23" s="12">
        <v>107112538502</v>
      </c>
      <c r="E23">
        <v>3300</v>
      </c>
      <c r="F23">
        <f>IFERROR(VLOOKUP(C23,回款计划!B:E,4,0),0)</f>
        <v>99900</v>
      </c>
      <c r="G23">
        <f>IFERROR(VLOOKUP(C23,回款计划!B:E,5,0),0)</f>
        <v>0</v>
      </c>
      <c r="H23">
        <f>IFERROR(VLOOKUP(C23,回款计划!B:E,6,0),0)</f>
        <v>0</v>
      </c>
      <c r="I23" t="s">
        <v>1635</v>
      </c>
      <c r="J23">
        <v>3300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93</v>
      </c>
      <c r="D24" s="12">
        <v>101129349328</v>
      </c>
      <c r="E24">
        <v>2700</v>
      </c>
      <c r="F24">
        <f>IFERROR(VLOOKUP(C24,回款计划!B:E,4,0),0)</f>
        <v>80000</v>
      </c>
      <c r="G24">
        <f>IFERROR(VLOOKUP(C24,回款计划!B:E,5,0),0)</f>
        <v>0</v>
      </c>
      <c r="H24">
        <f>IFERROR(VLOOKUP(C24,回款计划!B:E,6,0),0)</f>
        <v>0</v>
      </c>
      <c r="I24" t="s">
        <v>1635</v>
      </c>
      <c r="J24">
        <v>2700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79</v>
      </c>
      <c r="D25" s="12">
        <v>101129311618</v>
      </c>
      <c r="E25">
        <v>4134</v>
      </c>
      <c r="F25">
        <f>IFERROR(VLOOKUP(C25,回款计划!B:E,4,0),0)</f>
        <v>78000</v>
      </c>
      <c r="G25">
        <f>IFERROR(VLOOKUP(C25,回款计划!B:E,5,0),0)</f>
        <v>0</v>
      </c>
      <c r="H25">
        <f>IFERROR(VLOOKUP(C25,回款计划!B:E,6,0),0)</f>
        <v>0</v>
      </c>
      <c r="I25" t="s">
        <v>1635</v>
      </c>
      <c r="J25">
        <v>4134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535</v>
      </c>
      <c r="D26" s="12">
        <v>107112592344</v>
      </c>
      <c r="E26">
        <v>3256</v>
      </c>
      <c r="F26">
        <f>IFERROR(VLOOKUP(C26,回款计划!B:E,4,0),0)</f>
        <v>98799</v>
      </c>
      <c r="G26">
        <f>IFERROR(VLOOKUP(C26,回款计划!B:E,5,0),0)</f>
        <v>0</v>
      </c>
      <c r="H26">
        <f>IFERROR(VLOOKUP(C26,回款计划!B:E,6,0),0)</f>
        <v>0</v>
      </c>
      <c r="I26" t="s">
        <v>1635</v>
      </c>
      <c r="J26">
        <v>3256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690</v>
      </c>
      <c r="D27" s="12">
        <v>107112808068</v>
      </c>
      <c r="E27">
        <v>2970</v>
      </c>
      <c r="F27">
        <f>IFERROR(VLOOKUP(C27,回款计划!B:E,4,0),0)</f>
        <v>92468</v>
      </c>
      <c r="G27">
        <f>IFERROR(VLOOKUP(C27,回款计划!B:E,5,0),0)</f>
        <v>0</v>
      </c>
      <c r="H27">
        <f>IFERROR(VLOOKUP(C27,回款计划!B:E,6,0),0)</f>
        <v>0</v>
      </c>
      <c r="I27" t="s">
        <v>1635</v>
      </c>
      <c r="J27">
        <v>2970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609</v>
      </c>
      <c r="D28" s="12">
        <v>107112664269</v>
      </c>
      <c r="E28">
        <v>2541</v>
      </c>
      <c r="F28">
        <f>IFERROR(VLOOKUP(C28,回款计划!B:E,4,0),0)</f>
        <v>77000</v>
      </c>
      <c r="G28">
        <f>IFERROR(VLOOKUP(C28,回款计划!B:E,5,0),0)</f>
        <v>0</v>
      </c>
      <c r="H28">
        <f>IFERROR(VLOOKUP(C28,回款计划!B:E,6,0),0)</f>
        <v>0</v>
      </c>
      <c r="I28" t="s">
        <v>1635</v>
      </c>
      <c r="J28">
        <v>2541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433</v>
      </c>
      <c r="D29" s="12">
        <v>107112353366</v>
      </c>
      <c r="E29">
        <v>2460</v>
      </c>
      <c r="F29">
        <f>IFERROR(VLOOKUP(C29,回款计划!B:E,4,0),0)</f>
        <v>76000</v>
      </c>
      <c r="G29">
        <f>IFERROR(VLOOKUP(C29,回款计划!B:E,5,0),0)</f>
        <v>0</v>
      </c>
      <c r="H29">
        <f>IFERROR(VLOOKUP(C29,回款计划!B:E,6,0),0)</f>
        <v>0</v>
      </c>
      <c r="I29" t="s">
        <v>1635</v>
      </c>
      <c r="J29">
        <v>2460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73</v>
      </c>
      <c r="D30" s="12">
        <v>101129256334</v>
      </c>
      <c r="E30">
        <v>2400</v>
      </c>
      <c r="F30">
        <f>IFERROR(VLOOKUP(C30,回款计划!B:E,4,0),0)</f>
        <v>73000</v>
      </c>
      <c r="G30">
        <f>IFERROR(VLOOKUP(C30,回款计划!B:E,5,0),0)</f>
        <v>0</v>
      </c>
      <c r="H30">
        <f>IFERROR(VLOOKUP(C30,回款计划!B:E,6,0),0)</f>
        <v>0</v>
      </c>
      <c r="I30" t="s">
        <v>1635</v>
      </c>
      <c r="J30">
        <v>2400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22</v>
      </c>
      <c r="D31" s="12">
        <v>101127524235</v>
      </c>
      <c r="E31">
        <v>2383.33</v>
      </c>
      <c r="F31">
        <f>IFERROR(VLOOKUP(C31,回款计划!B:E,4,0),0)</f>
        <v>50000</v>
      </c>
      <c r="G31">
        <f>IFERROR(VLOOKUP(C31,回款计划!B:E,5,0),0)</f>
        <v>0</v>
      </c>
      <c r="H31">
        <f>IFERROR(VLOOKUP(C31,回款计划!B:E,6,0),0)</f>
        <v>0</v>
      </c>
      <c r="I31" t="s">
        <v>1635</v>
      </c>
      <c r="J31">
        <v>2383.33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368</v>
      </c>
      <c r="D32" s="12">
        <v>107112197937</v>
      </c>
      <c r="E32">
        <v>1615</v>
      </c>
      <c r="F32">
        <f>IFERROR(VLOOKUP(C32,回款计划!B:E,4,0),0)</f>
        <v>28553</v>
      </c>
      <c r="G32">
        <f>IFERROR(VLOOKUP(C32,回款计划!B:E,5,0),0)</f>
        <v>0</v>
      </c>
      <c r="H32">
        <f>IFERROR(VLOOKUP(C32,回款计划!B:E,6,0),0)</f>
        <v>0</v>
      </c>
      <c r="I32" t="s">
        <v>1635</v>
      </c>
      <c r="J32">
        <v>1615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525</v>
      </c>
      <c r="D33" s="12">
        <v>107112587444</v>
      </c>
      <c r="E33">
        <v>1540</v>
      </c>
      <c r="F33">
        <f>IFERROR(VLOOKUP(C33,回款计划!B:E,4,0),0)</f>
        <v>27578</v>
      </c>
      <c r="G33">
        <f>IFERROR(VLOOKUP(C33,回款计划!B:E,5,0),0)</f>
        <v>0</v>
      </c>
      <c r="H33">
        <f>IFERROR(VLOOKUP(C33,回款计划!B:E,6,0),0)</f>
        <v>0</v>
      </c>
      <c r="I33" t="s">
        <v>1635</v>
      </c>
      <c r="J33">
        <v>1540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352</v>
      </c>
      <c r="D34" s="12">
        <v>107112102202</v>
      </c>
      <c r="E34">
        <v>2000</v>
      </c>
      <c r="F34">
        <f>IFERROR(VLOOKUP(C34,回款计划!B:E,4,0),0)</f>
        <v>97686</v>
      </c>
      <c r="G34">
        <f>IFERROR(VLOOKUP(C34,回款计划!B:E,5,0),0)</f>
        <v>0</v>
      </c>
      <c r="H34">
        <f>IFERROR(VLOOKUP(C34,回款计划!B:E,6,0),0)</f>
        <v>0</v>
      </c>
      <c r="I34" t="s">
        <v>1635</v>
      </c>
      <c r="J34">
        <v>2000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375</v>
      </c>
      <c r="D35" s="12">
        <v>107112209965</v>
      </c>
      <c r="E35">
        <v>2652</v>
      </c>
      <c r="F35">
        <f>IFERROR(VLOOKUP(C35,回款计划!B:E,4,0),0)</f>
        <v>77033</v>
      </c>
      <c r="G35">
        <f>IFERROR(VLOOKUP(C35,回款计划!B:E,5,0),0)</f>
        <v>0</v>
      </c>
      <c r="H35">
        <f>IFERROR(VLOOKUP(C35,回款计划!B:E,6,0),0)</f>
        <v>0</v>
      </c>
      <c r="I35" t="s">
        <v>1635</v>
      </c>
      <c r="J35">
        <v>2652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531</v>
      </c>
      <c r="D36" s="12">
        <v>107112590731</v>
      </c>
      <c r="E36">
        <v>3912</v>
      </c>
      <c r="F36">
        <f>IFERROR(VLOOKUP(C36,回款计划!B:E,4,0),0)</f>
        <v>114896</v>
      </c>
      <c r="G36">
        <f>IFERROR(VLOOKUP(C36,回款计划!B:E,5,0),0)</f>
        <v>0</v>
      </c>
      <c r="H36">
        <f>IFERROR(VLOOKUP(C36,回款计划!B:E,6,0),0)</f>
        <v>0</v>
      </c>
      <c r="I36" t="s">
        <v>1635</v>
      </c>
      <c r="J36">
        <v>3912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713</v>
      </c>
      <c r="D37" s="12">
        <v>107112863914</v>
      </c>
      <c r="E37">
        <v>3564</v>
      </c>
      <c r="F37">
        <f>IFERROR(VLOOKUP(C37,回款计划!B:E,4,0),0)</f>
        <v>105000</v>
      </c>
      <c r="G37">
        <f>IFERROR(VLOOKUP(C37,回款计划!B:E,5,0),0)</f>
        <v>0</v>
      </c>
      <c r="H37">
        <f>IFERROR(VLOOKUP(C37,回款计划!B:E,6,0),0)</f>
        <v>0</v>
      </c>
      <c r="I37" t="s">
        <v>1635</v>
      </c>
      <c r="J37">
        <v>3564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397</v>
      </c>
      <c r="D38" s="12">
        <v>107112283712</v>
      </c>
      <c r="E38">
        <v>2800</v>
      </c>
      <c r="F38">
        <f>IFERROR(VLOOKUP(C38,回款计划!B:E,4,0),0)</f>
        <v>84713</v>
      </c>
      <c r="G38">
        <f>IFERROR(VLOOKUP(C38,回款计划!B:E,5,0),0)</f>
        <v>0</v>
      </c>
      <c r="H38">
        <f>IFERROR(VLOOKUP(C38,回款计划!B:E,6,0),0)</f>
        <v>0</v>
      </c>
      <c r="I38" t="s">
        <v>1635</v>
      </c>
      <c r="J38">
        <v>2800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342</v>
      </c>
      <c r="D39" s="12">
        <v>107112069545</v>
      </c>
      <c r="E39">
        <v>5760</v>
      </c>
      <c r="F39">
        <f>IFERROR(VLOOKUP(C39,回款计划!B:E,4,0),0)</f>
        <v>173888</v>
      </c>
      <c r="G39">
        <f>IFERROR(VLOOKUP(C39,回款计划!B:E,5,0),0)</f>
        <v>0</v>
      </c>
      <c r="H39">
        <f>IFERROR(VLOOKUP(C39,回款计划!B:E,6,0),0)</f>
        <v>0</v>
      </c>
      <c r="I39" t="s">
        <v>1635</v>
      </c>
      <c r="J39">
        <v>5760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619</v>
      </c>
      <c r="D40" s="12">
        <v>107112679830</v>
      </c>
      <c r="E40">
        <v>4005</v>
      </c>
      <c r="F40">
        <f>IFERROR(VLOOKUP(C40,回款计划!B:E,4,0),0)</f>
        <v>129626</v>
      </c>
      <c r="G40">
        <f>IFERROR(VLOOKUP(C40,回款计划!B:E,5,0),0)</f>
        <v>0</v>
      </c>
      <c r="H40">
        <f>IFERROR(VLOOKUP(C40,回款计划!B:E,6,0),0)</f>
        <v>0</v>
      </c>
      <c r="I40" t="s">
        <v>1635</v>
      </c>
      <c r="J40">
        <v>4005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30</v>
      </c>
      <c r="D41" s="12">
        <v>101127962550</v>
      </c>
      <c r="E41">
        <v>2835</v>
      </c>
      <c r="F41">
        <f>IFERROR(VLOOKUP(C41,回款计划!B:E,4,0),0)</f>
        <v>84000</v>
      </c>
      <c r="G41">
        <f>IFERROR(VLOOKUP(C41,回款计划!B:E,5,0),0)</f>
        <v>0</v>
      </c>
      <c r="H41">
        <f>IFERROR(VLOOKUP(C41,回款计划!B:E,6,0),0)</f>
        <v>0</v>
      </c>
      <c r="I41" t="s">
        <v>1635</v>
      </c>
      <c r="J41">
        <v>2835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653</v>
      </c>
      <c r="D42" s="12">
        <v>107112750116</v>
      </c>
      <c r="E42">
        <v>2756</v>
      </c>
      <c r="F42">
        <f>IFERROR(VLOOKUP(C42,回款计划!B:E,4,0),0)</f>
        <v>82697</v>
      </c>
      <c r="G42">
        <f>IFERROR(VLOOKUP(C42,回款计划!B:E,5,0),0)</f>
        <v>0</v>
      </c>
      <c r="H42">
        <f>IFERROR(VLOOKUP(C42,回款计划!B:E,6,0),0)</f>
        <v>0</v>
      </c>
      <c r="I42" t="s">
        <v>1635</v>
      </c>
      <c r="J42">
        <v>2756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96</v>
      </c>
      <c r="D43" s="12">
        <v>101129354717</v>
      </c>
      <c r="E43">
        <v>5740</v>
      </c>
      <c r="F43">
        <f>IFERROR(VLOOKUP(C43,回款计划!B:E,4,0),0)</f>
        <v>105000</v>
      </c>
      <c r="G43">
        <f>IFERROR(VLOOKUP(C43,回款计划!B:E,5,0),0)</f>
        <v>0</v>
      </c>
      <c r="H43">
        <f>IFERROR(VLOOKUP(C43,回款计划!B:E,6,0),0)</f>
        <v>0</v>
      </c>
      <c r="I43" t="s">
        <v>1635</v>
      </c>
      <c r="J43">
        <v>5740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318</v>
      </c>
      <c r="D44" s="12">
        <v>107111707839</v>
      </c>
      <c r="E44">
        <v>3330</v>
      </c>
      <c r="F44">
        <f>IFERROR(VLOOKUP(C44,回款计划!B:E,4,0),0)</f>
        <v>80000</v>
      </c>
      <c r="G44">
        <f>IFERROR(VLOOKUP(C44,回款计划!B:E,5,0),0)</f>
        <v>0</v>
      </c>
      <c r="H44">
        <f>IFERROR(VLOOKUP(C44,回款计划!B:E,6,0),0)</f>
        <v>0</v>
      </c>
      <c r="I44" t="s">
        <v>1635</v>
      </c>
      <c r="J44">
        <v>3330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300</v>
      </c>
      <c r="D45" s="12">
        <v>101131160445</v>
      </c>
      <c r="E45">
        <v>2520</v>
      </c>
      <c r="F45">
        <f>IFERROR(VLOOKUP(C45,回款计划!B:E,4,0),0)</f>
        <v>75800</v>
      </c>
      <c r="G45">
        <f>IFERROR(VLOOKUP(C45,回款计划!B:E,5,0),0)</f>
        <v>0</v>
      </c>
      <c r="H45">
        <f>IFERROR(VLOOKUP(C45,回款计划!B:E,6,0),0)</f>
        <v>0</v>
      </c>
      <c r="I45" t="s">
        <v>1635</v>
      </c>
      <c r="J45">
        <v>2520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642</v>
      </c>
      <c r="D46" s="12">
        <v>107112718957</v>
      </c>
      <c r="E46">
        <v>837</v>
      </c>
      <c r="F46">
        <f>IFERROR(VLOOKUP(C46,回款计划!B:E,4,0),0)</f>
        <v>15000</v>
      </c>
      <c r="G46">
        <f>IFERROR(VLOOKUP(C46,回款计划!B:E,5,0),0)</f>
        <v>0</v>
      </c>
      <c r="H46">
        <f>IFERROR(VLOOKUP(C46,回款计划!B:E,6,0),0)</f>
        <v>0</v>
      </c>
      <c r="I46" t="s">
        <v>1635</v>
      </c>
      <c r="J46">
        <v>837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537</v>
      </c>
      <c r="D47" s="12">
        <v>107112594084</v>
      </c>
      <c r="E47">
        <v>3472</v>
      </c>
      <c r="F47">
        <f>IFERROR(VLOOKUP(C47,回款计划!B:E,4,0),0)</f>
        <v>106500</v>
      </c>
      <c r="G47">
        <f>IFERROR(VLOOKUP(C47,回款计划!B:E,5,0),0)</f>
        <v>0</v>
      </c>
      <c r="H47">
        <f>IFERROR(VLOOKUP(C47,回款计划!B:E,6,0),0)</f>
        <v>0</v>
      </c>
      <c r="I47" t="s">
        <v>1635</v>
      </c>
      <c r="J47">
        <v>3472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806</v>
      </c>
      <c r="D48" s="12">
        <v>107113057210</v>
      </c>
      <c r="E48">
        <v>2025</v>
      </c>
      <c r="F48">
        <f>IFERROR(VLOOKUP(C48,回款计划!B:E,4,0),0)</f>
        <v>70000</v>
      </c>
      <c r="G48">
        <f>IFERROR(VLOOKUP(C48,回款计划!B:E,5,0),0)</f>
        <v>0</v>
      </c>
      <c r="H48">
        <f>IFERROR(VLOOKUP(C48,回款计划!B:E,6,0),0)</f>
        <v>0</v>
      </c>
      <c r="I48" t="s">
        <v>1635</v>
      </c>
      <c r="J48">
        <v>2025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177</v>
      </c>
      <c r="D49" s="12">
        <v>101129984712</v>
      </c>
      <c r="E49">
        <v>3055</v>
      </c>
      <c r="F49">
        <f>IFERROR(VLOOKUP(C49,回款计划!B:E,4,0),0)</f>
        <v>73660</v>
      </c>
      <c r="G49">
        <f>IFERROR(VLOOKUP(C49,回款计划!B:E,5,0),0)</f>
        <v>0</v>
      </c>
      <c r="H49">
        <f>IFERROR(VLOOKUP(C49,回款计划!B:E,6,0),0)</f>
        <v>0</v>
      </c>
      <c r="I49" t="s">
        <v>1635</v>
      </c>
      <c r="J49">
        <v>3055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721</v>
      </c>
      <c r="D50" s="12">
        <v>107112884565</v>
      </c>
      <c r="E50">
        <v>4263</v>
      </c>
      <c r="F50">
        <f>IFERROR(VLOOKUP(C50,回款计划!B:E,4,0),0)</f>
        <v>122888</v>
      </c>
      <c r="G50">
        <f>IFERROR(VLOOKUP(C50,回款计划!B:E,5,0),0)</f>
        <v>0</v>
      </c>
      <c r="H50">
        <f>IFERROR(VLOOKUP(C50,回款计划!B:E,6,0),0)</f>
        <v>0</v>
      </c>
      <c r="I50" t="s">
        <v>1635</v>
      </c>
      <c r="J50">
        <v>4263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85</v>
      </c>
      <c r="D51" s="12">
        <v>101129320554</v>
      </c>
      <c r="E51">
        <v>2970</v>
      </c>
      <c r="F51">
        <f>IFERROR(VLOOKUP(C51,回款计划!B:E,4,0),0)</f>
        <v>88849</v>
      </c>
      <c r="G51">
        <f>IFERROR(VLOOKUP(C51,回款计划!B:E,5,0),0)</f>
        <v>0</v>
      </c>
      <c r="H51">
        <f>IFERROR(VLOOKUP(C51,回款计划!B:E,6,0),0)</f>
        <v>0</v>
      </c>
      <c r="I51" t="s">
        <v>1635</v>
      </c>
      <c r="J51">
        <v>2970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83</v>
      </c>
      <c r="D52" s="12">
        <v>101129319780</v>
      </c>
      <c r="E52">
        <v>2970</v>
      </c>
      <c r="F52">
        <f>IFERROR(VLOOKUP(C52,回款计划!B:E,4,0),0)</f>
        <v>92789</v>
      </c>
      <c r="G52">
        <f>IFERROR(VLOOKUP(C52,回款计划!B:E,5,0),0)</f>
        <v>0</v>
      </c>
      <c r="H52">
        <f>IFERROR(VLOOKUP(C52,回款计划!B:E,6,0),0)</f>
        <v>0</v>
      </c>
      <c r="I52" t="s">
        <v>1635</v>
      </c>
      <c r="J52">
        <v>2970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620</v>
      </c>
      <c r="D53" s="12">
        <v>107112682577</v>
      </c>
      <c r="E53">
        <v>1350</v>
      </c>
      <c r="F53">
        <f>IFERROR(VLOOKUP(C53,回款计划!B:E,4,0),0)</f>
        <v>24498</v>
      </c>
      <c r="G53">
        <f>IFERROR(VLOOKUP(C53,回款计划!B:E,5,0),0)</f>
        <v>0</v>
      </c>
      <c r="H53">
        <f>IFERROR(VLOOKUP(C53,回款计划!B:E,6,0),0)</f>
        <v>0</v>
      </c>
      <c r="I53" t="s">
        <v>1635</v>
      </c>
      <c r="J53">
        <v>1350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596</v>
      </c>
      <c r="D54" s="12">
        <v>107112654601</v>
      </c>
      <c r="E54">
        <v>3567</v>
      </c>
      <c r="F54">
        <f>IFERROR(VLOOKUP(C54,回款计划!B:E,4,0),0)</f>
        <v>107595</v>
      </c>
      <c r="G54">
        <f>IFERROR(VLOOKUP(C54,回款计划!B:E,5,0),0)</f>
        <v>0</v>
      </c>
      <c r="H54">
        <f>IFERROR(VLOOKUP(C54,回款计划!B:E,6,0),0)</f>
        <v>0</v>
      </c>
      <c r="I54" t="s">
        <v>1635</v>
      </c>
      <c r="J54">
        <v>3567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100</v>
      </c>
      <c r="D55" s="12">
        <v>101129399496</v>
      </c>
      <c r="E55">
        <v>3116</v>
      </c>
      <c r="F55">
        <f>IFERROR(VLOOKUP(C55,回款计划!B:E,4,0),0)</f>
        <v>92555</v>
      </c>
      <c r="G55">
        <f>IFERROR(VLOOKUP(C55,回款计划!B:E,5,0),0)</f>
        <v>0</v>
      </c>
      <c r="H55">
        <f>IFERROR(VLOOKUP(C55,回款计划!B:E,6,0),0)</f>
        <v>0</v>
      </c>
      <c r="I55" t="s">
        <v>1635</v>
      </c>
      <c r="J55">
        <v>3116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153</v>
      </c>
      <c r="D56" s="12">
        <v>101129828082</v>
      </c>
      <c r="E56">
        <v>3306</v>
      </c>
      <c r="F56">
        <f>IFERROR(VLOOKUP(C56,回款计划!B:E,4,0),0)</f>
        <v>100000</v>
      </c>
      <c r="G56">
        <f>IFERROR(VLOOKUP(C56,回款计划!B:E,5,0),0)</f>
        <v>0</v>
      </c>
      <c r="H56">
        <f>IFERROR(VLOOKUP(C56,回款计划!B:E,6,0),0)</f>
        <v>0</v>
      </c>
      <c r="I56" t="s">
        <v>1635</v>
      </c>
      <c r="J56">
        <v>3306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671</v>
      </c>
      <c r="D57" s="12">
        <v>107112782472</v>
      </c>
      <c r="E57">
        <v>3360</v>
      </c>
      <c r="F57">
        <f>IFERROR(VLOOKUP(C57,回款计划!B:E,4,0),0)</f>
        <v>100000</v>
      </c>
      <c r="G57">
        <f>IFERROR(VLOOKUP(C57,回款计划!B:E,5,0),0)</f>
        <v>0</v>
      </c>
      <c r="H57">
        <f>IFERROR(VLOOKUP(C57,回款计划!B:E,6,0),0)</f>
        <v>0</v>
      </c>
      <c r="I57" t="s">
        <v>1635</v>
      </c>
      <c r="J57">
        <v>3360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611</v>
      </c>
      <c r="D58" s="12">
        <v>107112670693</v>
      </c>
      <c r="E58">
        <v>3034</v>
      </c>
      <c r="F58">
        <f>IFERROR(VLOOKUP(C58,回款计划!B:E,4,0),0)</f>
        <v>91593</v>
      </c>
      <c r="G58">
        <f>IFERROR(VLOOKUP(C58,回款计划!B:E,5,0),0)</f>
        <v>0</v>
      </c>
      <c r="H58">
        <f>IFERROR(VLOOKUP(C58,回款计划!B:E,6,0),0)</f>
        <v>0</v>
      </c>
      <c r="I58" t="s">
        <v>1635</v>
      </c>
      <c r="J58">
        <v>3034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686</v>
      </c>
      <c r="D59" s="12">
        <v>107112806153</v>
      </c>
      <c r="E59">
        <v>1488</v>
      </c>
      <c r="F59">
        <f>IFERROR(VLOOKUP(C59,回款计划!B:E,4,0),0)</f>
        <v>26555</v>
      </c>
      <c r="G59">
        <f>IFERROR(VLOOKUP(C59,回款计划!B:E,5,0),0)</f>
        <v>0</v>
      </c>
      <c r="H59">
        <f>IFERROR(VLOOKUP(C59,回款计划!B:E,6,0),0)</f>
        <v>0</v>
      </c>
      <c r="I59" t="s">
        <v>1635</v>
      </c>
      <c r="J59">
        <v>1488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711</v>
      </c>
      <c r="D60" s="12">
        <v>107112860399</v>
      </c>
      <c r="E60">
        <v>3432</v>
      </c>
      <c r="F60">
        <f>IFERROR(VLOOKUP(C60,回款计划!B:E,4,0),0)</f>
        <v>99877</v>
      </c>
      <c r="G60">
        <f>IFERROR(VLOOKUP(C60,回款计划!B:E,5,0),0)</f>
        <v>0</v>
      </c>
      <c r="H60">
        <f>IFERROR(VLOOKUP(C60,回款计划!B:E,6,0),0)</f>
        <v>0</v>
      </c>
      <c r="I60" t="s">
        <v>1635</v>
      </c>
      <c r="J60">
        <v>3432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632</v>
      </c>
      <c r="D61" s="12">
        <v>107112702614</v>
      </c>
      <c r="E61">
        <v>2928</v>
      </c>
      <c r="F61">
        <f>IFERROR(VLOOKUP(C61,回款计划!B:E,4,0),0)</f>
        <v>85000</v>
      </c>
      <c r="G61">
        <f>IFERROR(VLOOKUP(C61,回款计划!B:E,5,0),0)</f>
        <v>0</v>
      </c>
      <c r="H61">
        <f>IFERROR(VLOOKUP(C61,回款计划!B:E,6,0),0)</f>
        <v>0</v>
      </c>
      <c r="I61" t="s">
        <v>1635</v>
      </c>
      <c r="J61">
        <v>2928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558</v>
      </c>
      <c r="D62" s="12">
        <v>107112617499</v>
      </c>
      <c r="E62">
        <v>1440</v>
      </c>
      <c r="F62">
        <f>IFERROR(VLOOKUP(C62,回款计划!B:E,4,0),0)</f>
        <v>25912</v>
      </c>
      <c r="G62">
        <f>IFERROR(VLOOKUP(C62,回款计划!B:E,5,0),0)</f>
        <v>0</v>
      </c>
      <c r="H62">
        <f>IFERROR(VLOOKUP(C62,回款计划!B:E,6,0),0)</f>
        <v>0</v>
      </c>
      <c r="I62" t="s">
        <v>1635</v>
      </c>
      <c r="J62">
        <v>1440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155</v>
      </c>
      <c r="D63" s="12">
        <v>101129869242</v>
      </c>
      <c r="E63">
        <v>5520</v>
      </c>
      <c r="F63">
        <f>IFERROR(VLOOKUP(C63,回款计划!B:E,4,0),0)</f>
        <v>170000</v>
      </c>
      <c r="G63">
        <f>IFERROR(VLOOKUP(C63,回款计划!B:E,5,0),0)</f>
        <v>0</v>
      </c>
      <c r="H63">
        <f>IFERROR(VLOOKUP(C63,回款计划!B:E,6,0),0)</f>
        <v>0</v>
      </c>
      <c r="I63" t="s">
        <v>1635</v>
      </c>
      <c r="J63">
        <v>5520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759</v>
      </c>
      <c r="D64" s="12">
        <v>107112951037</v>
      </c>
      <c r="E64">
        <v>3075</v>
      </c>
      <c r="F64">
        <f>IFERROR(VLOOKUP(C64,回款计划!B:E,4,0),0)</f>
        <v>89698</v>
      </c>
      <c r="G64">
        <f>IFERROR(VLOOKUP(C64,回款计划!B:E,5,0),0)</f>
        <v>0</v>
      </c>
      <c r="H64">
        <f>IFERROR(VLOOKUP(C64,回款计划!B:E,6,0),0)</f>
        <v>0</v>
      </c>
      <c r="I64" t="s">
        <v>1635</v>
      </c>
      <c r="J64">
        <v>3075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417</v>
      </c>
      <c r="D65" s="12">
        <v>107112327557</v>
      </c>
      <c r="E65">
        <v>1500</v>
      </c>
      <c r="F65">
        <f>IFERROR(VLOOKUP(C65,回款计划!B:E,4,0),0)</f>
        <v>26749</v>
      </c>
      <c r="G65">
        <f>IFERROR(VLOOKUP(C65,回款计划!B:E,5,0),0)</f>
        <v>0</v>
      </c>
      <c r="H65">
        <f>IFERROR(VLOOKUP(C65,回款计划!B:E,6,0),0)</f>
        <v>0</v>
      </c>
      <c r="I65" t="s">
        <v>1635</v>
      </c>
      <c r="J65">
        <v>1500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175</v>
      </c>
      <c r="D66" s="12">
        <v>101129984034</v>
      </c>
      <c r="E66">
        <v>2800</v>
      </c>
      <c r="F66">
        <f>IFERROR(VLOOKUP(C66,回款计划!B:E,4,0),0)</f>
        <v>84036</v>
      </c>
      <c r="G66">
        <f>IFERROR(VLOOKUP(C66,回款计划!B:E,5,0),0)</f>
        <v>0</v>
      </c>
      <c r="H66">
        <f>IFERROR(VLOOKUP(C66,回款计划!B:E,6,0),0)</f>
        <v>0</v>
      </c>
      <c r="I66" t="s">
        <v>1635</v>
      </c>
      <c r="J66">
        <v>2800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395</v>
      </c>
      <c r="D67" s="12">
        <v>107112283513</v>
      </c>
      <c r="E67">
        <v>1512</v>
      </c>
      <c r="F67">
        <f>IFERROR(VLOOKUP(C67,回款计划!B:E,4,0),0)</f>
        <v>27000</v>
      </c>
      <c r="G67">
        <f>IFERROR(VLOOKUP(C67,回款计划!B:E,5,0),0)</f>
        <v>0</v>
      </c>
      <c r="H67">
        <f>IFERROR(VLOOKUP(C67,回款计划!B:E,6,0),0)</f>
        <v>0</v>
      </c>
      <c r="I67" t="s">
        <v>1635</v>
      </c>
      <c r="J67">
        <v>1512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113</v>
      </c>
      <c r="D68" s="12">
        <v>101129491687</v>
      </c>
      <c r="E68">
        <v>5280</v>
      </c>
      <c r="F68">
        <f>IFERROR(VLOOKUP(C68,回款计划!B:E,4,0),0)</f>
        <v>160091</v>
      </c>
      <c r="G68">
        <f>IFERROR(VLOOKUP(C68,回款计划!B:E,5,0),0)</f>
        <v>0</v>
      </c>
      <c r="H68">
        <f>IFERROR(VLOOKUP(C68,回款计划!B:E,6,0),0)</f>
        <v>0</v>
      </c>
      <c r="I68" t="s">
        <v>1635</v>
      </c>
      <c r="J68">
        <v>5280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812</v>
      </c>
      <c r="D69" s="12">
        <v>107113105964</v>
      </c>
      <c r="E69">
        <v>3780</v>
      </c>
      <c r="F69">
        <f>IFERROR(VLOOKUP(C69,回款计划!B:E,4,0),0)</f>
        <v>98000</v>
      </c>
      <c r="G69">
        <f>IFERROR(VLOOKUP(C69,回款计划!B:E,5,0),0)</f>
        <v>0</v>
      </c>
      <c r="H69">
        <f>IFERROR(VLOOKUP(C69,回款计划!B:E,6,0),0)</f>
        <v>0</v>
      </c>
      <c r="I69" t="s">
        <v>1635</v>
      </c>
      <c r="J69">
        <v>3780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203</v>
      </c>
      <c r="D70" s="12">
        <v>101130185627</v>
      </c>
      <c r="E70">
        <v>2460</v>
      </c>
      <c r="F70">
        <f>IFERROR(VLOOKUP(C70,回款计划!B:E,4,0),0)</f>
        <v>74625</v>
      </c>
      <c r="G70">
        <f>IFERROR(VLOOKUP(C70,回款计划!B:E,5,0),0)</f>
        <v>0</v>
      </c>
      <c r="H70">
        <f>IFERROR(VLOOKUP(C70,回款计划!B:E,6,0),0)</f>
        <v>0</v>
      </c>
      <c r="I70" t="s">
        <v>1635</v>
      </c>
      <c r="J70">
        <v>2460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298</v>
      </c>
      <c r="D71" s="12">
        <v>101131094358</v>
      </c>
      <c r="E71">
        <v>2856</v>
      </c>
      <c r="F71">
        <f>IFERROR(VLOOKUP(C71,回款计划!B:E,4,0),0)</f>
        <v>85872</v>
      </c>
      <c r="G71">
        <f>IFERROR(VLOOKUP(C71,回款计划!B:E,5,0),0)</f>
        <v>0</v>
      </c>
      <c r="H71">
        <f>IFERROR(VLOOKUP(C71,回款计划!B:E,6,0),0)</f>
        <v>0</v>
      </c>
      <c r="I71" t="s">
        <v>1635</v>
      </c>
      <c r="J71">
        <v>2856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284</v>
      </c>
      <c r="D72" s="12">
        <v>101130908844</v>
      </c>
      <c r="E72">
        <v>6020</v>
      </c>
      <c r="F72">
        <f>IFERROR(VLOOKUP(C72,回款计划!B:E,4,0),0)</f>
        <v>111290</v>
      </c>
      <c r="G72">
        <f>IFERROR(VLOOKUP(C72,回款计划!B:E,5,0),0)</f>
        <v>0</v>
      </c>
      <c r="H72">
        <f>IFERROR(VLOOKUP(C72,回款计划!B:E,6,0),0)</f>
        <v>0</v>
      </c>
      <c r="I72" t="s">
        <v>1635</v>
      </c>
      <c r="J72">
        <v>6020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774</v>
      </c>
      <c r="D73" s="12">
        <v>107112989755</v>
      </c>
      <c r="E73">
        <v>2592</v>
      </c>
      <c r="F73">
        <f>IFERROR(VLOOKUP(C73,回款计划!B:E,4,0),0)</f>
        <v>77000</v>
      </c>
      <c r="G73">
        <f>IFERROR(VLOOKUP(C73,回款计划!B:E,5,0),0)</f>
        <v>0</v>
      </c>
      <c r="H73">
        <f>IFERROR(VLOOKUP(C73,回款计划!B:E,6,0),0)</f>
        <v>0</v>
      </c>
      <c r="I73" t="s">
        <v>1635</v>
      </c>
      <c r="J73">
        <v>2592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135</v>
      </c>
      <c r="D74" s="12">
        <v>101129629405</v>
      </c>
      <c r="E74">
        <v>5244</v>
      </c>
      <c r="F74">
        <f>IFERROR(VLOOKUP(C74,回款计划!B:E,4,0),0)</f>
        <v>98888</v>
      </c>
      <c r="G74">
        <f>IFERROR(VLOOKUP(C74,回款计划!B:E,5,0),0)</f>
        <v>0</v>
      </c>
      <c r="H74">
        <f>IFERROR(VLOOKUP(C74,回款计划!B:E,6,0),0)</f>
        <v>0</v>
      </c>
      <c r="I74" t="s">
        <v>1635</v>
      </c>
      <c r="J74">
        <v>5244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334</v>
      </c>
      <c r="D75" s="12">
        <v>107111983093</v>
      </c>
      <c r="E75">
        <v>1531.11</v>
      </c>
      <c r="F75">
        <f>IFERROR(VLOOKUP(C75,回款计划!B:E,4,0),0)</f>
        <v>119788</v>
      </c>
      <c r="G75">
        <f>IFERROR(VLOOKUP(C75,回款计划!B:E,5,0),0)</f>
        <v>0</v>
      </c>
      <c r="H75">
        <f>IFERROR(VLOOKUP(C75,回款计划!B:E,6,0),0)</f>
        <v>0</v>
      </c>
      <c r="I75" t="s">
        <v>1635</v>
      </c>
      <c r="J75">
        <v>1531.11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167</v>
      </c>
      <c r="D76" s="12">
        <v>101129927216</v>
      </c>
      <c r="E76">
        <v>4536</v>
      </c>
      <c r="F76">
        <f>IFERROR(VLOOKUP(C76,回款计划!B:E,4,0),0)</f>
        <v>86485</v>
      </c>
      <c r="G76">
        <f>IFERROR(VLOOKUP(C76,回款计划!B:E,5,0),0)</f>
        <v>0</v>
      </c>
      <c r="H76">
        <f>IFERROR(VLOOKUP(C76,回款计划!B:E,6,0),0)</f>
        <v>0</v>
      </c>
      <c r="I76" t="s">
        <v>1635</v>
      </c>
      <c r="J76">
        <v>4536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53</v>
      </c>
      <c r="D77" s="12">
        <v>101128601341</v>
      </c>
      <c r="E77">
        <v>3471</v>
      </c>
      <c r="F77">
        <f>IFERROR(VLOOKUP(C77,回款计划!B:E,4,0),0)</f>
        <v>103759</v>
      </c>
      <c r="G77">
        <f>IFERROR(VLOOKUP(C77,回款计划!B:E,5,0),0)</f>
        <v>0</v>
      </c>
      <c r="H77">
        <f>IFERROR(VLOOKUP(C77,回款计划!B:E,6,0),0)</f>
        <v>0</v>
      </c>
      <c r="I77" t="s">
        <v>1635</v>
      </c>
      <c r="J77">
        <v>3471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584</v>
      </c>
      <c r="D78" s="12">
        <v>107112642685</v>
      </c>
      <c r="E78">
        <v>3024</v>
      </c>
      <c r="F78">
        <f>IFERROR(VLOOKUP(C78,回款计划!B:E,4,0),0)</f>
        <v>86995</v>
      </c>
      <c r="G78">
        <f>IFERROR(VLOOKUP(C78,回款计划!B:E,5,0),0)</f>
        <v>0</v>
      </c>
      <c r="H78">
        <f>IFERROR(VLOOKUP(C78,回款计划!B:E,6,0),0)</f>
        <v>0</v>
      </c>
      <c r="I78" t="s">
        <v>1635</v>
      </c>
      <c r="J78">
        <v>3024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580</v>
      </c>
      <c r="D79" s="12">
        <v>107112640254</v>
      </c>
      <c r="E79">
        <v>1254</v>
      </c>
      <c r="F79">
        <f>IFERROR(VLOOKUP(C79,回款计划!B:E,4,0),0)</f>
        <v>37493</v>
      </c>
      <c r="G79">
        <f>IFERROR(VLOOKUP(C79,回款计划!B:E,5,0),0)</f>
        <v>0</v>
      </c>
      <c r="H79">
        <f>IFERROR(VLOOKUP(C79,回款计划!B:E,6,0),0)</f>
        <v>0</v>
      </c>
      <c r="I79" t="s">
        <v>1635</v>
      </c>
      <c r="J79">
        <v>1254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543</v>
      </c>
      <c r="D80" s="12">
        <v>107112601974</v>
      </c>
      <c r="E80">
        <v>1428</v>
      </c>
      <c r="F80">
        <f>IFERROR(VLOOKUP(C80,回款计划!B:E,4,0),0)</f>
        <v>26555</v>
      </c>
      <c r="G80">
        <f>IFERROR(VLOOKUP(C80,回款计划!B:E,5,0),0)</f>
        <v>0</v>
      </c>
      <c r="H80">
        <f>IFERROR(VLOOKUP(C80,回款计划!B:E,6,0),0)</f>
        <v>0</v>
      </c>
      <c r="I80" t="s">
        <v>1635</v>
      </c>
      <c r="J80">
        <v>1428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254</v>
      </c>
      <c r="D81" s="12">
        <v>101130620233</v>
      </c>
      <c r="E81">
        <v>3840</v>
      </c>
      <c r="F81">
        <f>IFERROR(VLOOKUP(C81,回款计划!B:E,4,0),0)</f>
        <v>115413</v>
      </c>
      <c r="G81">
        <f>IFERROR(VLOOKUP(C81,回款计划!B:E,5,0),0)</f>
        <v>0</v>
      </c>
      <c r="H81">
        <f>IFERROR(VLOOKUP(C81,回款计划!B:E,6,0),0)</f>
        <v>0</v>
      </c>
      <c r="I81" t="s">
        <v>1635</v>
      </c>
      <c r="J81">
        <v>3840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550</v>
      </c>
      <c r="D82" s="12">
        <v>107112610087</v>
      </c>
      <c r="E82">
        <v>1178</v>
      </c>
      <c r="F82">
        <f>IFERROR(VLOOKUP(C82,回款计划!B:E,4,0),0)</f>
        <v>20715</v>
      </c>
      <c r="G82">
        <f>IFERROR(VLOOKUP(C82,回款计划!B:E,5,0),0)</f>
        <v>0</v>
      </c>
      <c r="H82">
        <f>IFERROR(VLOOKUP(C82,回款计划!B:E,6,0),0)</f>
        <v>0</v>
      </c>
      <c r="I82" t="s">
        <v>1635</v>
      </c>
      <c r="J82">
        <v>1178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379</v>
      </c>
      <c r="D83" s="12">
        <v>107112233335</v>
      </c>
      <c r="E83">
        <v>2000</v>
      </c>
      <c r="F83">
        <f>IFERROR(VLOOKUP(C83,回款计划!B:E,4,0),0)</f>
        <v>33828</v>
      </c>
      <c r="G83">
        <f>IFERROR(VLOOKUP(C83,回款计划!B:E,5,0),0)</f>
        <v>0</v>
      </c>
      <c r="H83">
        <f>IFERROR(VLOOKUP(C83,回款计划!B:E,6,0),0)</f>
        <v>0</v>
      </c>
      <c r="I83" t="s">
        <v>1635</v>
      </c>
      <c r="J83">
        <v>2000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89</v>
      </c>
      <c r="D84" s="12">
        <v>101129329748</v>
      </c>
      <c r="E84">
        <v>2900</v>
      </c>
      <c r="F84">
        <f>IFERROR(VLOOKUP(C84,回款计划!B:E,4,0),0)</f>
        <v>86585</v>
      </c>
      <c r="G84">
        <f>IFERROR(VLOOKUP(C84,回款计划!B:E,5,0),0)</f>
        <v>0</v>
      </c>
      <c r="H84">
        <f>IFERROR(VLOOKUP(C84,回款计划!B:E,6,0),0)</f>
        <v>0</v>
      </c>
      <c r="I84" t="s">
        <v>1635</v>
      </c>
      <c r="J84">
        <v>2900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704</v>
      </c>
      <c r="D85" s="12">
        <v>107112843925</v>
      </c>
      <c r="E85">
        <v>2520</v>
      </c>
      <c r="F85">
        <f>IFERROR(VLOOKUP(C85,回款计划!B:E,4,0),0)</f>
        <v>76656</v>
      </c>
      <c r="G85">
        <f>IFERROR(VLOOKUP(C85,回款计划!B:E,5,0),0)</f>
        <v>0</v>
      </c>
      <c r="H85">
        <f>IFERROR(VLOOKUP(C85,回款计划!B:E,6,0),0)</f>
        <v>0</v>
      </c>
      <c r="I85" t="s">
        <v>1635</v>
      </c>
      <c r="J85">
        <v>2520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606</v>
      </c>
      <c r="D86" s="12">
        <v>107112663876</v>
      </c>
      <c r="E86">
        <v>1080</v>
      </c>
      <c r="F86">
        <f>IFERROR(VLOOKUP(C86,回款计划!B:E,4,0),0)</f>
        <v>19087</v>
      </c>
      <c r="G86">
        <f>IFERROR(VLOOKUP(C86,回款计划!B:E,5,0),0)</f>
        <v>0</v>
      </c>
      <c r="H86">
        <f>IFERROR(VLOOKUP(C86,回款计划!B:E,6,0),0)</f>
        <v>0</v>
      </c>
      <c r="I86" t="s">
        <v>1635</v>
      </c>
      <c r="J86">
        <v>1080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659</v>
      </c>
      <c r="D87" s="12">
        <v>107112762784</v>
      </c>
      <c r="E87">
        <v>1360</v>
      </c>
      <c r="F87">
        <f>IFERROR(VLOOKUP(C87,回款计划!B:E,4,0),0)</f>
        <v>24696</v>
      </c>
      <c r="G87">
        <f>IFERROR(VLOOKUP(C87,回款计划!B:E,5,0),0)</f>
        <v>0</v>
      </c>
      <c r="H87">
        <f>IFERROR(VLOOKUP(C87,回款计划!B:E,6,0),0)</f>
        <v>0</v>
      </c>
      <c r="I87" t="s">
        <v>1635</v>
      </c>
      <c r="J87">
        <v>1360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808</v>
      </c>
      <c r="D88" s="12">
        <v>107113068233</v>
      </c>
      <c r="E88">
        <v>2772</v>
      </c>
      <c r="F88">
        <f>IFERROR(VLOOKUP(C88,回款计划!B:E,4,0),0)</f>
        <v>84000</v>
      </c>
      <c r="G88">
        <f>IFERROR(VLOOKUP(C88,回款计划!B:E,5,0),0)</f>
        <v>0</v>
      </c>
      <c r="H88">
        <f>IFERROR(VLOOKUP(C88,回款计划!B:E,6,0),0)</f>
        <v>0</v>
      </c>
      <c r="I88" t="s">
        <v>1635</v>
      </c>
      <c r="J88">
        <v>2772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288</v>
      </c>
      <c r="D89" s="12">
        <v>101130950078</v>
      </c>
      <c r="E89">
        <v>4216</v>
      </c>
      <c r="F89">
        <f>IFERROR(VLOOKUP(C89,回款计划!B:E,4,0),0)</f>
        <v>85000</v>
      </c>
      <c r="G89">
        <f>IFERROR(VLOOKUP(C89,回款计划!B:E,5,0),0)</f>
        <v>0</v>
      </c>
      <c r="H89">
        <f>IFERROR(VLOOKUP(C89,回款计划!B:E,6,0),0)</f>
        <v>0</v>
      </c>
      <c r="I89" t="s">
        <v>1635</v>
      </c>
      <c r="J89">
        <v>4216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455</v>
      </c>
      <c r="D90" s="12">
        <v>107112422101</v>
      </c>
      <c r="E90">
        <v>2665</v>
      </c>
      <c r="F90">
        <f>IFERROR(VLOOKUP(C90,回款计划!B:E,4,0),0)</f>
        <v>96000</v>
      </c>
      <c r="G90">
        <f>IFERROR(VLOOKUP(C90,回款计划!B:E,5,0),0)</f>
        <v>0</v>
      </c>
      <c r="H90">
        <f>IFERROR(VLOOKUP(C90,回款计划!B:E,6,0),0)</f>
        <v>0</v>
      </c>
      <c r="I90" t="s">
        <v>1635</v>
      </c>
      <c r="J90">
        <v>2665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354</v>
      </c>
      <c r="D91" s="12">
        <v>107112103736</v>
      </c>
      <c r="E91">
        <v>3976</v>
      </c>
      <c r="F91">
        <f>IFERROR(VLOOKUP(C91,回款计划!B:E,4,0),0)</f>
        <v>117000</v>
      </c>
      <c r="G91">
        <f>IFERROR(VLOOKUP(C91,回款计划!B:E,5,0),0)</f>
        <v>0</v>
      </c>
      <c r="H91">
        <f>IFERROR(VLOOKUP(C91,回款计划!B:E,6,0),0)</f>
        <v>0</v>
      </c>
      <c r="I91" t="s">
        <v>1635</v>
      </c>
      <c r="J91">
        <v>3976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630</v>
      </c>
      <c r="D92" s="12">
        <v>107112701286</v>
      </c>
      <c r="E92">
        <v>3772</v>
      </c>
      <c r="F92">
        <f>IFERROR(VLOOKUP(C92,回款计划!B:E,4,0),0)</f>
        <v>107350</v>
      </c>
      <c r="G92">
        <f>IFERROR(VLOOKUP(C92,回款计划!B:E,5,0),0)</f>
        <v>0</v>
      </c>
      <c r="H92">
        <f>IFERROR(VLOOKUP(C92,回款计划!B:E,6,0),0)</f>
        <v>0</v>
      </c>
      <c r="I92" t="s">
        <v>1635</v>
      </c>
      <c r="J92">
        <v>3772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221</v>
      </c>
      <c r="D93" s="12">
        <v>101130331302</v>
      </c>
      <c r="E93">
        <v>2420</v>
      </c>
      <c r="F93">
        <f>IFERROR(VLOOKUP(C93,回款计划!B:E,4,0),0)</f>
        <v>73000</v>
      </c>
      <c r="G93">
        <f>IFERROR(VLOOKUP(C93,回款计划!B:E,5,0),0)</f>
        <v>0</v>
      </c>
      <c r="H93">
        <f>IFERROR(VLOOKUP(C93,回款计划!B:E,6,0),0)</f>
        <v>0</v>
      </c>
      <c r="I93" t="s">
        <v>1635</v>
      </c>
      <c r="J93">
        <v>2420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16</v>
      </c>
      <c r="D94" s="12">
        <v>101127075900</v>
      </c>
      <c r="E94">
        <v>4400</v>
      </c>
      <c r="F94">
        <f>IFERROR(VLOOKUP(C94,回款计划!B:E,4,0),0)</f>
        <v>97419</v>
      </c>
      <c r="G94">
        <f>IFERROR(VLOOKUP(C94,回款计划!B:E,5,0),0)</f>
        <v>0</v>
      </c>
      <c r="H94">
        <f>IFERROR(VLOOKUP(C94,回款计划!B:E,6,0),0)</f>
        <v>0</v>
      </c>
      <c r="I94" t="s">
        <v>1635</v>
      </c>
      <c r="J94">
        <v>4400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63</v>
      </c>
      <c r="D95" s="12">
        <v>101129088736</v>
      </c>
      <c r="E95">
        <v>4200</v>
      </c>
      <c r="F95">
        <f>IFERROR(VLOOKUP(C95,回款计划!B:E,4,0),0)</f>
        <v>76400</v>
      </c>
      <c r="G95">
        <f>IFERROR(VLOOKUP(C95,回款计划!B:E,5,0),0)</f>
        <v>0</v>
      </c>
      <c r="H95">
        <f>IFERROR(VLOOKUP(C95,回款计划!B:E,6,0),0)</f>
        <v>0</v>
      </c>
      <c r="I95" t="s">
        <v>1635</v>
      </c>
      <c r="J95">
        <v>4200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147</v>
      </c>
      <c r="D96" s="12">
        <v>101129694480</v>
      </c>
      <c r="E96">
        <v>2752</v>
      </c>
      <c r="F96">
        <f>IFERROR(VLOOKUP(C96,回款计划!B:E,4,0),0)</f>
        <v>81225</v>
      </c>
      <c r="G96">
        <f>IFERROR(VLOOKUP(C96,回款计划!B:E,5,0),0)</f>
        <v>0</v>
      </c>
      <c r="H96">
        <f>IFERROR(VLOOKUP(C96,回款计划!B:E,6,0),0)</f>
        <v>0</v>
      </c>
      <c r="I96" t="s">
        <v>1635</v>
      </c>
      <c r="J96">
        <v>2752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240</v>
      </c>
      <c r="D97" s="12">
        <v>101130479024</v>
      </c>
      <c r="E97">
        <v>3080</v>
      </c>
      <c r="F97">
        <f>IFERROR(VLOOKUP(C97,回款计划!B:E,4,0),0)</f>
        <v>100000</v>
      </c>
      <c r="G97">
        <f>IFERROR(VLOOKUP(C97,回款计划!B:E,5,0),0)</f>
        <v>0</v>
      </c>
      <c r="H97">
        <f>IFERROR(VLOOKUP(C97,回款计划!B:E,6,0),0)</f>
        <v>0</v>
      </c>
      <c r="I97" t="s">
        <v>1635</v>
      </c>
      <c r="J97">
        <v>3080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679</v>
      </c>
      <c r="D98" s="12">
        <v>107112792457</v>
      </c>
      <c r="E98">
        <v>2759</v>
      </c>
      <c r="F98">
        <f>IFERROR(VLOOKUP(C98,回款计划!B:E,4,0),0)</f>
        <v>80999</v>
      </c>
      <c r="G98">
        <f>IFERROR(VLOOKUP(C98,回款计划!B:E,5,0),0)</f>
        <v>0</v>
      </c>
      <c r="H98">
        <f>IFERROR(VLOOKUP(C98,回款计划!B:E,6,0),0)</f>
        <v>0</v>
      </c>
      <c r="I98" t="s">
        <v>1635</v>
      </c>
      <c r="J98">
        <v>2759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326</v>
      </c>
      <c r="D99" s="12">
        <v>107111820785</v>
      </c>
      <c r="E99">
        <v>4026</v>
      </c>
      <c r="F99">
        <f>IFERROR(VLOOKUP(C99,回款计划!B:E,4,0),0)</f>
        <v>122717</v>
      </c>
      <c r="G99">
        <f>IFERROR(VLOOKUP(C99,回款计划!B:E,5,0),0)</f>
        <v>0</v>
      </c>
      <c r="H99">
        <f>IFERROR(VLOOKUP(C99,回款计划!B:E,6,0),0)</f>
        <v>0</v>
      </c>
      <c r="I99" t="s">
        <v>1635</v>
      </c>
      <c r="J99">
        <v>4026</v>
      </c>
      <c r="K99" t="s">
        <v>1635</v>
      </c>
      <c r="L99">
        <v>0</v>
      </c>
    </row>
    <row r="100" spans="1:12">
      <c r="A100">
        <v>1</v>
      </c>
      <c r="B100" t="s">
        <v>15</v>
      </c>
      <c r="C100" t="s">
        <v>447</v>
      </c>
      <c r="D100" s="12">
        <v>107112391867</v>
      </c>
      <c r="E100">
        <v>2385</v>
      </c>
      <c r="F100">
        <f>IFERROR(VLOOKUP(C100,回款计划!B:E,4,0),0)</f>
        <v>71000</v>
      </c>
      <c r="G100">
        <f>IFERROR(VLOOKUP(C100,回款计划!B:E,5,0),0)</f>
        <v>0</v>
      </c>
      <c r="H100">
        <f>IFERROR(VLOOKUP(C100,回款计划!B:E,6,0),0)</f>
        <v>0</v>
      </c>
      <c r="I100" t="s">
        <v>1635</v>
      </c>
      <c r="J100">
        <v>2385</v>
      </c>
      <c r="K100" t="s">
        <v>1635</v>
      </c>
      <c r="L100">
        <v>0</v>
      </c>
    </row>
    <row r="101" spans="1:12">
      <c r="A101">
        <v>1</v>
      </c>
      <c r="B101" t="s">
        <v>15</v>
      </c>
      <c r="C101" t="s">
        <v>340</v>
      </c>
      <c r="D101" s="12">
        <v>107112028534</v>
      </c>
      <c r="E101">
        <v>3835</v>
      </c>
      <c r="F101">
        <f>IFERROR(VLOOKUP(C101,回款计划!B:E,4,0),0)</f>
        <v>118000</v>
      </c>
      <c r="G101">
        <f>IFERROR(VLOOKUP(C101,回款计划!B:E,5,0),0)</f>
        <v>0</v>
      </c>
      <c r="H101">
        <f>IFERROR(VLOOKUP(C101,回款计划!B:E,6,0),0)</f>
        <v>0</v>
      </c>
      <c r="I101" t="s">
        <v>1635</v>
      </c>
      <c r="J101">
        <v>3835</v>
      </c>
      <c r="K101" t="s">
        <v>1635</v>
      </c>
      <c r="L101">
        <v>0</v>
      </c>
    </row>
    <row r="102" spans="1:12">
      <c r="A102">
        <v>1</v>
      </c>
      <c r="B102" t="s">
        <v>15</v>
      </c>
      <c r="C102" t="s">
        <v>159</v>
      </c>
      <c r="D102" s="12">
        <v>101129877193</v>
      </c>
      <c r="E102">
        <v>5428</v>
      </c>
      <c r="F102">
        <f>IFERROR(VLOOKUP(C102,回款计划!B:E,4,0),0)</f>
        <v>100000</v>
      </c>
      <c r="G102">
        <f>IFERROR(VLOOKUP(C102,回款计划!B:E,5,0),0)</f>
        <v>0</v>
      </c>
      <c r="H102">
        <f>IFERROR(VLOOKUP(C102,回款计划!B:E,6,0),0)</f>
        <v>0</v>
      </c>
      <c r="I102" t="s">
        <v>1635</v>
      </c>
      <c r="J102">
        <v>5428</v>
      </c>
      <c r="K102" t="s">
        <v>1635</v>
      </c>
      <c r="L102">
        <v>0</v>
      </c>
    </row>
    <row r="103" spans="1:12">
      <c r="A103">
        <v>1</v>
      </c>
      <c r="B103" t="s">
        <v>15</v>
      </c>
      <c r="C103" t="s">
        <v>763</v>
      </c>
      <c r="D103" s="12">
        <v>107112967766</v>
      </c>
      <c r="E103">
        <v>3402</v>
      </c>
      <c r="F103">
        <f>IFERROR(VLOOKUP(C103,回款计划!B:E,4,0),0)</f>
        <v>103000</v>
      </c>
      <c r="G103">
        <f>IFERROR(VLOOKUP(C103,回款计划!B:E,5,0),0)</f>
        <v>0</v>
      </c>
      <c r="H103">
        <f>IFERROR(VLOOKUP(C103,回款计划!B:E,6,0),0)</f>
        <v>0</v>
      </c>
      <c r="I103" t="s">
        <v>1635</v>
      </c>
      <c r="J103">
        <v>3402</v>
      </c>
      <c r="K103" t="s">
        <v>1635</v>
      </c>
      <c r="L103">
        <v>0</v>
      </c>
    </row>
    <row r="104" spans="1:12">
      <c r="A104">
        <v>1</v>
      </c>
      <c r="B104" t="s">
        <v>15</v>
      </c>
      <c r="C104" t="s">
        <v>32</v>
      </c>
      <c r="D104" s="12">
        <v>101128141006</v>
      </c>
      <c r="E104">
        <v>9263</v>
      </c>
      <c r="F104">
        <f>IFERROR(VLOOKUP(C104,回款计划!B:E,4,0),0)</f>
        <v>164000</v>
      </c>
      <c r="G104">
        <f>IFERROR(VLOOKUP(C104,回款计划!B:E,5,0),0)</f>
        <v>0</v>
      </c>
      <c r="H104">
        <f>IFERROR(VLOOKUP(C104,回款计划!B:E,6,0),0)</f>
        <v>0</v>
      </c>
      <c r="I104" t="s">
        <v>1635</v>
      </c>
      <c r="J104">
        <v>9263</v>
      </c>
      <c r="K104" t="s">
        <v>1635</v>
      </c>
      <c r="L104">
        <v>0</v>
      </c>
    </row>
    <row r="105" spans="1:12">
      <c r="A105">
        <v>1</v>
      </c>
      <c r="B105" t="s">
        <v>15</v>
      </c>
      <c r="C105" t="s">
        <v>290</v>
      </c>
      <c r="D105" s="12">
        <v>101130951610</v>
      </c>
      <c r="E105">
        <v>2520</v>
      </c>
      <c r="F105">
        <f>IFERROR(VLOOKUP(C105,回款计划!B:E,4,0),0)</f>
        <v>79600</v>
      </c>
      <c r="G105">
        <f>IFERROR(VLOOKUP(C105,回款计划!B:E,5,0),0)</f>
        <v>0</v>
      </c>
      <c r="H105">
        <f>IFERROR(VLOOKUP(C105,回款计划!B:E,6,0),0)</f>
        <v>0</v>
      </c>
      <c r="I105" t="s">
        <v>1635</v>
      </c>
      <c r="J105">
        <v>2520</v>
      </c>
      <c r="K105" t="s">
        <v>1635</v>
      </c>
      <c r="L105">
        <v>0</v>
      </c>
    </row>
    <row r="106" spans="1:12">
      <c r="A106">
        <v>1</v>
      </c>
      <c r="B106" t="s">
        <v>15</v>
      </c>
      <c r="C106" t="s">
        <v>675</v>
      </c>
      <c r="D106" s="12">
        <v>107112784537</v>
      </c>
      <c r="E106">
        <v>2037</v>
      </c>
      <c r="F106">
        <f>IFERROR(VLOOKUP(C106,回款计划!B:E,4,0),0)</f>
        <v>36749</v>
      </c>
      <c r="G106">
        <f>IFERROR(VLOOKUP(C106,回款计划!B:E,5,0),0)</f>
        <v>0</v>
      </c>
      <c r="H106">
        <f>IFERROR(VLOOKUP(C106,回款计划!B:E,6,0),0)</f>
        <v>0</v>
      </c>
      <c r="I106" t="s">
        <v>1635</v>
      </c>
      <c r="J106">
        <v>2037</v>
      </c>
      <c r="K106" t="s">
        <v>1635</v>
      </c>
      <c r="L106">
        <v>0</v>
      </c>
    </row>
    <row r="107" spans="1:12">
      <c r="A107">
        <v>1</v>
      </c>
      <c r="B107" t="s">
        <v>15</v>
      </c>
      <c r="C107" t="s">
        <v>252</v>
      </c>
      <c r="D107" s="12">
        <v>101130614595</v>
      </c>
      <c r="E107">
        <v>2409</v>
      </c>
      <c r="F107">
        <f>IFERROR(VLOOKUP(C107,回款计划!B:E,4,0),0)</f>
        <v>74625</v>
      </c>
      <c r="G107">
        <f>IFERROR(VLOOKUP(C107,回款计划!B:E,5,0),0)</f>
        <v>0</v>
      </c>
      <c r="H107">
        <f>IFERROR(VLOOKUP(C107,回款计划!B:E,6,0),0)</f>
        <v>0</v>
      </c>
      <c r="I107" t="s">
        <v>1635</v>
      </c>
      <c r="J107">
        <v>2409</v>
      </c>
      <c r="K107" t="s">
        <v>1635</v>
      </c>
      <c r="L107">
        <v>0</v>
      </c>
    </row>
    <row r="108" spans="1:12">
      <c r="A108">
        <v>1</v>
      </c>
      <c r="B108" t="s">
        <v>15</v>
      </c>
      <c r="C108" t="s">
        <v>57</v>
      </c>
      <c r="D108" s="12">
        <v>101128689163</v>
      </c>
      <c r="E108">
        <v>5400</v>
      </c>
      <c r="F108">
        <f>IFERROR(VLOOKUP(C108,回款计划!B:E,4,0),0)</f>
        <v>160000</v>
      </c>
      <c r="G108">
        <f>IFERROR(VLOOKUP(C108,回款计划!B:E,5,0),0)</f>
        <v>0</v>
      </c>
      <c r="H108">
        <f>IFERROR(VLOOKUP(C108,回款计划!B:E,6,0),0)</f>
        <v>0</v>
      </c>
      <c r="I108" t="s">
        <v>1635</v>
      </c>
      <c r="J108">
        <v>5400</v>
      </c>
      <c r="K108" t="s">
        <v>1635</v>
      </c>
      <c r="L108">
        <v>0</v>
      </c>
    </row>
    <row r="109" spans="1:12">
      <c r="A109">
        <v>1</v>
      </c>
      <c r="B109" t="s">
        <v>15</v>
      </c>
      <c r="C109" t="s">
        <v>755</v>
      </c>
      <c r="D109" s="12">
        <v>107112934799</v>
      </c>
      <c r="E109">
        <v>1002</v>
      </c>
      <c r="F109">
        <f>IFERROR(VLOOKUP(C109,回款计划!B:E,4,0),0)</f>
        <v>129820</v>
      </c>
      <c r="G109">
        <f>IFERROR(VLOOKUP(C109,回款计划!B:E,5,0),0)</f>
        <v>0</v>
      </c>
      <c r="H109">
        <f>IFERROR(VLOOKUP(C109,回款计划!B:E,6,0),0)</f>
        <v>0</v>
      </c>
      <c r="I109" t="s">
        <v>1635</v>
      </c>
      <c r="J109">
        <v>1002</v>
      </c>
      <c r="K109" t="s">
        <v>1635</v>
      </c>
      <c r="L109">
        <v>0</v>
      </c>
    </row>
    <row r="110" spans="1:12">
      <c r="A110">
        <v>1</v>
      </c>
      <c r="B110" t="s">
        <v>15</v>
      </c>
      <c r="C110" t="s">
        <v>622</v>
      </c>
      <c r="D110" s="12">
        <v>107112697786</v>
      </c>
      <c r="E110">
        <v>2784</v>
      </c>
      <c r="F110">
        <f>IFERROR(VLOOKUP(C110,回款计划!B:E,4,0),0)</f>
        <v>89000</v>
      </c>
      <c r="G110">
        <f>IFERROR(VLOOKUP(C110,回款计划!B:E,5,0),0)</f>
        <v>0</v>
      </c>
      <c r="H110">
        <f>IFERROR(VLOOKUP(C110,回款计划!B:E,6,0),0)</f>
        <v>0</v>
      </c>
      <c r="I110" t="s">
        <v>1635</v>
      </c>
      <c r="J110">
        <v>2784</v>
      </c>
      <c r="K110" t="s">
        <v>1635</v>
      </c>
      <c r="L110">
        <v>0</v>
      </c>
    </row>
    <row r="111" spans="1:12">
      <c r="A111">
        <v>1</v>
      </c>
      <c r="B111" t="s">
        <v>15</v>
      </c>
      <c r="C111" t="s">
        <v>149</v>
      </c>
      <c r="D111" s="12">
        <v>101129727695</v>
      </c>
      <c r="E111">
        <v>3445</v>
      </c>
      <c r="F111">
        <f>IFERROR(VLOOKUP(C111,回款计划!B:E,4,0),0)</f>
        <v>104637</v>
      </c>
      <c r="G111">
        <f>IFERROR(VLOOKUP(C111,回款计划!B:E,5,0),0)</f>
        <v>0</v>
      </c>
      <c r="H111">
        <f>IFERROR(VLOOKUP(C111,回款计划!B:E,6,0),0)</f>
        <v>0</v>
      </c>
      <c r="I111" t="s">
        <v>1635</v>
      </c>
      <c r="J111">
        <v>3445</v>
      </c>
      <c r="K111" t="s">
        <v>1635</v>
      </c>
      <c r="L111">
        <v>0</v>
      </c>
    </row>
    <row r="112" spans="1:12">
      <c r="A112">
        <v>1</v>
      </c>
      <c r="B112" t="s">
        <v>15</v>
      </c>
      <c r="C112" t="s">
        <v>40</v>
      </c>
      <c r="D112" s="12">
        <v>101128209033</v>
      </c>
      <c r="E112">
        <v>1840</v>
      </c>
      <c r="F112">
        <f>IFERROR(VLOOKUP(C112,回款计划!B:E,4,0),0)</f>
        <v>55000</v>
      </c>
      <c r="G112">
        <f>IFERROR(VLOOKUP(C112,回款计划!B:E,5,0),0)</f>
        <v>0</v>
      </c>
      <c r="H112">
        <f>IFERROR(VLOOKUP(C112,回款计划!B:E,6,0),0)</f>
        <v>0</v>
      </c>
      <c r="I112" t="s">
        <v>1635</v>
      </c>
      <c r="J112">
        <v>1840</v>
      </c>
      <c r="K112" t="s">
        <v>1635</v>
      </c>
      <c r="L112">
        <v>0</v>
      </c>
    </row>
    <row r="113" spans="1:12">
      <c r="A113">
        <v>1</v>
      </c>
      <c r="B113" t="s">
        <v>15</v>
      </c>
      <c r="C113" t="s">
        <v>324</v>
      </c>
      <c r="D113" s="12">
        <v>107111811184</v>
      </c>
      <c r="E113">
        <v>2250</v>
      </c>
      <c r="F113">
        <f>IFERROR(VLOOKUP(C113,回款计划!B:E,4,0),0)</f>
        <v>69260</v>
      </c>
      <c r="G113">
        <f>IFERROR(VLOOKUP(C113,回款计划!B:E,5,0),0)</f>
        <v>0</v>
      </c>
      <c r="H113">
        <f>IFERROR(VLOOKUP(C113,回款计划!B:E,6,0),0)</f>
        <v>0</v>
      </c>
      <c r="I113" t="s">
        <v>1635</v>
      </c>
      <c r="J113">
        <v>2250</v>
      </c>
      <c r="K113" t="s">
        <v>1635</v>
      </c>
      <c r="L113">
        <v>0</v>
      </c>
    </row>
    <row r="114" spans="1:12">
      <c r="A114">
        <v>1</v>
      </c>
      <c r="B114" t="s">
        <v>15</v>
      </c>
      <c r="C114" t="s">
        <v>223</v>
      </c>
      <c r="D114" s="12">
        <v>101130375783</v>
      </c>
      <c r="E114">
        <v>2800</v>
      </c>
      <c r="F114">
        <f>IFERROR(VLOOKUP(C114,回款计划!B:E,4,0),0)</f>
        <v>83560</v>
      </c>
      <c r="G114">
        <f>IFERROR(VLOOKUP(C114,回款计划!B:E,5,0),0)</f>
        <v>0</v>
      </c>
      <c r="H114">
        <f>IFERROR(VLOOKUP(C114,回款计划!B:E,6,0),0)</f>
        <v>0</v>
      </c>
      <c r="I114" t="s">
        <v>1635</v>
      </c>
      <c r="J114">
        <v>2800</v>
      </c>
      <c r="K114" t="s">
        <v>1635</v>
      </c>
      <c r="L114">
        <v>0</v>
      </c>
    </row>
    <row r="115" spans="1:12">
      <c r="A115">
        <v>1</v>
      </c>
      <c r="B115" t="s">
        <v>15</v>
      </c>
      <c r="C115" t="s">
        <v>121</v>
      </c>
      <c r="D115" s="12">
        <v>101129543144</v>
      </c>
      <c r="E115">
        <v>3995</v>
      </c>
      <c r="F115">
        <f>IFERROR(VLOOKUP(C115,回款计划!B:E,4,0),0)</f>
        <v>73818</v>
      </c>
      <c r="G115">
        <f>IFERROR(VLOOKUP(C115,回款计划!B:E,5,0),0)</f>
        <v>0</v>
      </c>
      <c r="H115">
        <f>IFERROR(VLOOKUP(C115,回款计划!B:E,6,0),0)</f>
        <v>0</v>
      </c>
      <c r="I115" t="s">
        <v>1635</v>
      </c>
      <c r="J115">
        <v>3995</v>
      </c>
      <c r="K115" t="s">
        <v>1635</v>
      </c>
      <c r="L115">
        <v>0</v>
      </c>
    </row>
    <row r="116" spans="1:12">
      <c r="A116">
        <v>1</v>
      </c>
      <c r="B116" t="s">
        <v>15</v>
      </c>
      <c r="C116" t="s">
        <v>810</v>
      </c>
      <c r="D116" s="12">
        <v>107113072594</v>
      </c>
      <c r="E116">
        <v>4503</v>
      </c>
      <c r="F116">
        <f>IFERROR(VLOOKUP(C116,回款计划!B:E,4,0),0)</f>
        <v>128888</v>
      </c>
      <c r="G116">
        <f>IFERROR(VLOOKUP(C116,回款计划!B:E,5,0),0)</f>
        <v>0</v>
      </c>
      <c r="H116">
        <f>IFERROR(VLOOKUP(C116,回款计划!B:E,6,0),0)</f>
        <v>0</v>
      </c>
      <c r="I116" t="s">
        <v>1635</v>
      </c>
      <c r="J116">
        <v>4503</v>
      </c>
      <c r="K116" t="s">
        <v>1635</v>
      </c>
      <c r="L116">
        <v>0</v>
      </c>
    </row>
    <row r="117" spans="1:12">
      <c r="A117">
        <v>1</v>
      </c>
      <c r="B117" t="s">
        <v>15</v>
      </c>
      <c r="C117" t="s">
        <v>294</v>
      </c>
      <c r="D117" s="12">
        <v>101131013018</v>
      </c>
      <c r="E117">
        <v>4824</v>
      </c>
      <c r="F117">
        <f>IFERROR(VLOOKUP(C117,回款计划!B:E,4,0),0)</f>
        <v>89000</v>
      </c>
      <c r="G117">
        <f>IFERROR(VLOOKUP(C117,回款计划!B:E,5,0),0)</f>
        <v>0</v>
      </c>
      <c r="H117">
        <f>IFERROR(VLOOKUP(C117,回款计划!B:E,6,0),0)</f>
        <v>0</v>
      </c>
      <c r="I117" t="s">
        <v>1635</v>
      </c>
      <c r="J117">
        <v>4824</v>
      </c>
      <c r="K117" t="s">
        <v>1635</v>
      </c>
      <c r="L117">
        <v>0</v>
      </c>
    </row>
    <row r="118" spans="1:12">
      <c r="A118">
        <v>1</v>
      </c>
      <c r="B118" t="s">
        <v>15</v>
      </c>
      <c r="C118" t="s">
        <v>117</v>
      </c>
      <c r="D118" s="12">
        <v>101129508743</v>
      </c>
      <c r="E118">
        <v>2520</v>
      </c>
      <c r="F118">
        <f>IFERROR(VLOOKUP(C118,回款计划!B:E,4,0),0)</f>
        <v>73000</v>
      </c>
      <c r="G118">
        <f>IFERROR(VLOOKUP(C118,回款计划!B:E,5,0),0)</f>
        <v>0</v>
      </c>
      <c r="H118">
        <f>IFERROR(VLOOKUP(C118,回款计划!B:E,6,0),0)</f>
        <v>0</v>
      </c>
      <c r="I118" t="s">
        <v>1635</v>
      </c>
      <c r="J118">
        <v>2520</v>
      </c>
      <c r="K118" t="s">
        <v>1635</v>
      </c>
      <c r="L118">
        <v>0</v>
      </c>
    </row>
    <row r="119" spans="1:12">
      <c r="A119">
        <v>1</v>
      </c>
      <c r="B119" t="s">
        <v>15</v>
      </c>
      <c r="C119" t="s">
        <v>91</v>
      </c>
      <c r="D119" s="12">
        <v>101129348286</v>
      </c>
      <c r="E119">
        <v>2475</v>
      </c>
      <c r="F119">
        <f>IFERROR(VLOOKUP(C119,回款计划!B:E,4,0),0)</f>
        <v>73000</v>
      </c>
      <c r="G119">
        <f>IFERROR(VLOOKUP(C119,回款计划!B:E,5,0),0)</f>
        <v>0</v>
      </c>
      <c r="H119">
        <f>IFERROR(VLOOKUP(C119,回款计划!B:E,6,0),0)</f>
        <v>0</v>
      </c>
      <c r="I119" t="s">
        <v>1635</v>
      </c>
      <c r="J119">
        <v>2475</v>
      </c>
      <c r="K119" t="s">
        <v>1635</v>
      </c>
      <c r="L119">
        <v>0</v>
      </c>
    </row>
    <row r="120" spans="1:12">
      <c r="A120">
        <v>1</v>
      </c>
      <c r="B120" t="s">
        <v>15</v>
      </c>
      <c r="C120" t="s">
        <v>702</v>
      </c>
      <c r="D120" s="12">
        <v>107112841182</v>
      </c>
      <c r="E120">
        <v>3486</v>
      </c>
      <c r="F120">
        <f>IFERROR(VLOOKUP(C120,回款计划!B:E,4,0),0)</f>
        <v>98800</v>
      </c>
      <c r="G120">
        <f>IFERROR(VLOOKUP(C120,回款计划!B:E,5,0),0)</f>
        <v>0</v>
      </c>
      <c r="H120">
        <f>IFERROR(VLOOKUP(C120,回款计划!B:E,6,0),0)</f>
        <v>0</v>
      </c>
      <c r="I120" t="s">
        <v>1635</v>
      </c>
      <c r="J120">
        <v>3486</v>
      </c>
      <c r="K120" t="s">
        <v>1635</v>
      </c>
      <c r="L120">
        <v>0</v>
      </c>
    </row>
    <row r="121" spans="1:12">
      <c r="A121">
        <v>1</v>
      </c>
      <c r="B121" t="s">
        <v>15</v>
      </c>
      <c r="C121" t="s">
        <v>248</v>
      </c>
      <c r="D121" s="12">
        <v>101130590769</v>
      </c>
      <c r="E121">
        <v>2940</v>
      </c>
      <c r="F121">
        <f>IFERROR(VLOOKUP(C121,回款计划!B:E,4,0),0)</f>
        <v>77000</v>
      </c>
      <c r="G121">
        <f>IFERROR(VLOOKUP(C121,回款计划!B:E,5,0),0)</f>
        <v>0</v>
      </c>
      <c r="H121">
        <f>IFERROR(VLOOKUP(C121,回款计划!B:E,6,0),0)</f>
        <v>0</v>
      </c>
      <c r="I121" t="s">
        <v>1635</v>
      </c>
      <c r="J121">
        <v>2940</v>
      </c>
      <c r="K121" t="s">
        <v>1635</v>
      </c>
      <c r="L121">
        <v>0</v>
      </c>
    </row>
    <row r="122" spans="1:12">
      <c r="A122">
        <v>1</v>
      </c>
      <c r="B122" t="s">
        <v>15</v>
      </c>
      <c r="C122" t="s">
        <v>773</v>
      </c>
      <c r="D122" s="12">
        <v>107112989677</v>
      </c>
      <c r="E122">
        <v>1290</v>
      </c>
      <c r="F122">
        <f>IFERROR(VLOOKUP(C122,回款计划!B:E,4,0),0)</f>
        <v>22711</v>
      </c>
      <c r="G122">
        <f>IFERROR(VLOOKUP(C122,回款计划!B:E,5,0),0)</f>
        <v>0</v>
      </c>
      <c r="H122">
        <f>IFERROR(VLOOKUP(C122,回款计划!B:E,6,0),0)</f>
        <v>0</v>
      </c>
      <c r="I122" t="s">
        <v>1635</v>
      </c>
      <c r="J122">
        <v>1290</v>
      </c>
      <c r="K122" t="s">
        <v>1635</v>
      </c>
      <c r="L122">
        <v>0</v>
      </c>
    </row>
    <row r="123" spans="1:12">
      <c r="A123">
        <v>1</v>
      </c>
      <c r="B123" t="s">
        <v>15</v>
      </c>
      <c r="C123" t="s">
        <v>786</v>
      </c>
      <c r="D123" s="12">
        <v>107113013330</v>
      </c>
      <c r="E123">
        <v>2790</v>
      </c>
      <c r="F123">
        <f>IFERROR(VLOOKUP(C123,回款计划!B:E,4,0),0)</f>
        <v>85000</v>
      </c>
      <c r="G123">
        <f>IFERROR(VLOOKUP(C123,回款计划!B:E,5,0),0)</f>
        <v>0</v>
      </c>
      <c r="H123">
        <f>IFERROR(VLOOKUP(C123,回款计划!B:E,6,0),0)</f>
        <v>0</v>
      </c>
      <c r="I123" t="s">
        <v>1635</v>
      </c>
      <c r="J123">
        <v>2790</v>
      </c>
      <c r="K123" t="s">
        <v>1635</v>
      </c>
      <c r="L123">
        <v>0</v>
      </c>
    </row>
    <row r="124" spans="1:12">
      <c r="A124">
        <v>1</v>
      </c>
      <c r="B124" t="s">
        <v>15</v>
      </c>
      <c r="C124" t="s">
        <v>310</v>
      </c>
      <c r="D124" s="12">
        <v>107106888322</v>
      </c>
      <c r="E124">
        <v>2754</v>
      </c>
      <c r="F124">
        <f>IFERROR(VLOOKUP(C124,回款计划!B:E,4,0),0)</f>
        <v>98000</v>
      </c>
      <c r="G124">
        <f>IFERROR(VLOOKUP(C124,回款计划!B:E,5,0),0)</f>
        <v>0</v>
      </c>
      <c r="H124">
        <f>IFERROR(VLOOKUP(C124,回款计划!B:E,6,0),0)</f>
        <v>0</v>
      </c>
      <c r="I124" t="s">
        <v>1635</v>
      </c>
      <c r="J124">
        <v>2754</v>
      </c>
      <c r="K124" t="s">
        <v>1635</v>
      </c>
      <c r="L124">
        <v>0</v>
      </c>
    </row>
    <row r="125" spans="1:12">
      <c r="A125">
        <v>1</v>
      </c>
      <c r="B125" t="s">
        <v>15</v>
      </c>
      <c r="C125" t="s">
        <v>741</v>
      </c>
      <c r="D125" s="12">
        <v>107112908287</v>
      </c>
      <c r="E125">
        <v>2982</v>
      </c>
      <c r="F125">
        <f>IFERROR(VLOOKUP(C125,回款计划!B:E,4,0),0)</f>
        <v>86000</v>
      </c>
      <c r="G125">
        <f>IFERROR(VLOOKUP(C125,回款计划!B:E,5,0),0)</f>
        <v>0</v>
      </c>
      <c r="H125">
        <f>IFERROR(VLOOKUP(C125,回款计划!B:E,6,0),0)</f>
        <v>0</v>
      </c>
      <c r="I125" t="s">
        <v>1635</v>
      </c>
      <c r="J125">
        <v>2982</v>
      </c>
      <c r="K125" t="s">
        <v>1635</v>
      </c>
      <c r="L125">
        <v>0</v>
      </c>
    </row>
    <row r="126" spans="1:12">
      <c r="A126">
        <v>1</v>
      </c>
      <c r="B126" t="s">
        <v>15</v>
      </c>
      <c r="C126" t="s">
        <v>316</v>
      </c>
      <c r="D126" s="12">
        <v>107111539618</v>
      </c>
      <c r="E126">
        <v>1912.5</v>
      </c>
      <c r="F126">
        <f>IFERROR(VLOOKUP(C126,回款计划!B:E,4,0),0)</f>
        <v>77507.5</v>
      </c>
      <c r="G126">
        <f>IFERROR(VLOOKUP(C126,回款计划!B:E,5,0),0)</f>
        <v>0</v>
      </c>
      <c r="H126">
        <f>IFERROR(VLOOKUP(C126,回款计划!B:E,6,0),0)</f>
        <v>0</v>
      </c>
      <c r="I126" t="s">
        <v>1635</v>
      </c>
      <c r="J126">
        <v>1912.5</v>
      </c>
      <c r="K126" t="s">
        <v>1635</v>
      </c>
      <c r="L126">
        <v>0</v>
      </c>
    </row>
    <row r="127" spans="1:12">
      <c r="A127">
        <v>1</v>
      </c>
      <c r="B127" t="s">
        <v>15</v>
      </c>
      <c r="C127" t="s">
        <v>407</v>
      </c>
      <c r="D127" s="12">
        <v>107112305371</v>
      </c>
      <c r="E127">
        <v>3375</v>
      </c>
      <c r="F127">
        <f>IFERROR(VLOOKUP(C127,回款计划!B:E,4,0),0)</f>
        <v>98000</v>
      </c>
      <c r="G127">
        <f>IFERROR(VLOOKUP(C127,回款计划!B:E,5,0),0)</f>
        <v>0</v>
      </c>
      <c r="H127">
        <f>IFERROR(VLOOKUP(C127,回款计划!B:E,6,0),0)</f>
        <v>0</v>
      </c>
      <c r="I127" t="s">
        <v>1635</v>
      </c>
      <c r="J127">
        <v>3375</v>
      </c>
      <c r="K127" t="s">
        <v>1635</v>
      </c>
      <c r="L127">
        <v>0</v>
      </c>
    </row>
    <row r="128" spans="1:12">
      <c r="A128">
        <v>1</v>
      </c>
      <c r="B128" t="s">
        <v>15</v>
      </c>
      <c r="C128" t="s">
        <v>747</v>
      </c>
      <c r="D128" s="12">
        <v>107112917464</v>
      </c>
      <c r="E128">
        <v>2610</v>
      </c>
      <c r="F128">
        <f>IFERROR(VLOOKUP(C128,回款计划!B:E,4,0),0)</f>
        <v>75000</v>
      </c>
      <c r="G128">
        <f>IFERROR(VLOOKUP(C128,回款计划!B:E,5,0),0)</f>
        <v>0</v>
      </c>
      <c r="H128">
        <f>IFERROR(VLOOKUP(C128,回款计划!B:E,6,0),0)</f>
        <v>0</v>
      </c>
      <c r="I128" t="s">
        <v>1635</v>
      </c>
      <c r="J128">
        <v>2610</v>
      </c>
      <c r="K128" t="s">
        <v>1635</v>
      </c>
      <c r="L128">
        <v>0</v>
      </c>
    </row>
    <row r="129" spans="1:12">
      <c r="A129">
        <v>1</v>
      </c>
      <c r="B129" t="s">
        <v>15</v>
      </c>
      <c r="C129" t="s">
        <v>681</v>
      </c>
      <c r="D129" s="12">
        <v>107112798785</v>
      </c>
      <c r="E129">
        <v>2496</v>
      </c>
      <c r="F129">
        <f>IFERROR(VLOOKUP(C129,回款计划!B:E,4,0),0)</f>
        <v>75452</v>
      </c>
      <c r="G129">
        <f>IFERROR(VLOOKUP(C129,回款计划!B:E,5,0),0)</f>
        <v>0</v>
      </c>
      <c r="H129">
        <f>IFERROR(VLOOKUP(C129,回款计划!B:E,6,0),0)</f>
        <v>0</v>
      </c>
      <c r="I129" t="s">
        <v>1635</v>
      </c>
      <c r="J129">
        <v>2496</v>
      </c>
      <c r="K129" t="s">
        <v>1635</v>
      </c>
      <c r="L129">
        <v>0</v>
      </c>
    </row>
    <row r="130" spans="1:12">
      <c r="A130">
        <v>1</v>
      </c>
      <c r="B130" t="s">
        <v>15</v>
      </c>
      <c r="C130" t="s">
        <v>790</v>
      </c>
      <c r="D130" s="12">
        <v>107113015577</v>
      </c>
      <c r="E130">
        <v>2400</v>
      </c>
      <c r="F130">
        <f>IFERROR(VLOOKUP(C130,回款计划!B:E,4,0),0)</f>
        <v>115818</v>
      </c>
      <c r="G130">
        <f>IFERROR(VLOOKUP(C130,回款计划!B:E,5,0),0)</f>
        <v>0</v>
      </c>
      <c r="H130">
        <f>IFERROR(VLOOKUP(C130,回款计划!B:E,6,0),0)</f>
        <v>0</v>
      </c>
      <c r="I130" t="s">
        <v>1635</v>
      </c>
      <c r="J130">
        <v>2400</v>
      </c>
      <c r="K130" t="s">
        <v>1635</v>
      </c>
      <c r="L130">
        <v>0</v>
      </c>
    </row>
    <row r="131" spans="1:12">
      <c r="A131">
        <v>1</v>
      </c>
      <c r="B131" t="s">
        <v>15</v>
      </c>
      <c r="C131" t="s">
        <v>312</v>
      </c>
      <c r="D131" s="12">
        <v>107111390157</v>
      </c>
      <c r="E131">
        <v>1782</v>
      </c>
      <c r="F131">
        <f>IFERROR(VLOOKUP(C131,回款计划!B:E,4,0),0)</f>
        <v>52000</v>
      </c>
      <c r="G131">
        <f>IFERROR(VLOOKUP(C131,回款计划!B:E,5,0),0)</f>
        <v>0</v>
      </c>
      <c r="H131">
        <f>IFERROR(VLOOKUP(C131,回款计划!B:E,6,0),0)</f>
        <v>0</v>
      </c>
      <c r="I131" t="s">
        <v>1635</v>
      </c>
      <c r="J131">
        <v>1782</v>
      </c>
      <c r="K131" t="s">
        <v>1635</v>
      </c>
      <c r="L131">
        <v>0</v>
      </c>
    </row>
    <row r="132" spans="1:12">
      <c r="A132">
        <v>1</v>
      </c>
      <c r="B132" t="s">
        <v>15</v>
      </c>
      <c r="C132" t="s">
        <v>441</v>
      </c>
      <c r="D132" s="12">
        <v>107112379629</v>
      </c>
      <c r="E132">
        <v>2550</v>
      </c>
      <c r="F132">
        <f>IFERROR(VLOOKUP(C132,回款计划!B:E,4,0),0)</f>
        <v>79554</v>
      </c>
      <c r="G132">
        <f>IFERROR(VLOOKUP(C132,回款计划!B:E,5,0),0)</f>
        <v>0</v>
      </c>
      <c r="H132">
        <f>IFERROR(VLOOKUP(C132,回款计划!B:E,6,0),0)</f>
        <v>0</v>
      </c>
      <c r="I132" t="s">
        <v>1635</v>
      </c>
      <c r="J132">
        <v>2550</v>
      </c>
      <c r="K132" t="s">
        <v>1635</v>
      </c>
      <c r="L132">
        <v>0</v>
      </c>
    </row>
    <row r="133" spans="1:12">
      <c r="A133">
        <v>1</v>
      </c>
      <c r="B133" t="s">
        <v>15</v>
      </c>
      <c r="C133" t="s">
        <v>302</v>
      </c>
      <c r="D133" s="12">
        <v>101131216709</v>
      </c>
      <c r="E133">
        <v>2850</v>
      </c>
      <c r="F133">
        <f>IFERROR(VLOOKUP(C133,回款计划!B:E,4,0),0)</f>
        <v>84946</v>
      </c>
      <c r="G133">
        <f>IFERROR(VLOOKUP(C133,回款计划!B:E,5,0),0)</f>
        <v>0</v>
      </c>
      <c r="H133">
        <f>IFERROR(VLOOKUP(C133,回款计划!B:E,6,0),0)</f>
        <v>0</v>
      </c>
      <c r="I133" t="s">
        <v>1635</v>
      </c>
      <c r="J133">
        <v>2850</v>
      </c>
      <c r="K133" t="s">
        <v>1635</v>
      </c>
      <c r="L133">
        <v>0</v>
      </c>
    </row>
    <row r="134" spans="1:12">
      <c r="A134">
        <v>1</v>
      </c>
      <c r="B134" t="s">
        <v>15</v>
      </c>
      <c r="C134" t="s">
        <v>278</v>
      </c>
      <c r="D134" s="12">
        <v>101130876309</v>
      </c>
      <c r="E134">
        <v>4608</v>
      </c>
      <c r="F134">
        <f>IFERROR(VLOOKUP(C134,回款计划!B:E,4,0),0)</f>
        <v>84625</v>
      </c>
      <c r="G134">
        <f>IFERROR(VLOOKUP(C134,回款计划!B:E,5,0),0)</f>
        <v>0</v>
      </c>
      <c r="H134">
        <f>IFERROR(VLOOKUP(C134,回款计划!B:E,6,0),0)</f>
        <v>0</v>
      </c>
      <c r="I134" t="s">
        <v>1635</v>
      </c>
      <c r="J134">
        <v>4608</v>
      </c>
      <c r="K134" t="s">
        <v>1635</v>
      </c>
      <c r="L134">
        <v>0</v>
      </c>
    </row>
    <row r="135" spans="1:12">
      <c r="A135">
        <v>1</v>
      </c>
      <c r="B135" t="s">
        <v>15</v>
      </c>
      <c r="C135" t="s">
        <v>20</v>
      </c>
      <c r="D135" s="12">
        <v>101127339909</v>
      </c>
      <c r="E135">
        <v>3360</v>
      </c>
      <c r="F135">
        <f>IFERROR(VLOOKUP(C135,回款计划!B:E,4,0),0)</f>
        <v>94060</v>
      </c>
      <c r="G135">
        <f>IFERROR(VLOOKUP(C135,回款计划!B:E,5,0),0)</f>
        <v>0</v>
      </c>
      <c r="H135">
        <f>IFERROR(VLOOKUP(C135,回款计划!B:E,6,0),0)</f>
        <v>0</v>
      </c>
      <c r="I135" t="s">
        <v>1635</v>
      </c>
      <c r="J135">
        <v>3360</v>
      </c>
      <c r="K135" t="s">
        <v>1635</v>
      </c>
      <c r="L135">
        <v>0</v>
      </c>
    </row>
    <row r="136" spans="1:12">
      <c r="A136">
        <v>1</v>
      </c>
      <c r="B136" t="s">
        <v>15</v>
      </c>
      <c r="C136" t="s">
        <v>449</v>
      </c>
      <c r="D136" s="12">
        <v>107112392532</v>
      </c>
      <c r="E136">
        <v>1920</v>
      </c>
      <c r="F136">
        <f>IFERROR(VLOOKUP(C136,回款计划!B:E,4,0),0)</f>
        <v>69900</v>
      </c>
      <c r="G136">
        <f>IFERROR(VLOOKUP(C136,回款计划!B:E,5,0),0)</f>
        <v>0</v>
      </c>
      <c r="H136">
        <f>IFERROR(VLOOKUP(C136,回款计划!B:E,6,0),0)</f>
        <v>0</v>
      </c>
      <c r="I136" t="s">
        <v>1635</v>
      </c>
      <c r="J136">
        <v>1920</v>
      </c>
      <c r="K136" t="s">
        <v>1635</v>
      </c>
      <c r="L136">
        <v>0</v>
      </c>
    </row>
    <row r="137" spans="1:12">
      <c r="A137">
        <v>1</v>
      </c>
      <c r="B137" t="s">
        <v>15</v>
      </c>
      <c r="C137" t="s">
        <v>338</v>
      </c>
      <c r="D137" s="12">
        <v>107111993609</v>
      </c>
      <c r="E137">
        <v>3060</v>
      </c>
      <c r="F137">
        <f>IFERROR(VLOOKUP(C137,回款计划!B:E,4,0),0)</f>
        <v>92000</v>
      </c>
      <c r="G137">
        <f>IFERROR(VLOOKUP(C137,回款计划!B:E,5,0),0)</f>
        <v>0</v>
      </c>
      <c r="H137">
        <f>IFERROR(VLOOKUP(C137,回款计划!B:E,6,0),0)</f>
        <v>0</v>
      </c>
      <c r="I137" t="s">
        <v>1635</v>
      </c>
      <c r="J137">
        <v>3060</v>
      </c>
      <c r="K137" t="s">
        <v>1635</v>
      </c>
      <c r="L137">
        <v>0</v>
      </c>
    </row>
    <row r="138" spans="1:12">
      <c r="A138">
        <v>1</v>
      </c>
      <c r="B138" t="s">
        <v>15</v>
      </c>
      <c r="C138" t="s">
        <v>77</v>
      </c>
      <c r="D138" s="12">
        <v>101129291267</v>
      </c>
      <c r="E138">
        <v>4165</v>
      </c>
      <c r="F138">
        <f>IFERROR(VLOOKUP(C138,回款计划!B:E,4,0),0)</f>
        <v>78585</v>
      </c>
      <c r="G138">
        <f>IFERROR(VLOOKUP(C138,回款计划!B:E,5,0),0)</f>
        <v>0</v>
      </c>
      <c r="H138">
        <f>IFERROR(VLOOKUP(C138,回款计划!B:E,6,0),0)</f>
        <v>0</v>
      </c>
      <c r="I138" t="s">
        <v>1635</v>
      </c>
      <c r="J138">
        <v>4165</v>
      </c>
      <c r="K138" t="s">
        <v>1635</v>
      </c>
      <c r="L138">
        <v>0</v>
      </c>
    </row>
    <row r="139" spans="1:12">
      <c r="A139">
        <v>1</v>
      </c>
      <c r="B139" t="s">
        <v>15</v>
      </c>
      <c r="C139" t="s">
        <v>515</v>
      </c>
      <c r="D139" s="12">
        <v>107112567640</v>
      </c>
      <c r="E139">
        <v>2800</v>
      </c>
      <c r="F139">
        <f>IFERROR(VLOOKUP(C139,回款计划!B:E,4,0),0)</f>
        <v>50038</v>
      </c>
      <c r="G139">
        <f>IFERROR(VLOOKUP(C139,回款计划!B:E,5,0),0)</f>
        <v>0</v>
      </c>
      <c r="H139">
        <f>IFERROR(VLOOKUP(C139,回款计划!B:E,6,0),0)</f>
        <v>0</v>
      </c>
      <c r="I139" t="s">
        <v>1635</v>
      </c>
      <c r="J139">
        <v>2800</v>
      </c>
      <c r="K139" t="s">
        <v>1635</v>
      </c>
      <c r="L139">
        <v>0</v>
      </c>
    </row>
    <row r="140" spans="1:12">
      <c r="A140">
        <v>1</v>
      </c>
      <c r="B140" t="s">
        <v>15</v>
      </c>
      <c r="C140" t="s">
        <v>733</v>
      </c>
      <c r="D140" s="12">
        <v>107112893589</v>
      </c>
      <c r="E140">
        <v>3465</v>
      </c>
      <c r="F140">
        <f>IFERROR(VLOOKUP(C140,回款计划!B:E,4,0),0)</f>
        <v>100000</v>
      </c>
      <c r="G140">
        <f>IFERROR(VLOOKUP(C140,回款计划!B:E,5,0),0)</f>
        <v>0</v>
      </c>
      <c r="H140">
        <f>IFERROR(VLOOKUP(C140,回款计划!B:E,6,0),0)</f>
        <v>0</v>
      </c>
      <c r="I140" t="s">
        <v>1635</v>
      </c>
      <c r="J140">
        <v>3465</v>
      </c>
      <c r="K140" t="s">
        <v>1635</v>
      </c>
      <c r="L140">
        <v>0</v>
      </c>
    </row>
    <row r="141" spans="1:12">
      <c r="A141">
        <v>1</v>
      </c>
      <c r="B141" t="s">
        <v>15</v>
      </c>
      <c r="C141" t="s">
        <v>483</v>
      </c>
      <c r="D141" s="12">
        <v>107112497805</v>
      </c>
      <c r="E141">
        <v>4120</v>
      </c>
      <c r="F141">
        <f>IFERROR(VLOOKUP(C141,回款计划!B:E,4,0),0)</f>
        <v>137380</v>
      </c>
      <c r="G141">
        <f>IFERROR(VLOOKUP(C141,回款计划!B:E,5,0),0)</f>
        <v>0</v>
      </c>
      <c r="H141">
        <f>IFERROR(VLOOKUP(C141,回款计划!B:E,6,0),0)</f>
        <v>0</v>
      </c>
      <c r="I141" t="s">
        <v>1635</v>
      </c>
      <c r="J141">
        <v>4120</v>
      </c>
      <c r="K141" t="s">
        <v>1635</v>
      </c>
      <c r="L141">
        <v>0</v>
      </c>
    </row>
    <row r="142" spans="1:12">
      <c r="A142">
        <v>1</v>
      </c>
      <c r="B142" t="s">
        <v>15</v>
      </c>
      <c r="C142" t="s">
        <v>20</v>
      </c>
      <c r="D142" s="12">
        <v>101127339909</v>
      </c>
      <c r="E142">
        <v>3120</v>
      </c>
      <c r="F142">
        <f>IFERROR(VLOOKUP(C142,回款计划!B:E,4,0),0)</f>
        <v>94060</v>
      </c>
      <c r="G142">
        <f>IFERROR(VLOOKUP(C142,回款计划!B:E,5,0),0)</f>
        <v>0</v>
      </c>
      <c r="H142">
        <f>IFERROR(VLOOKUP(C142,回款计划!B:E,6,0),0)</f>
        <v>0</v>
      </c>
      <c r="I142" t="s">
        <v>1635</v>
      </c>
      <c r="J142">
        <v>3120</v>
      </c>
      <c r="K142" t="s">
        <v>1635</v>
      </c>
      <c r="L142">
        <v>0</v>
      </c>
    </row>
    <row r="143" spans="1:12">
      <c r="A143">
        <v>1</v>
      </c>
      <c r="B143" t="s">
        <v>15</v>
      </c>
      <c r="C143" t="s">
        <v>469</v>
      </c>
      <c r="D143" s="12">
        <v>107112464864</v>
      </c>
      <c r="E143">
        <v>2736</v>
      </c>
      <c r="F143">
        <f>IFERROR(VLOOKUP(C143,回款计划!B:E,4,0),0)</f>
        <v>89000</v>
      </c>
      <c r="G143">
        <f>IFERROR(VLOOKUP(C143,回款计划!B:E,5,0),0)</f>
        <v>0</v>
      </c>
      <c r="H143">
        <f>IFERROR(VLOOKUP(C143,回款计划!B:E,6,0),0)</f>
        <v>0</v>
      </c>
      <c r="I143" t="s">
        <v>1635</v>
      </c>
      <c r="J143">
        <v>2736</v>
      </c>
      <c r="K143" t="s">
        <v>1635</v>
      </c>
      <c r="L143">
        <v>0</v>
      </c>
    </row>
    <row r="144" spans="1:12">
      <c r="A144">
        <v>1</v>
      </c>
      <c r="B144" t="s">
        <v>15</v>
      </c>
      <c r="C144" t="s">
        <v>372</v>
      </c>
      <c r="D144" s="12">
        <v>107112205936</v>
      </c>
      <c r="E144">
        <v>4015</v>
      </c>
      <c r="F144">
        <f>IFERROR(VLOOKUP(C144,回款计划!B:E,4,0),0)</f>
        <v>121169</v>
      </c>
      <c r="G144">
        <f>IFERROR(VLOOKUP(C144,回款计划!B:E,5,0),0)</f>
        <v>0</v>
      </c>
      <c r="H144">
        <f>IFERROR(VLOOKUP(C144,回款计划!B:E,6,0),0)</f>
        <v>0</v>
      </c>
      <c r="I144" t="s">
        <v>1635</v>
      </c>
      <c r="J144">
        <v>4015</v>
      </c>
      <c r="K144" t="s">
        <v>1635</v>
      </c>
      <c r="L144">
        <v>0</v>
      </c>
    </row>
    <row r="145" spans="1:12">
      <c r="A145">
        <v>1</v>
      </c>
      <c r="B145" t="s">
        <v>15</v>
      </c>
      <c r="C145" t="s">
        <v>788</v>
      </c>
      <c r="D145" s="12">
        <v>107113013923</v>
      </c>
      <c r="E145">
        <v>3010</v>
      </c>
      <c r="F145">
        <f>IFERROR(VLOOKUP(C145,回款计划!B:E,4,0),0)</f>
        <v>87928</v>
      </c>
      <c r="G145">
        <f>IFERROR(VLOOKUP(C145,回款计划!B:E,5,0),0)</f>
        <v>0</v>
      </c>
      <c r="H145">
        <f>IFERROR(VLOOKUP(C145,回款计划!B:E,6,0),0)</f>
        <v>0</v>
      </c>
      <c r="I145" t="s">
        <v>1635</v>
      </c>
      <c r="J145">
        <v>3010</v>
      </c>
      <c r="K145" t="s">
        <v>1635</v>
      </c>
      <c r="L145">
        <v>0</v>
      </c>
    </row>
    <row r="146" spans="1:12">
      <c r="A146">
        <v>1</v>
      </c>
      <c r="B146" t="s">
        <v>15</v>
      </c>
      <c r="C146" t="s">
        <v>604</v>
      </c>
      <c r="D146" s="12">
        <v>107112660962</v>
      </c>
      <c r="E146">
        <v>1380</v>
      </c>
      <c r="F146">
        <f>IFERROR(VLOOKUP(C146,回款计划!B:E,4,0),0)</f>
        <v>26555</v>
      </c>
      <c r="G146">
        <f>IFERROR(VLOOKUP(C146,回款计划!B:E,5,0),0)</f>
        <v>0</v>
      </c>
      <c r="H146">
        <f>IFERROR(VLOOKUP(C146,回款计划!B:E,6,0),0)</f>
        <v>0</v>
      </c>
      <c r="I146" t="s">
        <v>1635</v>
      </c>
      <c r="J146">
        <v>1380</v>
      </c>
      <c r="K146" t="s">
        <v>1635</v>
      </c>
      <c r="L146">
        <v>0</v>
      </c>
    </row>
    <row r="147" spans="1:12">
      <c r="A147">
        <v>1</v>
      </c>
      <c r="B147" t="s">
        <v>15</v>
      </c>
      <c r="C147" t="s">
        <v>463</v>
      </c>
      <c r="D147" s="12">
        <v>107112456127</v>
      </c>
      <c r="E147">
        <v>3692</v>
      </c>
      <c r="F147">
        <f>IFERROR(VLOOKUP(C147,回款计划!B:E,4,0),0)</f>
        <v>112197</v>
      </c>
      <c r="G147">
        <f>IFERROR(VLOOKUP(C147,回款计划!B:E,5,0),0)</f>
        <v>0</v>
      </c>
      <c r="H147">
        <f>IFERROR(VLOOKUP(C147,回款计划!B:E,6,0),0)</f>
        <v>0</v>
      </c>
      <c r="I147" t="s">
        <v>1635</v>
      </c>
      <c r="J147">
        <v>3692</v>
      </c>
      <c r="K147" t="s">
        <v>1635</v>
      </c>
      <c r="L147">
        <v>0</v>
      </c>
    </row>
    <row r="148" spans="1:12">
      <c r="A148">
        <v>1</v>
      </c>
      <c r="B148" t="s">
        <v>15</v>
      </c>
      <c r="C148" t="s">
        <v>266</v>
      </c>
      <c r="D148" s="12">
        <v>101130774312</v>
      </c>
      <c r="E148">
        <v>2300</v>
      </c>
      <c r="F148">
        <f>IFERROR(VLOOKUP(C148,回款计划!B:E,4,0),0)</f>
        <v>43500</v>
      </c>
      <c r="G148">
        <f>IFERROR(VLOOKUP(C148,回款计划!B:E,5,0),0)</f>
        <v>0</v>
      </c>
      <c r="H148">
        <f>IFERROR(VLOOKUP(C148,回款计划!B:E,6,0),0)</f>
        <v>0</v>
      </c>
      <c r="I148" t="s">
        <v>1635</v>
      </c>
      <c r="J148">
        <v>2300</v>
      </c>
      <c r="K148" t="s">
        <v>1635</v>
      </c>
      <c r="L148">
        <v>0</v>
      </c>
    </row>
    <row r="149" spans="1:12">
      <c r="A149">
        <v>1</v>
      </c>
      <c r="B149" t="s">
        <v>15</v>
      </c>
      <c r="C149" t="s">
        <v>234</v>
      </c>
      <c r="D149" s="12">
        <v>101130434119</v>
      </c>
      <c r="E149">
        <v>2850</v>
      </c>
      <c r="F149">
        <f>IFERROR(VLOOKUP(C149,回款计划!B:E,4,0),0)</f>
        <v>85800</v>
      </c>
      <c r="G149">
        <f>IFERROR(VLOOKUP(C149,回款计划!B:E,5,0),0)</f>
        <v>0</v>
      </c>
      <c r="H149">
        <f>IFERROR(VLOOKUP(C149,回款计划!B:E,6,0),0)</f>
        <v>0</v>
      </c>
      <c r="I149" t="s">
        <v>1635</v>
      </c>
      <c r="J149">
        <v>2850</v>
      </c>
      <c r="K149" t="s">
        <v>1635</v>
      </c>
      <c r="L149">
        <v>0</v>
      </c>
    </row>
    <row r="150" spans="1:12">
      <c r="A150">
        <v>1</v>
      </c>
      <c r="B150" t="s">
        <v>15</v>
      </c>
      <c r="C150" t="s">
        <v>706</v>
      </c>
      <c r="D150" s="12">
        <v>107112845576</v>
      </c>
      <c r="E150">
        <v>2784</v>
      </c>
      <c r="F150">
        <f>IFERROR(VLOOKUP(C150,回款计划!B:E,4,0),0)</f>
        <v>82721</v>
      </c>
      <c r="G150">
        <f>IFERROR(VLOOKUP(C150,回款计划!B:E,5,0),0)</f>
        <v>0</v>
      </c>
      <c r="H150">
        <f>IFERROR(VLOOKUP(C150,回款计划!B:E,6,0),0)</f>
        <v>0</v>
      </c>
      <c r="I150" t="s">
        <v>1635</v>
      </c>
      <c r="J150">
        <v>2784</v>
      </c>
      <c r="K150" t="s">
        <v>1635</v>
      </c>
      <c r="L150">
        <v>0</v>
      </c>
    </row>
    <row r="151" spans="1:12">
      <c r="A151">
        <v>1</v>
      </c>
      <c r="B151" t="s">
        <v>15</v>
      </c>
      <c r="C151" t="s">
        <v>588</v>
      </c>
      <c r="D151" s="12">
        <v>107112652329</v>
      </c>
      <c r="E151">
        <v>6624</v>
      </c>
      <c r="F151">
        <f>IFERROR(VLOOKUP(C151,回款计划!B:E,4,0),0)</f>
        <v>192989</v>
      </c>
      <c r="G151">
        <f>IFERROR(VLOOKUP(C151,回款计划!B:E,5,0),0)</f>
        <v>0</v>
      </c>
      <c r="H151">
        <f>IFERROR(VLOOKUP(C151,回款计划!B:E,6,0),0)</f>
        <v>0</v>
      </c>
      <c r="I151" t="s">
        <v>1635</v>
      </c>
      <c r="J151">
        <v>6624</v>
      </c>
      <c r="K151" t="s">
        <v>1635</v>
      </c>
      <c r="L151">
        <v>0</v>
      </c>
    </row>
    <row r="152" spans="1:12">
      <c r="A152">
        <v>1</v>
      </c>
      <c r="B152" t="s">
        <v>15</v>
      </c>
      <c r="C152" t="s">
        <v>590</v>
      </c>
      <c r="D152" s="12">
        <v>107112652640</v>
      </c>
      <c r="E152">
        <v>1491</v>
      </c>
      <c r="F152">
        <f>IFERROR(VLOOKUP(C152,回款计划!B:E,4,0),0)</f>
        <v>27758</v>
      </c>
      <c r="G152">
        <f>IFERROR(VLOOKUP(C152,回款计划!B:E,5,0),0)</f>
        <v>0</v>
      </c>
      <c r="H152">
        <f>IFERROR(VLOOKUP(C152,回款计划!B:E,6,0),0)</f>
        <v>0</v>
      </c>
      <c r="I152" t="s">
        <v>1635</v>
      </c>
      <c r="J152">
        <v>1491</v>
      </c>
      <c r="K152" t="s">
        <v>1635</v>
      </c>
      <c r="L152">
        <v>0</v>
      </c>
    </row>
    <row r="153" spans="1:12">
      <c r="A153">
        <v>1</v>
      </c>
      <c r="B153" t="s">
        <v>15</v>
      </c>
      <c r="C153" t="s">
        <v>820</v>
      </c>
      <c r="D153" s="12">
        <v>107113147060</v>
      </c>
      <c r="E153">
        <v>1920</v>
      </c>
      <c r="F153">
        <f>IFERROR(VLOOKUP(C153,回款计划!B:E,4,0),0)</f>
        <v>34750</v>
      </c>
      <c r="G153">
        <f>IFERROR(VLOOKUP(C153,回款计划!B:E,5,0),0)</f>
        <v>0</v>
      </c>
      <c r="H153">
        <f>IFERROR(VLOOKUP(C153,回款计划!B:E,6,0),0)</f>
        <v>0</v>
      </c>
      <c r="I153" t="s">
        <v>1635</v>
      </c>
      <c r="J153">
        <v>1920</v>
      </c>
      <c r="K153" t="s">
        <v>1635</v>
      </c>
      <c r="L153">
        <v>0</v>
      </c>
    </row>
    <row r="154" spans="1:12">
      <c r="A154">
        <v>1</v>
      </c>
      <c r="B154" t="s">
        <v>15</v>
      </c>
      <c r="C154" t="s">
        <v>262</v>
      </c>
      <c r="D154" s="12">
        <v>101130717373</v>
      </c>
      <c r="E154">
        <v>2592</v>
      </c>
      <c r="F154">
        <f>IFERROR(VLOOKUP(C154,回款计划!B:E,4,0),0)</f>
        <v>78645</v>
      </c>
      <c r="G154">
        <f>IFERROR(VLOOKUP(C154,回款计划!B:E,5,0),0)</f>
        <v>0</v>
      </c>
      <c r="H154">
        <f>IFERROR(VLOOKUP(C154,回款计划!B:E,6,0),0)</f>
        <v>0</v>
      </c>
      <c r="I154" t="s">
        <v>1635</v>
      </c>
      <c r="J154">
        <v>2592</v>
      </c>
      <c r="K154" t="s">
        <v>1635</v>
      </c>
      <c r="L154">
        <v>0</v>
      </c>
    </row>
    <row r="155" spans="1:12">
      <c r="A155">
        <v>1</v>
      </c>
      <c r="B155" t="s">
        <v>15</v>
      </c>
      <c r="C155" t="s">
        <v>663</v>
      </c>
      <c r="D155" s="12">
        <v>107112765383</v>
      </c>
      <c r="E155">
        <v>1260</v>
      </c>
      <c r="F155">
        <f>IFERROR(VLOOKUP(C155,回款计划!B:E,4,0),0)</f>
        <v>23283</v>
      </c>
      <c r="G155">
        <f>IFERROR(VLOOKUP(C155,回款计划!B:E,5,0),0)</f>
        <v>0</v>
      </c>
      <c r="H155">
        <f>IFERROR(VLOOKUP(C155,回款计划!B:E,6,0),0)</f>
        <v>0</v>
      </c>
      <c r="I155" t="s">
        <v>1635</v>
      </c>
      <c r="J155">
        <v>1260</v>
      </c>
      <c r="K155" t="s">
        <v>1635</v>
      </c>
      <c r="L155">
        <v>0</v>
      </c>
    </row>
    <row r="156" spans="1:12">
      <c r="A156">
        <v>1</v>
      </c>
      <c r="B156" t="s">
        <v>15</v>
      </c>
      <c r="C156" t="s">
        <v>521</v>
      </c>
      <c r="D156" s="12">
        <v>107112575884</v>
      </c>
      <c r="E156">
        <v>1302</v>
      </c>
      <c r="F156">
        <f>IFERROR(VLOOKUP(C156,回款计划!B:E,4,0),0)</f>
        <v>23001</v>
      </c>
      <c r="G156">
        <f>IFERROR(VLOOKUP(C156,回款计划!B:E,5,0),0)</f>
        <v>0</v>
      </c>
      <c r="H156">
        <f>IFERROR(VLOOKUP(C156,回款计划!B:E,6,0),0)</f>
        <v>0</v>
      </c>
      <c r="I156" t="s">
        <v>1635</v>
      </c>
      <c r="J156">
        <v>1302</v>
      </c>
      <c r="K156" t="s">
        <v>1635</v>
      </c>
      <c r="L156">
        <v>0</v>
      </c>
    </row>
    <row r="157" spans="1:12">
      <c r="A157">
        <v>1</v>
      </c>
      <c r="B157" t="s">
        <v>15</v>
      </c>
      <c r="C157" t="s">
        <v>242</v>
      </c>
      <c r="D157" s="12">
        <v>101130519941</v>
      </c>
      <c r="E157">
        <v>2886</v>
      </c>
      <c r="F157">
        <f>IFERROR(VLOOKUP(C157,回款计划!B:E,4,0),0)</f>
        <v>84677</v>
      </c>
      <c r="G157">
        <f>IFERROR(VLOOKUP(C157,回款计划!B:E,5,0),0)</f>
        <v>0</v>
      </c>
      <c r="H157">
        <f>IFERROR(VLOOKUP(C157,回款计划!B:E,6,0),0)</f>
        <v>0</v>
      </c>
      <c r="I157" t="s">
        <v>1635</v>
      </c>
      <c r="J157">
        <v>2886</v>
      </c>
      <c r="K157" t="s">
        <v>1635</v>
      </c>
      <c r="L157">
        <v>0</v>
      </c>
    </row>
    <row r="158" spans="1:12">
      <c r="A158">
        <v>1</v>
      </c>
      <c r="B158" t="s">
        <v>15</v>
      </c>
      <c r="C158" t="s">
        <v>461</v>
      </c>
      <c r="D158" s="12">
        <v>107112452906</v>
      </c>
      <c r="E158">
        <v>2700</v>
      </c>
      <c r="F158">
        <f>IFERROR(VLOOKUP(C158,回款计划!B:E,4,0),0)</f>
        <v>78259</v>
      </c>
      <c r="G158">
        <f>IFERROR(VLOOKUP(C158,回款计划!B:E,5,0),0)</f>
        <v>0</v>
      </c>
      <c r="H158">
        <f>IFERROR(VLOOKUP(C158,回款计划!B:E,6,0),0)</f>
        <v>0</v>
      </c>
      <c r="I158" t="s">
        <v>1635</v>
      </c>
      <c r="J158">
        <v>2700</v>
      </c>
      <c r="K158" t="s">
        <v>1635</v>
      </c>
      <c r="L158">
        <v>0</v>
      </c>
    </row>
    <row r="159" spans="1:12">
      <c r="A159">
        <v>1</v>
      </c>
      <c r="B159" t="s">
        <v>15</v>
      </c>
      <c r="C159" t="s">
        <v>38</v>
      </c>
      <c r="D159" s="12">
        <v>101128209031</v>
      </c>
      <c r="E159">
        <v>1840</v>
      </c>
      <c r="F159">
        <f>IFERROR(VLOOKUP(C159,回款计划!B:E,4,0),0)</f>
        <v>55000</v>
      </c>
      <c r="G159">
        <f>IFERROR(VLOOKUP(C159,回款计划!B:E,5,0),0)</f>
        <v>0</v>
      </c>
      <c r="H159">
        <f>IFERROR(VLOOKUP(C159,回款计划!B:E,6,0),0)</f>
        <v>0</v>
      </c>
      <c r="I159" t="s">
        <v>1635</v>
      </c>
      <c r="J159">
        <v>1840</v>
      </c>
      <c r="K159" t="s">
        <v>1635</v>
      </c>
      <c r="L159">
        <v>0</v>
      </c>
    </row>
    <row r="160" spans="1:12">
      <c r="A160">
        <v>1</v>
      </c>
      <c r="B160" t="s">
        <v>15</v>
      </c>
      <c r="C160" t="s">
        <v>197</v>
      </c>
      <c r="D160" s="12">
        <v>101130133766</v>
      </c>
      <c r="E160">
        <v>2730</v>
      </c>
      <c r="F160">
        <f>IFERROR(VLOOKUP(C160,回款计划!B:E,4,0),0)</f>
        <v>84220</v>
      </c>
      <c r="G160">
        <f>IFERROR(VLOOKUP(C160,回款计划!B:E,5,0),0)</f>
        <v>0</v>
      </c>
      <c r="H160">
        <f>IFERROR(VLOOKUP(C160,回款计划!B:E,6,0),0)</f>
        <v>0</v>
      </c>
      <c r="I160" t="s">
        <v>1635</v>
      </c>
      <c r="J160">
        <v>2730</v>
      </c>
      <c r="K160" t="s">
        <v>1635</v>
      </c>
      <c r="L160">
        <v>0</v>
      </c>
    </row>
    <row r="161" spans="1:12">
      <c r="A161">
        <v>1</v>
      </c>
      <c r="B161" t="s">
        <v>15</v>
      </c>
      <c r="C161" t="s">
        <v>81</v>
      </c>
      <c r="D161" s="12">
        <v>101129313456</v>
      </c>
      <c r="E161">
        <v>4732</v>
      </c>
      <c r="F161">
        <f>IFERROR(VLOOKUP(C161,回款计划!B:E,4,0),0)</f>
        <v>88947</v>
      </c>
      <c r="G161">
        <f>IFERROR(VLOOKUP(C161,回款计划!B:E,5,0),0)</f>
        <v>0</v>
      </c>
      <c r="H161">
        <f>IFERROR(VLOOKUP(C161,回款计划!B:E,6,0),0)</f>
        <v>0</v>
      </c>
      <c r="I161" t="s">
        <v>1635</v>
      </c>
      <c r="J161">
        <v>4732</v>
      </c>
      <c r="K161" t="s">
        <v>1635</v>
      </c>
      <c r="L161">
        <v>0</v>
      </c>
    </row>
    <row r="162" spans="1:12">
      <c r="A162">
        <v>1</v>
      </c>
      <c r="B162" t="s">
        <v>15</v>
      </c>
      <c r="C162" t="s">
        <v>646</v>
      </c>
      <c r="D162" s="12">
        <v>107112720146</v>
      </c>
      <c r="E162">
        <v>2940</v>
      </c>
      <c r="F162">
        <f>IFERROR(VLOOKUP(C162,回款计划!B:E,4,0),0)</f>
        <v>83705</v>
      </c>
      <c r="G162">
        <f>IFERROR(VLOOKUP(C162,回款计划!B:E,5,0),0)</f>
        <v>0</v>
      </c>
      <c r="H162">
        <f>IFERROR(VLOOKUP(C162,回款计划!B:E,6,0),0)</f>
        <v>0</v>
      </c>
      <c r="I162" t="s">
        <v>1635</v>
      </c>
      <c r="J162">
        <v>2940</v>
      </c>
      <c r="K162" t="s">
        <v>1635</v>
      </c>
      <c r="L162">
        <v>0</v>
      </c>
    </row>
    <row r="163" spans="1:12">
      <c r="A163">
        <v>1</v>
      </c>
      <c r="B163" t="s">
        <v>15</v>
      </c>
      <c r="C163" t="s">
        <v>673</v>
      </c>
      <c r="D163" s="12">
        <v>107112784036</v>
      </c>
      <c r="E163">
        <v>5292</v>
      </c>
      <c r="F163">
        <f>IFERROR(VLOOKUP(C163,回款计划!B:E,4,0),0)</f>
        <v>161888</v>
      </c>
      <c r="G163">
        <f>IFERROR(VLOOKUP(C163,回款计划!B:E,5,0),0)</f>
        <v>0</v>
      </c>
      <c r="H163">
        <f>IFERROR(VLOOKUP(C163,回款计划!B:E,6,0),0)</f>
        <v>0</v>
      </c>
      <c r="I163" t="s">
        <v>1635</v>
      </c>
      <c r="J163">
        <v>5292</v>
      </c>
      <c r="K163" t="s">
        <v>1635</v>
      </c>
      <c r="L163">
        <v>0</v>
      </c>
    </row>
    <row r="164" spans="1:12">
      <c r="A164">
        <v>1</v>
      </c>
      <c r="B164" t="s">
        <v>15</v>
      </c>
      <c r="C164" t="s">
        <v>179</v>
      </c>
      <c r="D164" s="12">
        <v>101129999271</v>
      </c>
      <c r="E164">
        <v>3933</v>
      </c>
      <c r="F164">
        <f>IFERROR(VLOOKUP(C164,回款计划!B:E,4,0),0)</f>
        <v>125000</v>
      </c>
      <c r="G164">
        <f>IFERROR(VLOOKUP(C164,回款计划!B:E,5,0),0)</f>
        <v>0</v>
      </c>
      <c r="H164">
        <f>IFERROR(VLOOKUP(C164,回款计划!B:E,6,0),0)</f>
        <v>0</v>
      </c>
      <c r="I164" t="s">
        <v>1635</v>
      </c>
      <c r="J164">
        <v>3933</v>
      </c>
      <c r="K164" t="s">
        <v>1635</v>
      </c>
      <c r="L164">
        <v>0</v>
      </c>
    </row>
    <row r="165" spans="1:12">
      <c r="A165">
        <v>1</v>
      </c>
      <c r="B165" t="s">
        <v>15</v>
      </c>
      <c r="C165" t="s">
        <v>753</v>
      </c>
      <c r="D165" s="12">
        <v>107112929079</v>
      </c>
      <c r="E165">
        <v>7150</v>
      </c>
      <c r="F165">
        <f>IFERROR(VLOOKUP(C165,回款计划!B:E,4,0),0)</f>
        <v>212390</v>
      </c>
      <c r="G165">
        <f>IFERROR(VLOOKUP(C165,回款计划!B:E,5,0),0)</f>
        <v>0</v>
      </c>
      <c r="H165">
        <f>IFERROR(VLOOKUP(C165,回款计划!B:E,6,0),0)</f>
        <v>0</v>
      </c>
      <c r="I165" t="s">
        <v>1635</v>
      </c>
      <c r="J165">
        <v>7150</v>
      </c>
      <c r="K165" t="s">
        <v>1635</v>
      </c>
      <c r="L165">
        <v>0</v>
      </c>
    </row>
    <row r="166" spans="1:12">
      <c r="A166">
        <v>1</v>
      </c>
      <c r="B166" t="s">
        <v>15</v>
      </c>
      <c r="C166" t="s">
        <v>360</v>
      </c>
      <c r="D166" s="12">
        <v>107112166522</v>
      </c>
      <c r="E166">
        <v>2793</v>
      </c>
      <c r="F166">
        <f>IFERROR(VLOOKUP(C166,回款计划!B:E,4,0),0)</f>
        <v>80000</v>
      </c>
      <c r="G166">
        <f>IFERROR(VLOOKUP(C166,回款计划!B:E,5,0),0)</f>
        <v>0</v>
      </c>
      <c r="H166">
        <f>IFERROR(VLOOKUP(C166,回款计划!B:E,6,0),0)</f>
        <v>0</v>
      </c>
      <c r="I166" t="s">
        <v>1635</v>
      </c>
      <c r="J166">
        <v>2793</v>
      </c>
      <c r="K166" t="s">
        <v>1635</v>
      </c>
      <c r="L166">
        <v>0</v>
      </c>
    </row>
    <row r="167" spans="1:12">
      <c r="A167">
        <v>1</v>
      </c>
      <c r="B167" t="s">
        <v>15</v>
      </c>
      <c r="C167" t="s">
        <v>696</v>
      </c>
      <c r="D167" s="12">
        <v>107112824234</v>
      </c>
      <c r="E167">
        <v>3116</v>
      </c>
      <c r="F167">
        <f>IFERROR(VLOOKUP(C167,回款计划!B:E,4,0),0)</f>
        <v>94000</v>
      </c>
      <c r="G167">
        <f>IFERROR(VLOOKUP(C167,回款计划!B:E,5,0),0)</f>
        <v>0</v>
      </c>
      <c r="H167">
        <f>IFERROR(VLOOKUP(C167,回款计划!B:E,6,0),0)</f>
        <v>0</v>
      </c>
      <c r="I167" t="s">
        <v>1635</v>
      </c>
      <c r="J167">
        <v>3116</v>
      </c>
      <c r="K167" t="s">
        <v>1635</v>
      </c>
      <c r="L167">
        <v>0</v>
      </c>
    </row>
    <row r="168" spans="1:12">
      <c r="A168">
        <v>1</v>
      </c>
      <c r="B168" t="s">
        <v>15</v>
      </c>
      <c r="C168" t="s">
        <v>330</v>
      </c>
      <c r="D168" s="12">
        <v>107111936214</v>
      </c>
      <c r="E168">
        <v>3519</v>
      </c>
      <c r="F168">
        <f>IFERROR(VLOOKUP(C168,回款计划!B:E,4,0),0)</f>
        <v>102530</v>
      </c>
      <c r="G168">
        <f>IFERROR(VLOOKUP(C168,回款计划!B:E,5,0),0)</f>
        <v>0</v>
      </c>
      <c r="H168">
        <f>IFERROR(VLOOKUP(C168,回款计划!B:E,6,0),0)</f>
        <v>0</v>
      </c>
      <c r="I168" t="s">
        <v>1635</v>
      </c>
      <c r="J168">
        <v>3519</v>
      </c>
      <c r="K168" t="s">
        <v>1635</v>
      </c>
      <c r="L168">
        <v>0</v>
      </c>
    </row>
    <row r="169" spans="1:12">
      <c r="A169">
        <v>1</v>
      </c>
      <c r="B169" t="s">
        <v>15</v>
      </c>
      <c r="C169" t="s">
        <v>451</v>
      </c>
      <c r="D169" s="12">
        <v>107112404846</v>
      </c>
      <c r="E169">
        <v>2960</v>
      </c>
      <c r="F169">
        <f>IFERROR(VLOOKUP(C169,回款计划!B:E,4,0),0)</f>
        <v>106836</v>
      </c>
      <c r="G169">
        <f>IFERROR(VLOOKUP(C169,回款计划!B:E,5,0),0)</f>
        <v>0</v>
      </c>
      <c r="H169">
        <f>IFERROR(VLOOKUP(C169,回款计划!B:E,6,0),0)</f>
        <v>0</v>
      </c>
      <c r="I169" t="s">
        <v>1635</v>
      </c>
      <c r="J169">
        <v>2960</v>
      </c>
      <c r="K169" t="s">
        <v>1635</v>
      </c>
      <c r="L169">
        <v>0</v>
      </c>
    </row>
    <row r="170" spans="1:12">
      <c r="A170">
        <v>1</v>
      </c>
      <c r="B170" t="s">
        <v>15</v>
      </c>
      <c r="C170" t="s">
        <v>133</v>
      </c>
      <c r="D170" s="12">
        <v>101129626038</v>
      </c>
      <c r="E170">
        <v>3150</v>
      </c>
      <c r="F170">
        <f>IFERROR(VLOOKUP(C170,回款计划!B:E,4,0),0)</f>
        <v>93833</v>
      </c>
      <c r="G170">
        <f>IFERROR(VLOOKUP(C170,回款计划!B:E,5,0),0)</f>
        <v>0</v>
      </c>
      <c r="H170">
        <f>IFERROR(VLOOKUP(C170,回款计划!B:E,6,0),0)</f>
        <v>0</v>
      </c>
      <c r="I170" t="s">
        <v>1635</v>
      </c>
      <c r="J170">
        <v>3150</v>
      </c>
      <c r="K170" t="s">
        <v>1635</v>
      </c>
      <c r="L170">
        <v>0</v>
      </c>
    </row>
    <row r="171" spans="1:12">
      <c r="A171">
        <v>1</v>
      </c>
      <c r="B171" t="s">
        <v>15</v>
      </c>
      <c r="C171" t="s">
        <v>389</v>
      </c>
      <c r="D171" s="12">
        <v>107112261154</v>
      </c>
      <c r="E171">
        <v>2397</v>
      </c>
      <c r="F171">
        <f>IFERROR(VLOOKUP(C171,回款计划!B:E,4,0),0)</f>
        <v>86683</v>
      </c>
      <c r="G171">
        <f>IFERROR(VLOOKUP(C171,回款计划!B:E,5,0),0)</f>
        <v>0</v>
      </c>
      <c r="H171">
        <f>IFERROR(VLOOKUP(C171,回款计划!B:E,6,0),0)</f>
        <v>0</v>
      </c>
      <c r="I171" t="s">
        <v>1635</v>
      </c>
      <c r="J171">
        <v>2397</v>
      </c>
      <c r="K171" t="s">
        <v>1635</v>
      </c>
      <c r="L171">
        <v>0</v>
      </c>
    </row>
    <row r="172" spans="1:12">
      <c r="A172">
        <v>1</v>
      </c>
      <c r="B172" t="s">
        <v>15</v>
      </c>
      <c r="C172" t="s">
        <v>767</v>
      </c>
      <c r="D172" s="12">
        <v>107112974183</v>
      </c>
      <c r="E172">
        <v>4576</v>
      </c>
      <c r="F172">
        <f>IFERROR(VLOOKUP(C172,回款计划!B:E,4,0),0)</f>
        <v>138000</v>
      </c>
      <c r="G172">
        <f>IFERROR(VLOOKUP(C172,回款计划!B:E,5,0),0)</f>
        <v>0</v>
      </c>
      <c r="H172">
        <f>IFERROR(VLOOKUP(C172,回款计划!B:E,6,0),0)</f>
        <v>0</v>
      </c>
      <c r="I172" t="s">
        <v>1635</v>
      </c>
      <c r="J172">
        <v>4576</v>
      </c>
      <c r="K172" t="s">
        <v>1635</v>
      </c>
      <c r="L172">
        <v>0</v>
      </c>
    </row>
    <row r="173" spans="1:12">
      <c r="A173">
        <v>1</v>
      </c>
      <c r="B173" t="s">
        <v>15</v>
      </c>
      <c r="C173" t="s">
        <v>362</v>
      </c>
      <c r="D173" s="12">
        <v>107112171168</v>
      </c>
      <c r="E173">
        <v>2035.5</v>
      </c>
      <c r="F173">
        <f>IFERROR(VLOOKUP(C173,回款计划!B:E,4,0),0)</f>
        <v>59000</v>
      </c>
      <c r="G173">
        <f>IFERROR(VLOOKUP(C173,回款计划!B:E,5,0),0)</f>
        <v>0</v>
      </c>
      <c r="H173">
        <f>IFERROR(VLOOKUP(C173,回款计划!B:E,6,0),0)</f>
        <v>0</v>
      </c>
      <c r="I173" t="s">
        <v>1635</v>
      </c>
      <c r="J173">
        <v>2035.5</v>
      </c>
      <c r="K173" t="s">
        <v>1635</v>
      </c>
      <c r="L173">
        <v>0</v>
      </c>
    </row>
    <row r="174" spans="1:12">
      <c r="A174">
        <v>1</v>
      </c>
      <c r="B174" t="s">
        <v>15</v>
      </c>
      <c r="C174" t="s">
        <v>264</v>
      </c>
      <c r="D174" s="12">
        <v>101130763989</v>
      </c>
      <c r="E174">
        <v>3850</v>
      </c>
      <c r="F174">
        <f>IFERROR(VLOOKUP(C174,回款计划!B:E,4,0),0)</f>
        <v>115960</v>
      </c>
      <c r="G174">
        <f>IFERROR(VLOOKUP(C174,回款计划!B:E,5,0),0)</f>
        <v>0</v>
      </c>
      <c r="H174">
        <f>IFERROR(VLOOKUP(C174,回款计划!B:E,6,0),0)</f>
        <v>0</v>
      </c>
      <c r="I174" t="s">
        <v>1635</v>
      </c>
      <c r="J174">
        <v>3850</v>
      </c>
      <c r="K174" t="s">
        <v>1635</v>
      </c>
      <c r="L174">
        <v>0</v>
      </c>
    </row>
    <row r="175" spans="1:12">
      <c r="A175">
        <v>1</v>
      </c>
      <c r="B175" t="s">
        <v>15</v>
      </c>
      <c r="C175" t="s">
        <v>199</v>
      </c>
      <c r="D175" s="12">
        <v>101130133837</v>
      </c>
      <c r="E175">
        <v>4080</v>
      </c>
      <c r="F175">
        <f>IFERROR(VLOOKUP(C175,回款计划!B:E,4,0),0)</f>
        <v>79275</v>
      </c>
      <c r="G175">
        <f>IFERROR(VLOOKUP(C175,回款计划!B:E,5,0),0)</f>
        <v>0</v>
      </c>
      <c r="H175">
        <f>IFERROR(VLOOKUP(C175,回款计划!B:E,6,0),0)</f>
        <v>0</v>
      </c>
      <c r="I175" t="s">
        <v>1635</v>
      </c>
      <c r="J175">
        <v>4080</v>
      </c>
      <c r="K175" t="s">
        <v>1635</v>
      </c>
      <c r="L175">
        <v>0</v>
      </c>
    </row>
    <row r="176" spans="1:12">
      <c r="A176">
        <v>1</v>
      </c>
      <c r="B176" t="s">
        <v>15</v>
      </c>
      <c r="C176" t="s">
        <v>613</v>
      </c>
      <c r="D176" s="12">
        <v>107112672786</v>
      </c>
      <c r="E176">
        <v>3278.5</v>
      </c>
      <c r="F176">
        <f>IFERROR(VLOOKUP(C176,回款计划!B:E,4,0),0)</f>
        <v>96397</v>
      </c>
      <c r="G176">
        <f>IFERROR(VLOOKUP(C176,回款计划!B:E,5,0),0)</f>
        <v>0</v>
      </c>
      <c r="H176">
        <f>IFERROR(VLOOKUP(C176,回款计划!B:E,6,0),0)</f>
        <v>0</v>
      </c>
      <c r="I176" t="s">
        <v>1635</v>
      </c>
      <c r="J176">
        <v>3278.5</v>
      </c>
      <c r="K176" t="s">
        <v>1635</v>
      </c>
      <c r="L176">
        <v>0</v>
      </c>
    </row>
    <row r="177" spans="1:12">
      <c r="A177">
        <v>1</v>
      </c>
      <c r="B177" t="s">
        <v>15</v>
      </c>
      <c r="C177" t="s">
        <v>765</v>
      </c>
      <c r="D177" s="12">
        <v>107112973302</v>
      </c>
      <c r="E177">
        <v>2574</v>
      </c>
      <c r="F177">
        <f>IFERROR(VLOOKUP(C177,回款计划!B:E,4,0),0)</f>
        <v>118145</v>
      </c>
      <c r="G177">
        <f>IFERROR(VLOOKUP(C177,回款计划!B:E,5,0),0)</f>
        <v>0</v>
      </c>
      <c r="H177">
        <f>IFERROR(VLOOKUP(C177,回款计划!B:E,6,0),0)</f>
        <v>0</v>
      </c>
      <c r="I177" t="s">
        <v>1635</v>
      </c>
      <c r="J177">
        <v>2574</v>
      </c>
      <c r="K177" t="s">
        <v>1635</v>
      </c>
      <c r="L177">
        <v>0</v>
      </c>
    </row>
    <row r="178" spans="1:12">
      <c r="A178">
        <v>1</v>
      </c>
      <c r="B178" t="s">
        <v>15</v>
      </c>
      <c r="C178" t="s">
        <v>102</v>
      </c>
      <c r="D178" s="12">
        <v>101129405710</v>
      </c>
      <c r="E178">
        <v>5460</v>
      </c>
      <c r="F178">
        <f>IFERROR(VLOOKUP(C178,回款计划!B:E,4,0),0)</f>
        <v>100000</v>
      </c>
      <c r="G178">
        <f>IFERROR(VLOOKUP(C178,回款计划!B:E,5,0),0)</f>
        <v>0</v>
      </c>
      <c r="H178">
        <f>IFERROR(VLOOKUP(C178,回款计划!B:E,6,0),0)</f>
        <v>0</v>
      </c>
      <c r="I178" t="s">
        <v>1635</v>
      </c>
      <c r="J178">
        <v>5460</v>
      </c>
      <c r="K178" t="s">
        <v>1635</v>
      </c>
      <c r="L178">
        <v>0</v>
      </c>
    </row>
    <row r="179" spans="1:12">
      <c r="A179">
        <v>1</v>
      </c>
      <c r="B179" t="s">
        <v>15</v>
      </c>
      <c r="C179" t="s">
        <v>715</v>
      </c>
      <c r="D179" s="12">
        <v>107112869884</v>
      </c>
      <c r="E179">
        <v>2925</v>
      </c>
      <c r="F179">
        <f>IFERROR(VLOOKUP(C179,回款计划!B:E,4,0),0)</f>
        <v>85000</v>
      </c>
      <c r="G179">
        <f>IFERROR(VLOOKUP(C179,回款计划!B:E,5,0),0)</f>
        <v>0</v>
      </c>
      <c r="H179">
        <f>IFERROR(VLOOKUP(C179,回款计划!B:E,6,0),0)</f>
        <v>0</v>
      </c>
      <c r="I179" t="s">
        <v>1635</v>
      </c>
      <c r="J179">
        <v>2925</v>
      </c>
      <c r="K179" t="s">
        <v>1635</v>
      </c>
      <c r="L179">
        <v>0</v>
      </c>
    </row>
    <row r="180" spans="1:12">
      <c r="A180">
        <v>1</v>
      </c>
      <c r="B180" t="s">
        <v>15</v>
      </c>
      <c r="C180" t="s">
        <v>366</v>
      </c>
      <c r="D180" s="12">
        <v>107112197894</v>
      </c>
      <c r="E180">
        <v>3016</v>
      </c>
      <c r="F180">
        <f>IFERROR(VLOOKUP(C180,回款计划!B:E,4,0),0)</f>
        <v>104008</v>
      </c>
      <c r="G180">
        <f>IFERROR(VLOOKUP(C180,回款计划!B:E,5,0),0)</f>
        <v>0</v>
      </c>
      <c r="H180">
        <f>IFERROR(VLOOKUP(C180,回款计划!B:E,6,0),0)</f>
        <v>0</v>
      </c>
      <c r="I180" t="s">
        <v>1635</v>
      </c>
      <c r="J180">
        <v>3016</v>
      </c>
      <c r="K180" t="s">
        <v>1635</v>
      </c>
      <c r="L180">
        <v>0</v>
      </c>
    </row>
    <row r="181" spans="1:12">
      <c r="A181">
        <v>1</v>
      </c>
      <c r="B181" t="s">
        <v>15</v>
      </c>
      <c r="C181" t="s">
        <v>602</v>
      </c>
      <c r="D181" s="12">
        <v>107112660445</v>
      </c>
      <c r="E181">
        <v>2680</v>
      </c>
      <c r="F181">
        <f>IFERROR(VLOOKUP(C181,回款计划!B:E,4,0),0)</f>
        <v>95414</v>
      </c>
      <c r="G181">
        <f>IFERROR(VLOOKUP(C181,回款计划!B:E,5,0),0)</f>
        <v>0</v>
      </c>
      <c r="H181">
        <f>IFERROR(VLOOKUP(C181,回款计划!B:E,6,0),0)</f>
        <v>0</v>
      </c>
      <c r="I181" t="s">
        <v>1635</v>
      </c>
      <c r="J181">
        <v>2680</v>
      </c>
      <c r="K181" t="s">
        <v>1635</v>
      </c>
      <c r="L181">
        <v>0</v>
      </c>
    </row>
    <row r="182" spans="1:12">
      <c r="A182">
        <v>1</v>
      </c>
      <c r="B182" t="s">
        <v>15</v>
      </c>
      <c r="C182" t="s">
        <v>55</v>
      </c>
      <c r="D182" s="12">
        <v>101128682630</v>
      </c>
      <c r="E182">
        <v>3045</v>
      </c>
      <c r="F182">
        <f>IFERROR(VLOOKUP(C182,回款计划!B:E,4,0),0)</f>
        <v>90955</v>
      </c>
      <c r="G182">
        <f>IFERROR(VLOOKUP(C182,回款计划!B:E,5,0),0)</f>
        <v>0</v>
      </c>
      <c r="H182">
        <f>IFERROR(VLOOKUP(C182,回款计划!B:E,6,0),0)</f>
        <v>0</v>
      </c>
      <c r="I182" t="s">
        <v>1635</v>
      </c>
      <c r="J182">
        <v>3045</v>
      </c>
      <c r="K182" t="s">
        <v>1635</v>
      </c>
      <c r="L182">
        <v>0</v>
      </c>
    </row>
    <row r="183" spans="1:12">
      <c r="A183">
        <v>1</v>
      </c>
      <c r="B183" t="s">
        <v>15</v>
      </c>
      <c r="C183" t="s">
        <v>546</v>
      </c>
      <c r="D183" s="12">
        <v>107112605463</v>
      </c>
      <c r="E183">
        <v>1638</v>
      </c>
      <c r="F183">
        <f>IFERROR(VLOOKUP(C183,回款计划!B:E,4,0),0)</f>
        <v>27862</v>
      </c>
      <c r="G183">
        <f>IFERROR(VLOOKUP(C183,回款计划!B:E,5,0),0)</f>
        <v>0</v>
      </c>
      <c r="H183">
        <f>IFERROR(VLOOKUP(C183,回款计划!B:E,6,0),0)</f>
        <v>0</v>
      </c>
      <c r="I183" t="s">
        <v>1635</v>
      </c>
      <c r="J183">
        <v>1638</v>
      </c>
      <c r="K183" t="s">
        <v>1635</v>
      </c>
      <c r="L183">
        <v>0</v>
      </c>
    </row>
    <row r="184" spans="1:12">
      <c r="A184">
        <v>1</v>
      </c>
      <c r="B184" t="s">
        <v>15</v>
      </c>
      <c r="C184" t="s">
        <v>479</v>
      </c>
      <c r="D184" s="12">
        <v>107112493987</v>
      </c>
      <c r="E184">
        <v>1118</v>
      </c>
      <c r="F184">
        <f>IFERROR(VLOOKUP(C184,回款计划!B:E,4,0),0)</f>
        <v>19456</v>
      </c>
      <c r="G184">
        <f>IFERROR(VLOOKUP(C184,回款计划!B:E,5,0),0)</f>
        <v>0</v>
      </c>
      <c r="H184">
        <f>IFERROR(VLOOKUP(C184,回款计划!B:E,6,0),0)</f>
        <v>0</v>
      </c>
      <c r="I184" t="s">
        <v>1635</v>
      </c>
      <c r="J184">
        <v>1118</v>
      </c>
      <c r="K184" t="s">
        <v>1635</v>
      </c>
      <c r="L184">
        <v>0</v>
      </c>
    </row>
    <row r="185" spans="1:12">
      <c r="A185">
        <v>1</v>
      </c>
      <c r="B185" t="s">
        <v>15</v>
      </c>
      <c r="C185" t="s">
        <v>18</v>
      </c>
      <c r="D185" s="12">
        <v>101127311840</v>
      </c>
      <c r="E185">
        <v>1132.33</v>
      </c>
      <c r="F185">
        <f>IFERROR(VLOOKUP(C185,回款计划!B:E,4,0),0)</f>
        <v>49162</v>
      </c>
      <c r="G185">
        <f>IFERROR(VLOOKUP(C185,回款计划!B:E,5,0),0)</f>
        <v>0</v>
      </c>
      <c r="H185">
        <f>IFERROR(VLOOKUP(C185,回款计划!B:E,6,0),0)</f>
        <v>0</v>
      </c>
      <c r="I185" t="s">
        <v>1635</v>
      </c>
      <c r="J185">
        <v>1132.33</v>
      </c>
      <c r="K185" t="s">
        <v>1635</v>
      </c>
      <c r="L185">
        <v>0</v>
      </c>
    </row>
    <row r="186" spans="1:12">
      <c r="A186">
        <v>1</v>
      </c>
      <c r="B186" t="s">
        <v>15</v>
      </c>
      <c r="C186" t="s">
        <v>628</v>
      </c>
      <c r="D186" s="12">
        <v>107112700798</v>
      </c>
      <c r="E186">
        <v>3640</v>
      </c>
      <c r="F186">
        <f>IFERROR(VLOOKUP(C186,回款计划!B:E,4,0),0)</f>
        <v>107767</v>
      </c>
      <c r="G186">
        <f>IFERROR(VLOOKUP(C186,回款计划!B:E,5,0),0)</f>
        <v>0</v>
      </c>
      <c r="H186">
        <f>IFERROR(VLOOKUP(C186,回款计划!B:E,6,0),0)</f>
        <v>0</v>
      </c>
      <c r="I186" t="s">
        <v>1635</v>
      </c>
      <c r="J186">
        <v>3640</v>
      </c>
      <c r="K186" t="s">
        <v>1635</v>
      </c>
      <c r="L186">
        <v>0</v>
      </c>
    </row>
    <row r="187" spans="1:12">
      <c r="A187">
        <v>1</v>
      </c>
      <c r="B187" t="s">
        <v>15</v>
      </c>
      <c r="C187" t="s">
        <v>238</v>
      </c>
      <c r="D187" s="12">
        <v>101130468708</v>
      </c>
      <c r="E187">
        <v>4060</v>
      </c>
      <c r="F187">
        <f>IFERROR(VLOOKUP(C187,回款计划!B:E,4,0),0)</f>
        <v>74625</v>
      </c>
      <c r="G187">
        <f>IFERROR(VLOOKUP(C187,回款计划!B:E,5,0),0)</f>
        <v>0</v>
      </c>
      <c r="H187">
        <f>IFERROR(VLOOKUP(C187,回款计划!B:E,6,0),0)</f>
        <v>0</v>
      </c>
      <c r="I187" t="s">
        <v>1635</v>
      </c>
      <c r="J187">
        <v>4060</v>
      </c>
      <c r="K187" t="s">
        <v>1635</v>
      </c>
      <c r="L187">
        <v>0</v>
      </c>
    </row>
    <row r="188" spans="1:12">
      <c r="A188">
        <v>1</v>
      </c>
      <c r="B188" t="s">
        <v>15</v>
      </c>
      <c r="C188" t="s">
        <v>655</v>
      </c>
      <c r="D188" s="12">
        <v>107112752241</v>
      </c>
      <c r="E188">
        <v>3200</v>
      </c>
      <c r="F188">
        <f>IFERROR(VLOOKUP(C188,回款计划!B:E,4,0),0)</f>
        <v>97000</v>
      </c>
      <c r="G188">
        <f>IFERROR(VLOOKUP(C188,回款计划!B:E,5,0),0)</f>
        <v>0</v>
      </c>
      <c r="H188">
        <f>IFERROR(VLOOKUP(C188,回款计划!B:E,6,0),0)</f>
        <v>0</v>
      </c>
      <c r="I188" t="s">
        <v>1635</v>
      </c>
      <c r="J188">
        <v>3200</v>
      </c>
      <c r="K188" t="s">
        <v>1635</v>
      </c>
      <c r="L188">
        <v>0</v>
      </c>
    </row>
    <row r="189" spans="1:12">
      <c r="A189">
        <v>1</v>
      </c>
      <c r="B189" t="s">
        <v>15</v>
      </c>
      <c r="C189" t="s">
        <v>306</v>
      </c>
      <c r="D189" s="12">
        <v>101131634595</v>
      </c>
      <c r="E189">
        <v>2728</v>
      </c>
      <c r="F189">
        <f>IFERROR(VLOOKUP(C189,回款计划!B:E,4,0),0)</f>
        <v>77921</v>
      </c>
      <c r="G189">
        <f>IFERROR(VLOOKUP(C189,回款计划!B:E,5,0),0)</f>
        <v>0</v>
      </c>
      <c r="H189">
        <f>IFERROR(VLOOKUP(C189,回款计划!B:E,6,0),0)</f>
        <v>0</v>
      </c>
      <c r="I189" t="s">
        <v>1635</v>
      </c>
      <c r="J189">
        <v>2728</v>
      </c>
      <c r="K189" t="s">
        <v>1635</v>
      </c>
      <c r="L189">
        <v>0</v>
      </c>
    </row>
    <row r="190" spans="1:12">
      <c r="A190">
        <v>1</v>
      </c>
      <c r="B190" t="s">
        <v>15</v>
      </c>
      <c r="C190" t="s">
        <v>161</v>
      </c>
      <c r="D190" s="12">
        <v>101129894230</v>
      </c>
      <c r="E190">
        <v>2862</v>
      </c>
      <c r="F190">
        <f>IFERROR(VLOOKUP(C190,回款计划!B:E,4,0),0)</f>
        <v>86000</v>
      </c>
      <c r="G190">
        <f>IFERROR(VLOOKUP(C190,回款计划!B:E,5,0),0)</f>
        <v>0</v>
      </c>
      <c r="H190">
        <f>IFERROR(VLOOKUP(C190,回款计划!B:E,6,0),0)</f>
        <v>0</v>
      </c>
      <c r="I190" t="s">
        <v>1635</v>
      </c>
      <c r="J190">
        <v>2862</v>
      </c>
      <c r="K190" t="s">
        <v>1635</v>
      </c>
      <c r="L190">
        <v>0</v>
      </c>
    </row>
    <row r="191" spans="1:12">
      <c r="A191">
        <v>1</v>
      </c>
      <c r="B191" t="s">
        <v>15</v>
      </c>
      <c r="C191" t="s">
        <v>644</v>
      </c>
      <c r="D191" s="12">
        <v>107112719541</v>
      </c>
      <c r="E191">
        <v>864</v>
      </c>
      <c r="F191">
        <f>IFERROR(VLOOKUP(C191,回款计划!B:E,4,0),0)</f>
        <v>15000</v>
      </c>
      <c r="G191">
        <f>IFERROR(VLOOKUP(C191,回款计划!B:E,5,0),0)</f>
        <v>0</v>
      </c>
      <c r="H191">
        <f>IFERROR(VLOOKUP(C191,回款计划!B:E,6,0),0)</f>
        <v>0</v>
      </c>
      <c r="I191" t="s">
        <v>1635</v>
      </c>
      <c r="J191">
        <v>864</v>
      </c>
      <c r="K191" t="s">
        <v>1635</v>
      </c>
      <c r="L191">
        <v>0</v>
      </c>
    </row>
    <row r="192" spans="1:12">
      <c r="A192">
        <v>1</v>
      </c>
      <c r="B192" t="s">
        <v>15</v>
      </c>
      <c r="C192" t="s">
        <v>562</v>
      </c>
      <c r="D192" s="12">
        <v>107112621527</v>
      </c>
      <c r="E192">
        <v>3780</v>
      </c>
      <c r="F192">
        <f>IFERROR(VLOOKUP(C192,回款计划!B:E,4,0),0)</f>
        <v>119770</v>
      </c>
      <c r="G192">
        <f>IFERROR(VLOOKUP(C192,回款计划!B:E,5,0),0)</f>
        <v>0</v>
      </c>
      <c r="H192">
        <f>IFERROR(VLOOKUP(C192,回款计划!B:E,6,0),0)</f>
        <v>0</v>
      </c>
      <c r="I192" t="s">
        <v>1635</v>
      </c>
      <c r="J192">
        <v>3780</v>
      </c>
      <c r="K192" t="s">
        <v>1635</v>
      </c>
      <c r="L192">
        <v>0</v>
      </c>
    </row>
    <row r="193" spans="1:12">
      <c r="A193">
        <v>1</v>
      </c>
      <c r="B193" t="s">
        <v>15</v>
      </c>
      <c r="C193" t="s">
        <v>183</v>
      </c>
      <c r="D193" s="12">
        <v>101130021966</v>
      </c>
      <c r="E193">
        <v>2924</v>
      </c>
      <c r="F193">
        <f>IFERROR(VLOOKUP(C193,回款计划!B:E,4,0),0)</f>
        <v>87520</v>
      </c>
      <c r="G193">
        <f>IFERROR(VLOOKUP(C193,回款计划!B:E,5,0),0)</f>
        <v>0</v>
      </c>
      <c r="H193">
        <f>IFERROR(VLOOKUP(C193,回款计划!B:E,6,0),0)</f>
        <v>0</v>
      </c>
      <c r="I193" t="s">
        <v>1635</v>
      </c>
      <c r="J193">
        <v>2924</v>
      </c>
      <c r="K193" t="s">
        <v>1635</v>
      </c>
      <c r="L193">
        <v>0</v>
      </c>
    </row>
    <row r="194" spans="1:12">
      <c r="A194">
        <v>1</v>
      </c>
      <c r="B194" t="s">
        <v>15</v>
      </c>
      <c r="C194" t="s">
        <v>193</v>
      </c>
      <c r="D194" s="12">
        <v>101130115346</v>
      </c>
      <c r="E194">
        <v>4725</v>
      </c>
      <c r="F194">
        <f>IFERROR(VLOOKUP(C194,回款计划!B:E,4,0),0)</f>
        <v>88848</v>
      </c>
      <c r="G194">
        <f>IFERROR(VLOOKUP(C194,回款计划!B:E,5,0),0)</f>
        <v>0</v>
      </c>
      <c r="H194">
        <f>IFERROR(VLOOKUP(C194,回款计划!B:E,6,0),0)</f>
        <v>0</v>
      </c>
      <c r="I194" t="s">
        <v>1635</v>
      </c>
      <c r="J194">
        <v>4725</v>
      </c>
      <c r="K194" t="s">
        <v>1635</v>
      </c>
      <c r="L194">
        <v>0</v>
      </c>
    </row>
    <row r="195" spans="1:12">
      <c r="A195">
        <v>1</v>
      </c>
      <c r="B195" t="s">
        <v>15</v>
      </c>
      <c r="C195" t="s">
        <v>552</v>
      </c>
      <c r="D195" s="12">
        <v>107112610123</v>
      </c>
      <c r="E195">
        <v>1428</v>
      </c>
      <c r="F195">
        <f>IFERROR(VLOOKUP(C195,回款计划!B:E,4,0),0)</f>
        <v>25490</v>
      </c>
      <c r="G195">
        <f>IFERROR(VLOOKUP(C195,回款计划!B:E,5,0),0)</f>
        <v>0</v>
      </c>
      <c r="H195">
        <f>IFERROR(VLOOKUP(C195,回款计划!B:E,6,0),0)</f>
        <v>0</v>
      </c>
      <c r="I195" t="s">
        <v>1635</v>
      </c>
      <c r="J195">
        <v>1428</v>
      </c>
      <c r="K195" t="s">
        <v>1635</v>
      </c>
      <c r="L195">
        <v>0</v>
      </c>
    </row>
    <row r="196" spans="1:12">
      <c r="A196">
        <v>1</v>
      </c>
      <c r="B196" t="s">
        <v>15</v>
      </c>
      <c r="C196" t="s">
        <v>65</v>
      </c>
      <c r="D196" s="12">
        <v>101129113001</v>
      </c>
      <c r="E196">
        <v>3800</v>
      </c>
      <c r="F196">
        <f>IFERROR(VLOOKUP(C196,回款计划!B:E,4,0),0)</f>
        <v>106200</v>
      </c>
      <c r="G196">
        <f>IFERROR(VLOOKUP(C196,回款计划!B:E,5,0),0)</f>
        <v>0</v>
      </c>
      <c r="H196">
        <f>IFERROR(VLOOKUP(C196,回款计划!B:E,6,0),0)</f>
        <v>0</v>
      </c>
      <c r="I196" t="s">
        <v>1635</v>
      </c>
      <c r="J196">
        <v>3800</v>
      </c>
      <c r="K196" t="s">
        <v>1635</v>
      </c>
      <c r="L196">
        <v>0</v>
      </c>
    </row>
    <row r="197" spans="1:12">
      <c r="A197">
        <v>1</v>
      </c>
      <c r="B197" t="s">
        <v>15</v>
      </c>
      <c r="C197" t="s">
        <v>250</v>
      </c>
      <c r="D197" s="12">
        <v>101130607995</v>
      </c>
      <c r="E197">
        <v>3432</v>
      </c>
      <c r="F197">
        <f>IFERROR(VLOOKUP(C197,回款计划!B:E,4,0),0)</f>
        <v>120000</v>
      </c>
      <c r="G197">
        <f>IFERROR(VLOOKUP(C197,回款计划!B:E,5,0),0)</f>
        <v>0</v>
      </c>
      <c r="H197">
        <f>IFERROR(VLOOKUP(C197,回款计划!B:E,6,0),0)</f>
        <v>0</v>
      </c>
      <c r="I197" t="s">
        <v>1635</v>
      </c>
      <c r="J197">
        <v>3432</v>
      </c>
      <c r="K197" t="s">
        <v>1635</v>
      </c>
      <c r="L197">
        <v>0</v>
      </c>
    </row>
    <row r="198" spans="1:12">
      <c r="A198">
        <v>1</v>
      </c>
      <c r="B198" t="s">
        <v>15</v>
      </c>
      <c r="C198" t="s">
        <v>467</v>
      </c>
      <c r="D198" s="12">
        <v>107112462651</v>
      </c>
      <c r="E198">
        <v>1320</v>
      </c>
      <c r="F198">
        <f>IFERROR(VLOOKUP(C198,回款计划!B:E,4,0),0)</f>
        <v>22853</v>
      </c>
      <c r="G198">
        <f>IFERROR(VLOOKUP(C198,回款计划!B:E,5,0),0)</f>
        <v>0</v>
      </c>
      <c r="H198">
        <f>IFERROR(VLOOKUP(C198,回款计划!B:E,6,0),0)</f>
        <v>0</v>
      </c>
      <c r="I198" t="s">
        <v>1635</v>
      </c>
      <c r="J198">
        <v>1320</v>
      </c>
      <c r="K198" t="s">
        <v>1635</v>
      </c>
      <c r="L198">
        <v>0</v>
      </c>
    </row>
    <row r="199" spans="1:12">
      <c r="A199">
        <v>1</v>
      </c>
      <c r="B199" t="s">
        <v>15</v>
      </c>
      <c r="C199" t="s">
        <v>270</v>
      </c>
      <c r="D199" s="12">
        <v>101130796627</v>
      </c>
      <c r="E199">
        <v>4872</v>
      </c>
      <c r="F199">
        <f>IFERROR(VLOOKUP(C199,回款计划!B:E,4,0),0)</f>
        <v>121733</v>
      </c>
      <c r="G199">
        <f>IFERROR(VLOOKUP(C199,回款计划!B:E,5,0),0)</f>
        <v>0</v>
      </c>
      <c r="H199">
        <f>IFERROR(VLOOKUP(C199,回款计划!B:E,6,0),0)</f>
        <v>0</v>
      </c>
      <c r="I199" t="s">
        <v>1635</v>
      </c>
      <c r="J199">
        <v>4872</v>
      </c>
      <c r="K199" t="s">
        <v>1635</v>
      </c>
      <c r="L199">
        <v>0</v>
      </c>
    </row>
    <row r="200" spans="1:12">
      <c r="A200">
        <v>1</v>
      </c>
      <c r="B200" t="s">
        <v>15</v>
      </c>
      <c r="C200" t="s">
        <v>276</v>
      </c>
      <c r="D200" s="12">
        <v>101130853603</v>
      </c>
      <c r="E200">
        <v>2960</v>
      </c>
      <c r="F200">
        <f>IFERROR(VLOOKUP(C200,回款计划!B:E,4,0),0)</f>
        <v>82751</v>
      </c>
      <c r="G200">
        <f>IFERROR(VLOOKUP(C200,回款计划!B:E,5,0),0)</f>
        <v>0</v>
      </c>
      <c r="H200">
        <f>IFERROR(VLOOKUP(C200,回款计划!B:E,6,0),0)</f>
        <v>0</v>
      </c>
      <c r="I200" t="s">
        <v>1635</v>
      </c>
      <c r="J200">
        <v>2960</v>
      </c>
      <c r="K200" t="s">
        <v>1635</v>
      </c>
      <c r="L200">
        <v>0</v>
      </c>
    </row>
    <row r="201" spans="1:12">
      <c r="A201">
        <v>1</v>
      </c>
      <c r="B201" t="s">
        <v>15</v>
      </c>
      <c r="C201" t="s">
        <v>497</v>
      </c>
      <c r="D201" s="12">
        <v>107112529588</v>
      </c>
      <c r="E201">
        <v>1679</v>
      </c>
      <c r="F201">
        <f>IFERROR(VLOOKUP(C201,回款计划!B:E,4,0),0)</f>
        <v>30363</v>
      </c>
      <c r="G201">
        <f>IFERROR(VLOOKUP(C201,回款计划!B:E,5,0),0)</f>
        <v>0</v>
      </c>
      <c r="H201">
        <f>IFERROR(VLOOKUP(C201,回款计划!B:E,6,0),0)</f>
        <v>0</v>
      </c>
      <c r="I201" t="s">
        <v>1635</v>
      </c>
      <c r="J201">
        <v>1679</v>
      </c>
      <c r="K201" t="s">
        <v>1635</v>
      </c>
      <c r="L201">
        <v>0</v>
      </c>
    </row>
    <row r="202" spans="1:12">
      <c r="A202">
        <v>1</v>
      </c>
      <c r="B202" t="s">
        <v>15</v>
      </c>
      <c r="C202" t="s">
        <v>592</v>
      </c>
      <c r="D202" s="12">
        <v>107112653144</v>
      </c>
      <c r="E202">
        <v>4466</v>
      </c>
      <c r="F202">
        <f>IFERROR(VLOOKUP(C202,回款计划!B:E,4,0),0)</f>
        <v>135000</v>
      </c>
      <c r="G202">
        <f>IFERROR(VLOOKUP(C202,回款计划!B:E,5,0),0)</f>
        <v>0</v>
      </c>
      <c r="H202">
        <f>IFERROR(VLOOKUP(C202,回款计划!B:E,6,0),0)</f>
        <v>0</v>
      </c>
      <c r="I202" t="s">
        <v>1635</v>
      </c>
      <c r="J202">
        <v>4466</v>
      </c>
      <c r="K202" t="s">
        <v>1635</v>
      </c>
      <c r="L202">
        <v>0</v>
      </c>
    </row>
    <row r="203" spans="1:12">
      <c r="A203">
        <v>1</v>
      </c>
      <c r="B203" t="s">
        <v>15</v>
      </c>
      <c r="C203" t="s">
        <v>75</v>
      </c>
      <c r="D203" s="12">
        <v>101129266919</v>
      </c>
      <c r="E203">
        <v>4108</v>
      </c>
      <c r="F203">
        <f>IFERROR(VLOOKUP(C203,回款计划!B:E,4,0),0)</f>
        <v>75868</v>
      </c>
      <c r="G203">
        <f>IFERROR(VLOOKUP(C203,回款计划!B:E,5,0),0)</f>
        <v>0</v>
      </c>
      <c r="H203">
        <f>IFERROR(VLOOKUP(C203,回款计划!B:E,6,0),0)</f>
        <v>0</v>
      </c>
      <c r="I203" t="s">
        <v>1635</v>
      </c>
      <c r="J203">
        <v>4108</v>
      </c>
      <c r="K203" t="s">
        <v>1635</v>
      </c>
      <c r="L203">
        <v>0</v>
      </c>
    </row>
    <row r="204" spans="1:12">
      <c r="A204">
        <v>1</v>
      </c>
      <c r="B204" t="s">
        <v>15</v>
      </c>
      <c r="C204" t="s">
        <v>181</v>
      </c>
      <c r="D204" s="12">
        <v>101130017111</v>
      </c>
      <c r="E204">
        <v>4600</v>
      </c>
      <c r="F204">
        <f>IFERROR(VLOOKUP(C204,回款计划!B:E,4,0),0)</f>
        <v>84886</v>
      </c>
      <c r="G204">
        <f>IFERROR(VLOOKUP(C204,回款计划!B:E,5,0),0)</f>
        <v>0</v>
      </c>
      <c r="H204">
        <f>IFERROR(VLOOKUP(C204,回款计划!B:E,6,0),0)</f>
        <v>0</v>
      </c>
      <c r="I204" t="s">
        <v>1635</v>
      </c>
      <c r="J204">
        <v>4600</v>
      </c>
      <c r="K204" t="s">
        <v>1635</v>
      </c>
      <c r="L204">
        <v>0</v>
      </c>
    </row>
    <row r="205" spans="1:12">
      <c r="A205">
        <v>1</v>
      </c>
      <c r="B205" t="s">
        <v>15</v>
      </c>
      <c r="C205" t="s">
        <v>804</v>
      </c>
      <c r="D205" s="12">
        <v>107113054965</v>
      </c>
      <c r="E205">
        <v>462</v>
      </c>
      <c r="F205">
        <f>IFERROR(VLOOKUP(C205,回款计划!B:E,4,0),0)</f>
        <v>88000</v>
      </c>
      <c r="G205">
        <f>IFERROR(VLOOKUP(C205,回款计划!B:E,5,0),0)</f>
        <v>0</v>
      </c>
      <c r="H205">
        <f>IFERROR(VLOOKUP(C205,回款计划!B:E,6,0),0)</f>
        <v>0</v>
      </c>
      <c r="I205" t="s">
        <v>1635</v>
      </c>
      <c r="J205">
        <v>462</v>
      </c>
      <c r="K205" t="s">
        <v>1635</v>
      </c>
      <c r="L205">
        <v>0</v>
      </c>
    </row>
    <row r="206" spans="1:12">
      <c r="A206">
        <v>1</v>
      </c>
      <c r="B206" t="s">
        <v>15</v>
      </c>
      <c r="C206" t="s">
        <v>24</v>
      </c>
      <c r="D206" s="12">
        <v>101127626459</v>
      </c>
      <c r="E206">
        <v>3355</v>
      </c>
      <c r="F206">
        <f>IFERROR(VLOOKUP(C206,回款计划!B:E,4,0),0)</f>
        <v>92990</v>
      </c>
      <c r="G206">
        <f>IFERROR(VLOOKUP(C206,回款计划!B:E,5,0),0)</f>
        <v>0</v>
      </c>
      <c r="H206">
        <f>IFERROR(VLOOKUP(C206,回款计划!B:E,6,0),0)</f>
        <v>0</v>
      </c>
      <c r="I206" t="s">
        <v>1635</v>
      </c>
      <c r="J206">
        <v>3355</v>
      </c>
      <c r="K206" t="s">
        <v>1635</v>
      </c>
      <c r="L206">
        <v>0</v>
      </c>
    </row>
    <row r="207" spans="1:12">
      <c r="A207">
        <v>1</v>
      </c>
      <c r="B207" t="s">
        <v>15</v>
      </c>
      <c r="C207" t="s">
        <v>236</v>
      </c>
      <c r="D207" s="12">
        <v>101130447153</v>
      </c>
      <c r="E207">
        <v>2430</v>
      </c>
      <c r="F207">
        <f>IFERROR(VLOOKUP(C207,回款计划!B:E,4,0),0)</f>
        <v>73000</v>
      </c>
      <c r="G207">
        <f>IFERROR(VLOOKUP(C207,回款计划!B:E,5,0),0)</f>
        <v>0</v>
      </c>
      <c r="H207">
        <f>IFERROR(VLOOKUP(C207,回款计划!B:E,6,0),0)</f>
        <v>0</v>
      </c>
      <c r="I207" t="s">
        <v>1635</v>
      </c>
      <c r="J207">
        <v>2430</v>
      </c>
      <c r="K207" t="s">
        <v>1635</v>
      </c>
      <c r="L207">
        <v>0</v>
      </c>
    </row>
    <row r="208" spans="1:12">
      <c r="A208">
        <v>1</v>
      </c>
      <c r="B208" t="s">
        <v>15</v>
      </c>
      <c r="C208" t="s">
        <v>529</v>
      </c>
      <c r="D208" s="12">
        <v>107112590250</v>
      </c>
      <c r="E208">
        <v>2970</v>
      </c>
      <c r="F208">
        <f>IFERROR(VLOOKUP(C208,回款计划!B:E,4,0),0)</f>
        <v>84000</v>
      </c>
      <c r="G208">
        <f>IFERROR(VLOOKUP(C208,回款计划!B:E,5,0),0)</f>
        <v>0</v>
      </c>
      <c r="H208">
        <f>IFERROR(VLOOKUP(C208,回款计划!B:E,6,0),0)</f>
        <v>0</v>
      </c>
      <c r="I208" t="s">
        <v>1635</v>
      </c>
      <c r="J208">
        <v>2970</v>
      </c>
      <c r="K208" t="s">
        <v>1635</v>
      </c>
      <c r="L208">
        <v>0</v>
      </c>
    </row>
    <row r="209" spans="1:12">
      <c r="A209">
        <v>1</v>
      </c>
      <c r="B209" t="s">
        <v>15</v>
      </c>
      <c r="C209" t="s">
        <v>399</v>
      </c>
      <c r="D209" s="12">
        <v>107112290191</v>
      </c>
      <c r="E209">
        <v>3080</v>
      </c>
      <c r="F209">
        <f>IFERROR(VLOOKUP(C209,回款计划!B:E,4,0),0)</f>
        <v>91000</v>
      </c>
      <c r="G209">
        <f>IFERROR(VLOOKUP(C209,回款计划!B:E,5,0),0)</f>
        <v>0</v>
      </c>
      <c r="H209">
        <f>IFERROR(VLOOKUP(C209,回款计划!B:E,6,0),0)</f>
        <v>0</v>
      </c>
      <c r="I209" t="s">
        <v>1635</v>
      </c>
      <c r="J209">
        <v>3080</v>
      </c>
      <c r="K209" t="s">
        <v>1635</v>
      </c>
      <c r="L209">
        <v>0</v>
      </c>
    </row>
    <row r="210" spans="1:12">
      <c r="A210">
        <v>1</v>
      </c>
      <c r="B210" t="s">
        <v>15</v>
      </c>
      <c r="C210" t="s">
        <v>217</v>
      </c>
      <c r="D210" s="12">
        <v>101130228216</v>
      </c>
      <c r="E210">
        <v>2990</v>
      </c>
      <c r="F210">
        <f>IFERROR(VLOOKUP(C210,回款计划!B:E,4,0),0)</f>
        <v>90000</v>
      </c>
      <c r="G210">
        <f>IFERROR(VLOOKUP(C210,回款计划!B:E,5,0),0)</f>
        <v>0</v>
      </c>
      <c r="H210">
        <f>IFERROR(VLOOKUP(C210,回款计划!B:E,6,0),0)</f>
        <v>0</v>
      </c>
      <c r="I210" t="s">
        <v>1635</v>
      </c>
      <c r="J210">
        <v>2990</v>
      </c>
      <c r="K210" t="s">
        <v>1635</v>
      </c>
      <c r="L210">
        <v>0</v>
      </c>
    </row>
    <row r="211" spans="1:12">
      <c r="A211">
        <v>1</v>
      </c>
      <c r="B211" t="s">
        <v>15</v>
      </c>
      <c r="C211" t="s">
        <v>332</v>
      </c>
      <c r="D211" s="12">
        <v>107111940009</v>
      </c>
      <c r="E211">
        <v>3840</v>
      </c>
      <c r="F211">
        <f>IFERROR(VLOOKUP(C211,回款计划!B:E,4,0),0)</f>
        <v>130500</v>
      </c>
      <c r="G211">
        <f>IFERROR(VLOOKUP(C211,回款计划!B:E,5,0),0)</f>
        <v>0</v>
      </c>
      <c r="H211">
        <f>IFERROR(VLOOKUP(C211,回款计划!B:E,6,0),0)</f>
        <v>0</v>
      </c>
      <c r="I211" t="s">
        <v>1635</v>
      </c>
      <c r="J211">
        <v>3840</v>
      </c>
      <c r="K211" t="s">
        <v>1635</v>
      </c>
      <c r="L211">
        <v>0</v>
      </c>
    </row>
    <row r="212" spans="1:12">
      <c r="A212">
        <v>1</v>
      </c>
      <c r="B212" t="s">
        <v>15</v>
      </c>
      <c r="C212" t="s">
        <v>435</v>
      </c>
      <c r="D212" s="12">
        <v>107112361831</v>
      </c>
      <c r="E212">
        <v>826</v>
      </c>
      <c r="F212">
        <f>IFERROR(VLOOKUP(C212,回款计划!B:E,4,0),0)</f>
        <v>22053</v>
      </c>
      <c r="G212">
        <f>IFERROR(VLOOKUP(C212,回款计划!B:E,5,0),0)</f>
        <v>0</v>
      </c>
      <c r="H212">
        <f>IFERROR(VLOOKUP(C212,回款计划!B:E,6,0),0)</f>
        <v>0</v>
      </c>
      <c r="I212" t="s">
        <v>1635</v>
      </c>
      <c r="J212">
        <v>826</v>
      </c>
      <c r="K212" t="s">
        <v>1635</v>
      </c>
      <c r="L212">
        <v>0</v>
      </c>
    </row>
    <row r="213" spans="1:12">
      <c r="A213">
        <v>1</v>
      </c>
      <c r="B213" t="s">
        <v>15</v>
      </c>
      <c r="C213" t="s">
        <v>308</v>
      </c>
      <c r="D213" s="12">
        <v>107106308722</v>
      </c>
      <c r="E213">
        <v>2808</v>
      </c>
      <c r="F213">
        <f>IFERROR(VLOOKUP(C213,回款计划!B:E,4,0),0)</f>
        <v>88414</v>
      </c>
      <c r="G213">
        <f>IFERROR(VLOOKUP(C213,回款计划!B:E,5,0),0)</f>
        <v>0</v>
      </c>
      <c r="H213">
        <f>IFERROR(VLOOKUP(C213,回款计划!B:E,6,0),0)</f>
        <v>0</v>
      </c>
      <c r="I213" t="s">
        <v>1635</v>
      </c>
      <c r="J213">
        <v>2808</v>
      </c>
      <c r="K213" t="s">
        <v>1635</v>
      </c>
      <c r="L213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16BB-F130-6443-B380-ABBD26514948}">
  <dimension ref="A1:L28"/>
  <sheetViews>
    <sheetView workbookViewId="0">
      <selection activeCell="I5" sqref="I5:I22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5" max="6" width="17.1640625" bestFit="1" customWidth="1"/>
    <col min="8" max="8" width="1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322</v>
      </c>
      <c r="D2" s="9">
        <v>107111763962</v>
      </c>
      <c r="E2" s="10">
        <v>1105</v>
      </c>
      <c r="F2">
        <v>19454</v>
      </c>
      <c r="G2" s="5">
        <v>8840</v>
      </c>
      <c r="H2" s="5">
        <v>10614</v>
      </c>
      <c r="I2" t="s">
        <v>1635</v>
      </c>
      <c r="J2" s="10">
        <v>1105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544</v>
      </c>
      <c r="D3" s="9">
        <v>107112602426</v>
      </c>
      <c r="E3" s="10">
        <v>3339</v>
      </c>
      <c r="F3">
        <v>101368</v>
      </c>
      <c r="G3" s="5">
        <v>25493</v>
      </c>
      <c r="H3" s="5">
        <v>75875</v>
      </c>
      <c r="I3" t="s">
        <v>1635</v>
      </c>
      <c r="J3" s="10">
        <v>3339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95</v>
      </c>
      <c r="D4" s="9">
        <v>101129349340</v>
      </c>
      <c r="E4" s="10">
        <v>2700</v>
      </c>
      <c r="F4">
        <v>80000</v>
      </c>
      <c r="G4" s="5">
        <v>21600</v>
      </c>
      <c r="H4" s="5">
        <v>58400</v>
      </c>
      <c r="I4" t="s">
        <v>1635</v>
      </c>
      <c r="J4" s="10">
        <v>2700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600</v>
      </c>
      <c r="D5" s="9">
        <v>107112657404</v>
      </c>
      <c r="E5" s="10">
        <v>4524</v>
      </c>
      <c r="F5">
        <v>136666</v>
      </c>
      <c r="G5" s="5">
        <v>33748</v>
      </c>
      <c r="H5" s="5">
        <v>102918</v>
      </c>
      <c r="I5" t="s">
        <v>1635</v>
      </c>
      <c r="J5" s="10">
        <v>4524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385</v>
      </c>
      <c r="D6" s="9">
        <v>107112246859</v>
      </c>
      <c r="E6" s="10">
        <v>2914</v>
      </c>
      <c r="F6">
        <v>87624</v>
      </c>
      <c r="G6" s="5">
        <v>25192</v>
      </c>
      <c r="H6" s="5">
        <v>62432</v>
      </c>
      <c r="I6" t="s">
        <v>1635</v>
      </c>
      <c r="J6" s="10">
        <v>2914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50</v>
      </c>
      <c r="D7" s="9">
        <v>101128409796</v>
      </c>
      <c r="E7" s="10">
        <v>4853.33</v>
      </c>
      <c r="F7">
        <v>98000</v>
      </c>
      <c r="G7" s="5">
        <v>29119.98</v>
      </c>
      <c r="H7" s="5">
        <v>68880.02</v>
      </c>
      <c r="I7" t="s">
        <v>1635</v>
      </c>
      <c r="J7" s="10">
        <v>4853.33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638</v>
      </c>
      <c r="D8" s="9">
        <v>107112708646</v>
      </c>
      <c r="E8" s="10">
        <v>1273</v>
      </c>
      <c r="F8">
        <v>22732</v>
      </c>
      <c r="G8" s="5">
        <v>10184</v>
      </c>
      <c r="H8" s="5">
        <v>12548</v>
      </c>
      <c r="I8" t="s">
        <v>1635</v>
      </c>
      <c r="J8" s="10">
        <v>1273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421</v>
      </c>
      <c r="D9" s="9">
        <v>107112331524</v>
      </c>
      <c r="E9" s="10">
        <v>4100</v>
      </c>
      <c r="F9">
        <v>70000</v>
      </c>
      <c r="G9" s="5">
        <v>32409</v>
      </c>
      <c r="H9" s="5">
        <v>37591</v>
      </c>
      <c r="I9" t="s">
        <v>1635</v>
      </c>
      <c r="J9" s="10">
        <v>4100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816</v>
      </c>
      <c r="D10" s="9">
        <v>107113116925</v>
      </c>
      <c r="E10" s="10">
        <v>2254</v>
      </c>
      <c r="F10">
        <v>39074</v>
      </c>
      <c r="G10" s="5">
        <v>15414</v>
      </c>
      <c r="H10" s="5">
        <v>23660</v>
      </c>
      <c r="I10" t="s">
        <v>1635</v>
      </c>
      <c r="J10" s="10">
        <v>2254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769</v>
      </c>
      <c r="D11" s="9">
        <v>107112983263</v>
      </c>
      <c r="E11" s="10">
        <v>3420</v>
      </c>
      <c r="F11">
        <v>100900</v>
      </c>
      <c r="G11" s="5">
        <v>22090</v>
      </c>
      <c r="H11" s="5">
        <v>78810</v>
      </c>
      <c r="I11" t="s">
        <v>1635</v>
      </c>
      <c r="J11" s="10">
        <v>3420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822</v>
      </c>
      <c r="D12" s="9">
        <v>107113171713</v>
      </c>
      <c r="E12" s="10">
        <v>1520</v>
      </c>
      <c r="F12">
        <v>77000</v>
      </c>
      <c r="G12" s="5">
        <v>16796</v>
      </c>
      <c r="H12" s="5">
        <v>60204</v>
      </c>
      <c r="I12" t="s">
        <v>1635</v>
      </c>
      <c r="J12" s="10">
        <v>1520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692</v>
      </c>
      <c r="D13" s="9">
        <v>107112813849</v>
      </c>
      <c r="E13" s="10">
        <v>675</v>
      </c>
      <c r="F13">
        <v>16502</v>
      </c>
      <c r="G13" s="5">
        <v>4725</v>
      </c>
      <c r="H13" s="5">
        <v>11777</v>
      </c>
      <c r="I13" t="s">
        <v>1635</v>
      </c>
      <c r="J13" s="10">
        <v>675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350</v>
      </c>
      <c r="D14" s="9">
        <v>107112083173</v>
      </c>
      <c r="E14" s="10">
        <v>2940</v>
      </c>
      <c r="F14">
        <v>90777</v>
      </c>
      <c r="G14" s="5">
        <v>22980</v>
      </c>
      <c r="H14" s="5">
        <v>67797</v>
      </c>
      <c r="I14" t="s">
        <v>1635</v>
      </c>
      <c r="J14" s="10">
        <v>2940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336</v>
      </c>
      <c r="D15" s="9">
        <v>107111984820</v>
      </c>
      <c r="E15" s="10">
        <v>2400</v>
      </c>
      <c r="F15">
        <v>44000</v>
      </c>
      <c r="G15" s="5">
        <v>24000</v>
      </c>
      <c r="H15" s="5">
        <v>20000</v>
      </c>
      <c r="I15" t="s">
        <v>1635</v>
      </c>
      <c r="J15" s="10">
        <v>2400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110</v>
      </c>
      <c r="D16" s="9">
        <v>101129460405</v>
      </c>
      <c r="E16" s="10">
        <v>3901</v>
      </c>
      <c r="F16">
        <v>73000</v>
      </c>
      <c r="G16" s="5">
        <v>30527</v>
      </c>
      <c r="H16" s="5">
        <v>42473</v>
      </c>
      <c r="I16" t="s">
        <v>1635</v>
      </c>
      <c r="J16" s="10">
        <v>3901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69</v>
      </c>
      <c r="D17" s="9">
        <v>101129185442</v>
      </c>
      <c r="E17" s="10">
        <v>2800</v>
      </c>
      <c r="F17">
        <v>95231</v>
      </c>
      <c r="G17" s="5">
        <v>19500</v>
      </c>
      <c r="H17" s="5">
        <v>75731</v>
      </c>
      <c r="I17" t="s">
        <v>1635</v>
      </c>
      <c r="J17" s="10">
        <v>2800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405</v>
      </c>
      <c r="D18" s="9">
        <v>107112299316</v>
      </c>
      <c r="E18" s="10">
        <v>3075</v>
      </c>
      <c r="F18">
        <v>89337</v>
      </c>
      <c r="G18" s="5">
        <v>24600</v>
      </c>
      <c r="H18" s="5">
        <v>64737</v>
      </c>
      <c r="I18" t="s">
        <v>1635</v>
      </c>
      <c r="J18" s="10">
        <v>3075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383</v>
      </c>
      <c r="D19" s="9">
        <v>107112242539</v>
      </c>
      <c r="E19" s="10">
        <v>105</v>
      </c>
      <c r="F19">
        <v>44340</v>
      </c>
      <c r="G19" s="5">
        <v>12320</v>
      </c>
      <c r="H19" s="5">
        <v>32020</v>
      </c>
      <c r="I19" t="s">
        <v>1635</v>
      </c>
      <c r="J19" s="10">
        <v>105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554</v>
      </c>
      <c r="D20" s="9">
        <v>107112610645</v>
      </c>
      <c r="E20" s="10">
        <v>5358</v>
      </c>
      <c r="F20">
        <v>163831</v>
      </c>
      <c r="G20" s="5">
        <v>41216</v>
      </c>
      <c r="H20" s="5">
        <v>122615</v>
      </c>
      <c r="I20" t="s">
        <v>1635</v>
      </c>
      <c r="J20" s="10">
        <v>5358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688</v>
      </c>
      <c r="D21" s="9">
        <v>107112807713</v>
      </c>
      <c r="E21" s="10">
        <v>2937</v>
      </c>
      <c r="F21">
        <v>88800</v>
      </c>
      <c r="G21" s="5">
        <v>18942</v>
      </c>
      <c r="H21" s="5">
        <v>69858</v>
      </c>
      <c r="I21" t="s">
        <v>1635</v>
      </c>
      <c r="J21" s="10">
        <v>2937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453</v>
      </c>
      <c r="D22" s="9">
        <v>107112417266</v>
      </c>
      <c r="E22" s="10">
        <v>1155</v>
      </c>
      <c r="F22">
        <v>20000</v>
      </c>
      <c r="G22" s="5">
        <v>6930</v>
      </c>
      <c r="H22" s="5">
        <v>13070</v>
      </c>
      <c r="I22" t="s">
        <v>1635</v>
      </c>
      <c r="J22" s="10">
        <v>1155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487</v>
      </c>
      <c r="D23" s="9">
        <v>107112499423</v>
      </c>
      <c r="E23" s="10">
        <v>2635.2</v>
      </c>
      <c r="F23">
        <v>77000</v>
      </c>
      <c r="G23" s="5">
        <v>20334.400000000001</v>
      </c>
      <c r="H23" s="5">
        <v>56665.599999999999</v>
      </c>
      <c r="I23" t="s">
        <v>1635</v>
      </c>
      <c r="J23" s="10">
        <v>2635.2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233</v>
      </c>
      <c r="D24" s="9">
        <v>101130428817</v>
      </c>
      <c r="E24" s="10">
        <v>4320</v>
      </c>
      <c r="F24">
        <v>80000</v>
      </c>
      <c r="G24" s="5">
        <v>27840</v>
      </c>
      <c r="H24" s="5">
        <v>52160</v>
      </c>
      <c r="I24" t="s">
        <v>1635</v>
      </c>
      <c r="J24" s="10">
        <v>4320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207</v>
      </c>
      <c r="D25" s="9">
        <v>101130192067</v>
      </c>
      <c r="E25" s="10">
        <v>2360</v>
      </c>
      <c r="F25">
        <v>73000</v>
      </c>
      <c r="G25" s="5">
        <v>16223.33</v>
      </c>
      <c r="H25" s="5">
        <v>56776.67</v>
      </c>
      <c r="I25" t="s">
        <v>1635</v>
      </c>
      <c r="J25" s="10">
        <v>2360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364</v>
      </c>
      <c r="D26" s="9">
        <v>107112191225</v>
      </c>
      <c r="E26" s="10">
        <v>2795</v>
      </c>
      <c r="F26">
        <v>83042</v>
      </c>
      <c r="G26" s="5">
        <v>22360</v>
      </c>
      <c r="H26" s="5">
        <v>60682</v>
      </c>
      <c r="I26" t="s">
        <v>1635</v>
      </c>
      <c r="J26" s="10">
        <v>2795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519</v>
      </c>
      <c r="D27" s="9">
        <v>107112571761</v>
      </c>
      <c r="E27" s="10">
        <v>3630</v>
      </c>
      <c r="F27">
        <v>110000</v>
      </c>
      <c r="G27" s="5">
        <v>26600</v>
      </c>
      <c r="H27" s="5">
        <v>83400</v>
      </c>
      <c r="I27" t="s">
        <v>1635</v>
      </c>
      <c r="J27" s="10">
        <v>3630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634</v>
      </c>
      <c r="D28" s="9">
        <v>107112705537</v>
      </c>
      <c r="E28" s="10">
        <v>1399.92</v>
      </c>
      <c r="F28">
        <v>24606</v>
      </c>
      <c r="G28" s="5">
        <v>12599.28</v>
      </c>
      <c r="H28" s="5">
        <v>12006.72</v>
      </c>
      <c r="I28" t="s">
        <v>1635</v>
      </c>
      <c r="J28" s="10">
        <v>1399.92</v>
      </c>
      <c r="K28" t="s">
        <v>1635</v>
      </c>
      <c r="L28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9F00-27D0-0E48-8AD2-D68598791695}">
  <dimension ref="A1:L99"/>
  <sheetViews>
    <sheetView workbookViewId="0">
      <selection activeCell="K2" sqref="K2:L19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5" max="6" width="17.1640625" bestFit="1" customWidth="1"/>
    <col min="7" max="8" width="15" bestFit="1" customWidth="1"/>
    <col min="9" max="9" width="13" bestFit="1" customWidth="1"/>
    <col min="10" max="10" width="17.1640625" bestFit="1" customWidth="1"/>
    <col min="11" max="11" width="1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127</v>
      </c>
      <c r="D2" s="9">
        <v>101129560839</v>
      </c>
      <c r="E2" s="10">
        <v>3000</v>
      </c>
      <c r="F2">
        <v>89318</v>
      </c>
      <c r="G2" s="5">
        <v>23750</v>
      </c>
      <c r="H2" s="5">
        <v>65568</v>
      </c>
      <c r="I2" t="s">
        <v>1635</v>
      </c>
      <c r="J2" s="13">
        <f>E2</f>
        <v>3000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227</v>
      </c>
      <c r="D3" s="9">
        <v>101130387057</v>
      </c>
      <c r="E3" s="10">
        <v>2652</v>
      </c>
      <c r="F3">
        <v>79976</v>
      </c>
      <c r="G3" s="5">
        <v>18564</v>
      </c>
      <c r="H3" s="5">
        <v>61412</v>
      </c>
      <c r="I3" t="s">
        <v>1635</v>
      </c>
      <c r="J3" s="13">
        <f t="shared" ref="J3:J66" si="0">E3</f>
        <v>2652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661</v>
      </c>
      <c r="D4" s="9">
        <v>107112765285</v>
      </c>
      <c r="E4" s="10">
        <v>4005</v>
      </c>
      <c r="F4">
        <v>121500</v>
      </c>
      <c r="G4" s="5">
        <v>29835</v>
      </c>
      <c r="H4" s="5">
        <v>91665</v>
      </c>
      <c r="I4" t="s">
        <v>1635</v>
      </c>
      <c r="J4" s="13">
        <f t="shared" si="0"/>
        <v>4005</v>
      </c>
      <c r="K4" t="s">
        <v>1635</v>
      </c>
      <c r="L4">
        <v>0</v>
      </c>
    </row>
    <row r="5" spans="1:12">
      <c r="A5">
        <v>1</v>
      </c>
      <c r="B5" t="s">
        <v>15</v>
      </c>
      <c r="C5" s="7" t="s">
        <v>1637</v>
      </c>
      <c r="D5" s="9">
        <v>107112633794</v>
      </c>
      <c r="E5" s="10">
        <v>5880</v>
      </c>
      <c r="F5">
        <v>179000</v>
      </c>
      <c r="G5" s="5">
        <v>42158</v>
      </c>
      <c r="H5" s="5">
        <v>136842</v>
      </c>
      <c r="I5" t="s">
        <v>1635</v>
      </c>
      <c r="J5" s="13">
        <f t="shared" si="0"/>
        <v>5880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171</v>
      </c>
      <c r="D6" s="9">
        <v>101129963777</v>
      </c>
      <c r="E6" s="10">
        <v>5635</v>
      </c>
      <c r="F6">
        <v>169978</v>
      </c>
      <c r="G6" s="5">
        <v>43661.67</v>
      </c>
      <c r="H6" s="5">
        <v>126316.33</v>
      </c>
      <c r="I6" t="s">
        <v>1635</v>
      </c>
      <c r="J6" s="13">
        <f t="shared" si="0"/>
        <v>5635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475</v>
      </c>
      <c r="D7" s="9">
        <v>107112476987</v>
      </c>
      <c r="E7" s="10">
        <v>1566</v>
      </c>
      <c r="F7">
        <v>29297</v>
      </c>
      <c r="G7" s="5">
        <v>12876</v>
      </c>
      <c r="H7" s="5">
        <v>16421</v>
      </c>
      <c r="I7" t="s">
        <v>1635</v>
      </c>
      <c r="J7" s="13">
        <f t="shared" si="0"/>
        <v>1566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751</v>
      </c>
      <c r="D8" s="9">
        <v>107112926715</v>
      </c>
      <c r="E8" s="10">
        <v>3285</v>
      </c>
      <c r="F8">
        <v>95000</v>
      </c>
      <c r="G8" s="5">
        <v>21610</v>
      </c>
      <c r="H8" s="5">
        <v>73390</v>
      </c>
      <c r="I8" t="s">
        <v>1635</v>
      </c>
      <c r="J8" s="13">
        <f t="shared" si="0"/>
        <v>3285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784</v>
      </c>
      <c r="D9" s="9">
        <v>107113008480</v>
      </c>
      <c r="E9" s="10">
        <v>3953</v>
      </c>
      <c r="F9">
        <v>123000</v>
      </c>
      <c r="G9" s="5">
        <v>26398</v>
      </c>
      <c r="H9" s="5">
        <v>96602</v>
      </c>
      <c r="I9" t="s">
        <v>1635</v>
      </c>
      <c r="J9" s="13">
        <f t="shared" si="0"/>
        <v>3953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560</v>
      </c>
      <c r="D10" s="9">
        <v>107112619000</v>
      </c>
      <c r="E10" s="10">
        <v>2900</v>
      </c>
      <c r="F10">
        <v>87000</v>
      </c>
      <c r="G10" s="5">
        <v>18500</v>
      </c>
      <c r="H10" s="5">
        <v>68500</v>
      </c>
      <c r="I10" t="s">
        <v>1635</v>
      </c>
      <c r="J10" s="13">
        <f t="shared" si="0"/>
        <v>2900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594</v>
      </c>
      <c r="D11" s="9">
        <v>107112653316</v>
      </c>
      <c r="E11" s="10">
        <v>2772</v>
      </c>
      <c r="F11">
        <v>84510</v>
      </c>
      <c r="G11" s="5">
        <v>21084</v>
      </c>
      <c r="H11" s="5">
        <v>63426</v>
      </c>
      <c r="I11" t="s">
        <v>1635</v>
      </c>
      <c r="J11" s="13">
        <f t="shared" si="0"/>
        <v>2772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137</v>
      </c>
      <c r="D12" s="9">
        <v>101129645009</v>
      </c>
      <c r="E12" s="10">
        <v>4664</v>
      </c>
      <c r="F12">
        <v>140559</v>
      </c>
      <c r="G12" s="5">
        <v>36168</v>
      </c>
      <c r="H12" s="5">
        <v>104391</v>
      </c>
      <c r="I12" t="s">
        <v>1635</v>
      </c>
      <c r="J12" s="13">
        <f t="shared" si="0"/>
        <v>4664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499</v>
      </c>
      <c r="D13" s="9">
        <v>107112535561</v>
      </c>
      <c r="E13" s="10">
        <v>2856</v>
      </c>
      <c r="F13">
        <v>101346</v>
      </c>
      <c r="G13" s="5">
        <v>20116</v>
      </c>
      <c r="H13" s="5">
        <v>81230</v>
      </c>
      <c r="I13" t="s">
        <v>1635</v>
      </c>
      <c r="J13" s="13">
        <f t="shared" si="0"/>
        <v>2856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61</v>
      </c>
      <c r="D14" s="9">
        <v>101129075952</v>
      </c>
      <c r="E14" s="10">
        <v>2992</v>
      </c>
      <c r="F14">
        <v>93250</v>
      </c>
      <c r="G14" s="5">
        <v>26329.33</v>
      </c>
      <c r="H14" s="5">
        <v>66920.67</v>
      </c>
      <c r="I14" t="s">
        <v>1635</v>
      </c>
      <c r="J14" s="13">
        <f t="shared" si="0"/>
        <v>2992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328</v>
      </c>
      <c r="D15" s="9">
        <v>107111929603</v>
      </c>
      <c r="E15" s="10">
        <v>3780</v>
      </c>
      <c r="F15">
        <v>114888</v>
      </c>
      <c r="G15" s="5">
        <v>32450</v>
      </c>
      <c r="H15" s="5">
        <v>82438</v>
      </c>
      <c r="I15" t="s">
        <v>1635</v>
      </c>
      <c r="J15" s="13">
        <f t="shared" si="0"/>
        <v>3780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195</v>
      </c>
      <c r="D16" s="9">
        <v>101130125068</v>
      </c>
      <c r="E16" s="10">
        <v>2340</v>
      </c>
      <c r="F16">
        <v>69800</v>
      </c>
      <c r="G16" s="5">
        <v>18720</v>
      </c>
      <c r="H16" s="5">
        <v>51080</v>
      </c>
      <c r="I16" t="s">
        <v>1635</v>
      </c>
      <c r="J16" s="13">
        <f t="shared" si="0"/>
        <v>2340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256</v>
      </c>
      <c r="D17" s="9">
        <v>101130634868</v>
      </c>
      <c r="E17" s="10">
        <v>3375</v>
      </c>
      <c r="F17">
        <v>105000</v>
      </c>
      <c r="G17" s="5">
        <v>23625</v>
      </c>
      <c r="H17" s="5">
        <v>81375</v>
      </c>
      <c r="I17" t="s">
        <v>1635</v>
      </c>
      <c r="J17" s="13">
        <f t="shared" si="0"/>
        <v>3375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818</v>
      </c>
      <c r="D18" s="9">
        <v>107113139038</v>
      </c>
      <c r="E18" s="10">
        <v>1189</v>
      </c>
      <c r="F18">
        <v>21735</v>
      </c>
      <c r="G18" s="5">
        <v>7569</v>
      </c>
      <c r="H18" s="5">
        <v>14166</v>
      </c>
      <c r="I18" t="s">
        <v>1635</v>
      </c>
      <c r="J18" s="13">
        <f t="shared" si="0"/>
        <v>1189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59</v>
      </c>
      <c r="D19" s="9">
        <v>101128692234</v>
      </c>
      <c r="E19" s="10">
        <v>4897</v>
      </c>
      <c r="F19">
        <v>87339</v>
      </c>
      <c r="G19" s="5">
        <v>33322.99</v>
      </c>
      <c r="H19" s="5">
        <v>54016.01</v>
      </c>
      <c r="I19" t="s">
        <v>1635</v>
      </c>
      <c r="J19" s="13">
        <f t="shared" si="0"/>
        <v>4897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280</v>
      </c>
      <c r="D20" s="9">
        <v>101130877911</v>
      </c>
      <c r="E20" s="10">
        <v>3180</v>
      </c>
      <c r="F20">
        <v>95000</v>
      </c>
      <c r="G20" s="5">
        <v>21161.67</v>
      </c>
      <c r="H20" s="5">
        <v>73838.33</v>
      </c>
      <c r="I20" t="s">
        <v>1635</v>
      </c>
      <c r="J20" s="13">
        <f t="shared" si="0"/>
        <v>3180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727</v>
      </c>
      <c r="D21" s="9">
        <v>107112887212</v>
      </c>
      <c r="E21" s="10">
        <v>4316</v>
      </c>
      <c r="F21">
        <v>128253</v>
      </c>
      <c r="G21" s="5">
        <v>27976</v>
      </c>
      <c r="H21" s="5">
        <v>100277</v>
      </c>
      <c r="I21" t="s">
        <v>1635</v>
      </c>
      <c r="J21" s="13">
        <f t="shared" si="0"/>
        <v>4316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541</v>
      </c>
      <c r="D22" s="9">
        <v>107112600219</v>
      </c>
      <c r="E22" s="10">
        <v>4290</v>
      </c>
      <c r="F22">
        <v>130000</v>
      </c>
      <c r="G22" s="5">
        <v>32230</v>
      </c>
      <c r="H22" s="5">
        <v>97770</v>
      </c>
      <c r="I22" t="s">
        <v>1635</v>
      </c>
      <c r="J22" s="13">
        <f t="shared" si="0"/>
        <v>4290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111</v>
      </c>
      <c r="D23" s="9">
        <v>101129472286</v>
      </c>
      <c r="E23" s="10">
        <v>2210</v>
      </c>
      <c r="F23">
        <v>78900</v>
      </c>
      <c r="G23" s="5">
        <v>17680</v>
      </c>
      <c r="H23" s="5">
        <v>61220</v>
      </c>
      <c r="I23" t="s">
        <v>1635</v>
      </c>
      <c r="J23" s="13">
        <f t="shared" si="0"/>
        <v>2210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598</v>
      </c>
      <c r="D24" s="9">
        <v>107112656077</v>
      </c>
      <c r="E24" s="10">
        <v>4650</v>
      </c>
      <c r="F24">
        <v>138500</v>
      </c>
      <c r="G24" s="5">
        <v>35130</v>
      </c>
      <c r="H24" s="5">
        <v>103370</v>
      </c>
      <c r="I24" t="s">
        <v>1635</v>
      </c>
      <c r="J24" s="13">
        <f t="shared" si="0"/>
        <v>4650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586</v>
      </c>
      <c r="D25" s="9">
        <v>107112645406</v>
      </c>
      <c r="E25" s="10">
        <v>5280</v>
      </c>
      <c r="F25">
        <v>160380</v>
      </c>
      <c r="G25" s="5">
        <v>39360</v>
      </c>
      <c r="H25" s="5">
        <v>121020</v>
      </c>
      <c r="I25" t="s">
        <v>1635</v>
      </c>
      <c r="J25" s="13">
        <f t="shared" si="0"/>
        <v>5280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48</v>
      </c>
      <c r="D26" s="9">
        <v>101128371669</v>
      </c>
      <c r="E26" s="10">
        <v>4625</v>
      </c>
      <c r="F26">
        <v>166113</v>
      </c>
      <c r="G26" s="5">
        <v>27750</v>
      </c>
      <c r="H26" s="5">
        <v>138363</v>
      </c>
      <c r="I26" t="s">
        <v>1635</v>
      </c>
      <c r="J26" s="13">
        <f t="shared" si="0"/>
        <v>4625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491</v>
      </c>
      <c r="D27" s="9">
        <v>107112509729</v>
      </c>
      <c r="E27" s="10">
        <v>4361</v>
      </c>
      <c r="F27">
        <v>132000</v>
      </c>
      <c r="G27" s="5">
        <v>34432</v>
      </c>
      <c r="H27" s="5">
        <v>97568</v>
      </c>
      <c r="I27" t="s">
        <v>1635</v>
      </c>
      <c r="J27" s="13">
        <f t="shared" si="0"/>
        <v>4361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651</v>
      </c>
      <c r="D28" s="9">
        <v>107112745462</v>
      </c>
      <c r="E28" s="10">
        <v>4875</v>
      </c>
      <c r="F28">
        <v>148000</v>
      </c>
      <c r="G28" s="5">
        <v>36725</v>
      </c>
      <c r="H28" s="5">
        <v>111275</v>
      </c>
      <c r="I28" t="s">
        <v>1635</v>
      </c>
      <c r="J28" s="13">
        <f t="shared" si="0"/>
        <v>4875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573</v>
      </c>
      <c r="D29" s="9">
        <v>107112629770</v>
      </c>
      <c r="E29" s="10">
        <v>1380</v>
      </c>
      <c r="F29">
        <v>25912</v>
      </c>
      <c r="G29" s="5">
        <v>9660</v>
      </c>
      <c r="H29" s="5">
        <v>16252</v>
      </c>
      <c r="I29" t="s">
        <v>1635</v>
      </c>
      <c r="J29" s="13">
        <f t="shared" si="0"/>
        <v>1380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723</v>
      </c>
      <c r="D30" s="9">
        <v>107112885798</v>
      </c>
      <c r="E30" s="10">
        <v>720</v>
      </c>
      <c r="F30">
        <v>100000</v>
      </c>
      <c r="G30" s="5">
        <v>19981.5</v>
      </c>
      <c r="H30" s="5">
        <v>80018.5</v>
      </c>
      <c r="I30" t="s">
        <v>1635</v>
      </c>
      <c r="J30" s="13">
        <f t="shared" si="0"/>
        <v>720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636</v>
      </c>
      <c r="D31" s="9">
        <v>107112707011</v>
      </c>
      <c r="E31" s="10">
        <v>1300</v>
      </c>
      <c r="F31">
        <v>23000</v>
      </c>
      <c r="G31" s="5">
        <v>7800</v>
      </c>
      <c r="H31" s="5">
        <v>15200</v>
      </c>
      <c r="I31" t="s">
        <v>1635</v>
      </c>
      <c r="J31" s="13">
        <f t="shared" si="0"/>
        <v>1300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98</v>
      </c>
      <c r="D32" s="9">
        <v>101129380243</v>
      </c>
      <c r="E32" s="10">
        <v>4977</v>
      </c>
      <c r="F32">
        <v>95275</v>
      </c>
      <c r="G32" s="5">
        <v>38901</v>
      </c>
      <c r="H32" s="5">
        <v>56374</v>
      </c>
      <c r="I32" t="s">
        <v>1635</v>
      </c>
      <c r="J32" s="13">
        <f t="shared" si="0"/>
        <v>4977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707</v>
      </c>
      <c r="D33" s="9">
        <v>107112845911</v>
      </c>
      <c r="E33" s="10">
        <v>3354</v>
      </c>
      <c r="F33">
        <v>103822</v>
      </c>
      <c r="G33" s="5">
        <v>25198</v>
      </c>
      <c r="H33" s="5">
        <v>78624</v>
      </c>
      <c r="I33" t="s">
        <v>1635</v>
      </c>
      <c r="J33" s="13">
        <f t="shared" si="0"/>
        <v>3354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229</v>
      </c>
      <c r="D34" s="9">
        <v>101130388201</v>
      </c>
      <c r="E34" s="10">
        <v>4200</v>
      </c>
      <c r="F34">
        <v>77000</v>
      </c>
      <c r="G34" s="5">
        <v>31700</v>
      </c>
      <c r="H34" s="5">
        <v>45300</v>
      </c>
      <c r="I34" t="s">
        <v>1635</v>
      </c>
      <c r="J34" s="13">
        <f t="shared" si="0"/>
        <v>4200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539</v>
      </c>
      <c r="D35" s="9">
        <v>107112598350</v>
      </c>
      <c r="E35" s="10">
        <v>2745</v>
      </c>
      <c r="F35">
        <v>82476</v>
      </c>
      <c r="G35" s="5">
        <v>21015</v>
      </c>
      <c r="H35" s="5">
        <v>61461</v>
      </c>
      <c r="I35" t="s">
        <v>1635</v>
      </c>
      <c r="J35" s="13">
        <f t="shared" si="0"/>
        <v>2745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431</v>
      </c>
      <c r="D36" s="9">
        <v>107112346319</v>
      </c>
      <c r="E36" s="10">
        <v>4400</v>
      </c>
      <c r="F36">
        <v>159619</v>
      </c>
      <c r="G36" s="5">
        <v>32800</v>
      </c>
      <c r="H36" s="5">
        <v>126819</v>
      </c>
      <c r="I36" t="s">
        <v>1635</v>
      </c>
      <c r="J36" s="13">
        <f t="shared" si="0"/>
        <v>4400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429</v>
      </c>
      <c r="D37" s="9">
        <v>107112343424</v>
      </c>
      <c r="E37" s="10">
        <v>3213</v>
      </c>
      <c r="F37">
        <v>120000</v>
      </c>
      <c r="G37" s="5">
        <v>24911</v>
      </c>
      <c r="H37" s="5">
        <v>95089</v>
      </c>
      <c r="I37" t="s">
        <v>1635</v>
      </c>
      <c r="J37" s="13">
        <f t="shared" si="0"/>
        <v>3213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677</v>
      </c>
      <c r="D38" s="9">
        <v>107112791347</v>
      </c>
      <c r="E38" s="10">
        <v>2576</v>
      </c>
      <c r="F38">
        <v>75768</v>
      </c>
      <c r="G38" s="5">
        <v>19922</v>
      </c>
      <c r="H38" s="5">
        <v>55846</v>
      </c>
      <c r="I38" t="s">
        <v>1635</v>
      </c>
      <c r="J38" s="13">
        <f t="shared" si="0"/>
        <v>2576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564</v>
      </c>
      <c r="D39" s="9">
        <v>107112621534</v>
      </c>
      <c r="E39" s="10">
        <v>1560</v>
      </c>
      <c r="F39">
        <v>27722</v>
      </c>
      <c r="G39" s="5">
        <v>12480</v>
      </c>
      <c r="H39" s="5">
        <v>15242</v>
      </c>
      <c r="I39" t="s">
        <v>1635</v>
      </c>
      <c r="J39" s="13">
        <f t="shared" si="0"/>
        <v>1560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493</v>
      </c>
      <c r="D40" s="9">
        <v>107112516665</v>
      </c>
      <c r="E40" s="10">
        <v>3538</v>
      </c>
      <c r="F40">
        <v>109196</v>
      </c>
      <c r="G40" s="5">
        <v>27086</v>
      </c>
      <c r="H40" s="5">
        <v>82110</v>
      </c>
      <c r="I40" t="s">
        <v>1635</v>
      </c>
      <c r="J40" s="13">
        <f t="shared" si="0"/>
        <v>3538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173</v>
      </c>
      <c r="D41" s="9">
        <v>101129973517</v>
      </c>
      <c r="E41" s="10">
        <v>3024</v>
      </c>
      <c r="F41">
        <v>94861</v>
      </c>
      <c r="G41" s="5">
        <v>22988</v>
      </c>
      <c r="H41" s="5">
        <v>71873</v>
      </c>
      <c r="I41" t="s">
        <v>1635</v>
      </c>
      <c r="J41" s="13">
        <f t="shared" si="0"/>
        <v>3024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615</v>
      </c>
      <c r="D42" s="9">
        <v>107112675513</v>
      </c>
      <c r="E42" s="10">
        <v>2250</v>
      </c>
      <c r="F42">
        <v>68787</v>
      </c>
      <c r="G42" s="5">
        <v>17550</v>
      </c>
      <c r="H42" s="5">
        <v>51237</v>
      </c>
      <c r="I42" t="s">
        <v>1635</v>
      </c>
      <c r="J42" s="13">
        <f t="shared" si="0"/>
        <v>2250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346</v>
      </c>
      <c r="D43" s="9">
        <v>107112083148</v>
      </c>
      <c r="E43" s="10">
        <v>3420</v>
      </c>
      <c r="F43">
        <v>109415</v>
      </c>
      <c r="G43" s="5">
        <v>26240</v>
      </c>
      <c r="H43" s="5">
        <v>83175</v>
      </c>
      <c r="I43" t="s">
        <v>1635</v>
      </c>
      <c r="J43" s="13">
        <f t="shared" si="0"/>
        <v>3420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157</v>
      </c>
      <c r="D44" s="9">
        <v>101129877070</v>
      </c>
      <c r="E44" s="10">
        <v>2970</v>
      </c>
      <c r="F44">
        <v>89244</v>
      </c>
      <c r="G44" s="5">
        <v>23760</v>
      </c>
      <c r="H44" s="5">
        <v>65484</v>
      </c>
      <c r="I44" t="s">
        <v>1635</v>
      </c>
      <c r="J44" s="13">
        <f t="shared" si="0"/>
        <v>2970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304</v>
      </c>
      <c r="D45" s="9">
        <v>101131458617</v>
      </c>
      <c r="E45" s="10">
        <v>2470</v>
      </c>
      <c r="F45">
        <v>74000</v>
      </c>
      <c r="G45" s="5">
        <v>14820</v>
      </c>
      <c r="H45" s="5">
        <v>59180</v>
      </c>
      <c r="I45" t="s">
        <v>1635</v>
      </c>
      <c r="J45" s="13">
        <f t="shared" si="0"/>
        <v>2470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71</v>
      </c>
      <c r="D46" s="9">
        <v>101129228935</v>
      </c>
      <c r="E46" s="10">
        <v>2415</v>
      </c>
      <c r="F46">
        <v>74625</v>
      </c>
      <c r="G46" s="5">
        <v>21332.5</v>
      </c>
      <c r="H46" s="5">
        <v>53292.5</v>
      </c>
      <c r="I46" t="s">
        <v>1635</v>
      </c>
      <c r="J46" s="13">
        <f t="shared" si="0"/>
        <v>2415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481</v>
      </c>
      <c r="D47" s="9">
        <v>107112496680</v>
      </c>
      <c r="E47" s="10">
        <v>4636</v>
      </c>
      <c r="F47">
        <v>141000</v>
      </c>
      <c r="G47" s="5">
        <v>44064</v>
      </c>
      <c r="H47" s="5">
        <v>96936</v>
      </c>
      <c r="I47" t="s">
        <v>1635</v>
      </c>
      <c r="J47" s="13">
        <f t="shared" si="0"/>
        <v>4636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796</v>
      </c>
      <c r="D48" s="9">
        <v>107113030753</v>
      </c>
      <c r="E48" s="10">
        <v>2808</v>
      </c>
      <c r="F48">
        <v>80000</v>
      </c>
      <c r="G48" s="5">
        <v>16220</v>
      </c>
      <c r="H48" s="5">
        <v>63780</v>
      </c>
      <c r="I48" t="s">
        <v>1635</v>
      </c>
      <c r="J48" s="13">
        <f t="shared" si="0"/>
        <v>2808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729</v>
      </c>
      <c r="D49" s="9">
        <v>107112891513</v>
      </c>
      <c r="E49" s="10">
        <v>3168</v>
      </c>
      <c r="F49">
        <v>90580</v>
      </c>
      <c r="G49" s="5">
        <v>21028</v>
      </c>
      <c r="H49" s="5">
        <v>69552</v>
      </c>
      <c r="I49" t="s">
        <v>1635</v>
      </c>
      <c r="J49" s="13">
        <f t="shared" si="0"/>
        <v>3168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640</v>
      </c>
      <c r="D50" s="9">
        <v>107112717053</v>
      </c>
      <c r="E50" s="10">
        <v>2520</v>
      </c>
      <c r="F50">
        <v>76300</v>
      </c>
      <c r="G50" s="5">
        <v>19440</v>
      </c>
      <c r="H50" s="5">
        <v>56860</v>
      </c>
      <c r="I50" t="s">
        <v>1635</v>
      </c>
      <c r="J50" s="13">
        <f t="shared" si="0"/>
        <v>2520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665</v>
      </c>
      <c r="D51" s="9">
        <v>107112775650</v>
      </c>
      <c r="E51" s="10">
        <v>1749</v>
      </c>
      <c r="F51">
        <v>30538</v>
      </c>
      <c r="G51" s="5">
        <v>14388</v>
      </c>
      <c r="H51" s="5">
        <v>16150</v>
      </c>
      <c r="I51" t="s">
        <v>1635</v>
      </c>
      <c r="J51" s="13">
        <f t="shared" si="0"/>
        <v>1749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131</v>
      </c>
      <c r="D52" s="9">
        <v>101129616917</v>
      </c>
      <c r="E52" s="10">
        <v>3250</v>
      </c>
      <c r="F52">
        <v>98883</v>
      </c>
      <c r="G52" s="5">
        <v>25350</v>
      </c>
      <c r="H52" s="5">
        <v>73533</v>
      </c>
      <c r="I52" t="s">
        <v>1635</v>
      </c>
      <c r="J52" s="13">
        <f t="shared" si="0"/>
        <v>3250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244</v>
      </c>
      <c r="D53" s="9">
        <v>101130525509</v>
      </c>
      <c r="E53" s="10">
        <v>6952</v>
      </c>
      <c r="F53">
        <v>120000</v>
      </c>
      <c r="G53" s="5">
        <v>52334</v>
      </c>
      <c r="H53" s="5">
        <v>67666</v>
      </c>
      <c r="I53" t="s">
        <v>1635</v>
      </c>
      <c r="J53" s="13">
        <f t="shared" si="0"/>
        <v>6952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187</v>
      </c>
      <c r="D54" s="9">
        <v>101130065851</v>
      </c>
      <c r="E54" s="10">
        <v>2263</v>
      </c>
      <c r="F54">
        <v>73000</v>
      </c>
      <c r="G54" s="5">
        <v>15369</v>
      </c>
      <c r="H54" s="5">
        <v>57631</v>
      </c>
      <c r="I54" t="s">
        <v>1635</v>
      </c>
      <c r="J54" s="13">
        <f t="shared" si="0"/>
        <v>2263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457</v>
      </c>
      <c r="D55" s="9">
        <v>107112435822</v>
      </c>
      <c r="E55" s="10">
        <v>1763</v>
      </c>
      <c r="F55">
        <v>66238</v>
      </c>
      <c r="G55" s="5">
        <v>15644</v>
      </c>
      <c r="H55" s="5">
        <v>50594</v>
      </c>
      <c r="I55" t="s">
        <v>1635</v>
      </c>
      <c r="J55" s="13">
        <f t="shared" si="0"/>
        <v>1763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125</v>
      </c>
      <c r="D56" s="9">
        <v>101129554327</v>
      </c>
      <c r="E56" s="10">
        <v>2660</v>
      </c>
      <c r="F56">
        <v>84023</v>
      </c>
      <c r="G56" s="5">
        <v>24661.34</v>
      </c>
      <c r="H56" s="5">
        <v>59361.66</v>
      </c>
      <c r="I56" t="s">
        <v>1635</v>
      </c>
      <c r="J56" s="13">
        <f t="shared" si="0"/>
        <v>2660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503</v>
      </c>
      <c r="D57" s="9">
        <v>107112552514</v>
      </c>
      <c r="E57" s="10">
        <v>2912.7</v>
      </c>
      <c r="F57">
        <v>82911</v>
      </c>
      <c r="G57" s="5">
        <v>20388.900000000001</v>
      </c>
      <c r="H57" s="5">
        <v>62522.1</v>
      </c>
      <c r="I57" t="s">
        <v>1635</v>
      </c>
      <c r="J57" s="13">
        <f t="shared" si="0"/>
        <v>2912.7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571</v>
      </c>
      <c r="D58" s="9">
        <v>107112626074</v>
      </c>
      <c r="E58" s="10">
        <v>2271.5</v>
      </c>
      <c r="F58">
        <v>68100</v>
      </c>
      <c r="G58" s="5">
        <v>17460.5</v>
      </c>
      <c r="H58" s="5">
        <v>50639.5</v>
      </c>
      <c r="I58" t="s">
        <v>1635</v>
      </c>
      <c r="J58" s="13">
        <f t="shared" si="0"/>
        <v>2271.5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798</v>
      </c>
      <c r="D59" s="9">
        <v>107113036643</v>
      </c>
      <c r="E59" s="10">
        <v>2205</v>
      </c>
      <c r="F59">
        <v>36744</v>
      </c>
      <c r="G59" s="5">
        <v>15435</v>
      </c>
      <c r="H59" s="5">
        <v>21309</v>
      </c>
      <c r="I59" t="s">
        <v>1635</v>
      </c>
      <c r="J59" s="13">
        <f t="shared" si="0"/>
        <v>2205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28</v>
      </c>
      <c r="D60" s="9">
        <v>101127876784</v>
      </c>
      <c r="E60" s="10">
        <v>4160</v>
      </c>
      <c r="F60">
        <v>74642</v>
      </c>
      <c r="G60" s="5">
        <v>24960</v>
      </c>
      <c r="H60" s="5">
        <v>49682</v>
      </c>
      <c r="I60" t="s">
        <v>1635</v>
      </c>
      <c r="J60" s="13">
        <f t="shared" si="0"/>
        <v>4160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26</v>
      </c>
      <c r="D61" s="9">
        <v>101127687701</v>
      </c>
      <c r="E61" s="10">
        <v>2314</v>
      </c>
      <c r="F61">
        <v>61372</v>
      </c>
      <c r="G61" s="5">
        <v>20178.669999999998</v>
      </c>
      <c r="H61" s="5">
        <v>41193.33</v>
      </c>
      <c r="I61" t="s">
        <v>1635</v>
      </c>
      <c r="J61" s="13">
        <f t="shared" si="0"/>
        <v>2314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370</v>
      </c>
      <c r="D62" s="9">
        <v>107112198165</v>
      </c>
      <c r="E62" s="10">
        <v>2597</v>
      </c>
      <c r="F62">
        <v>77700</v>
      </c>
      <c r="G62" s="5">
        <v>20776</v>
      </c>
      <c r="H62" s="5">
        <v>56924</v>
      </c>
      <c r="I62" t="s">
        <v>1635</v>
      </c>
      <c r="J62" s="13">
        <f t="shared" si="0"/>
        <v>2597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745</v>
      </c>
      <c r="D63" s="9">
        <v>107112914579</v>
      </c>
      <c r="E63" s="10">
        <v>2760</v>
      </c>
      <c r="F63">
        <v>83500</v>
      </c>
      <c r="G63" s="5">
        <v>15400</v>
      </c>
      <c r="H63" s="5">
        <v>68100</v>
      </c>
      <c r="I63" t="s">
        <v>1635</v>
      </c>
      <c r="J63" s="13">
        <f t="shared" si="0"/>
        <v>2760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725</v>
      </c>
      <c r="D64" s="9">
        <v>107112885802</v>
      </c>
      <c r="E64" s="10">
        <v>3531</v>
      </c>
      <c r="F64">
        <v>100000</v>
      </c>
      <c r="G64" s="5">
        <v>19920</v>
      </c>
      <c r="H64" s="5">
        <v>80080</v>
      </c>
      <c r="I64" t="s">
        <v>1635</v>
      </c>
      <c r="J64" s="13">
        <f t="shared" si="0"/>
        <v>3531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427</v>
      </c>
      <c r="D65" s="9">
        <v>107112336393</v>
      </c>
      <c r="E65" s="10">
        <v>4200</v>
      </c>
      <c r="F65">
        <v>151204</v>
      </c>
      <c r="G65" s="5">
        <v>32200</v>
      </c>
      <c r="H65" s="5">
        <v>119004</v>
      </c>
      <c r="I65" t="s">
        <v>1635</v>
      </c>
      <c r="J65" s="13">
        <f t="shared" si="0"/>
        <v>4200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415</v>
      </c>
      <c r="D66" s="9">
        <v>107112318319</v>
      </c>
      <c r="E66" s="10">
        <v>1632</v>
      </c>
      <c r="F66">
        <v>46731</v>
      </c>
      <c r="G66" s="5">
        <v>13056</v>
      </c>
      <c r="H66" s="5">
        <v>33675</v>
      </c>
      <c r="I66" t="s">
        <v>1635</v>
      </c>
      <c r="J66" s="13">
        <f t="shared" si="0"/>
        <v>1632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694</v>
      </c>
      <c r="D67" s="9">
        <v>107112817606</v>
      </c>
      <c r="E67" s="10">
        <v>1320</v>
      </c>
      <c r="F67">
        <v>26600</v>
      </c>
      <c r="G67" s="5">
        <v>10560</v>
      </c>
      <c r="H67" s="5">
        <v>16040</v>
      </c>
      <c r="I67" t="s">
        <v>1635</v>
      </c>
      <c r="J67" s="13">
        <f t="shared" ref="J67:J99" si="1">E67</f>
        <v>1320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459</v>
      </c>
      <c r="D68" s="9">
        <v>107112444178</v>
      </c>
      <c r="E68" s="10">
        <v>4018</v>
      </c>
      <c r="F68">
        <v>118888</v>
      </c>
      <c r="G68" s="5">
        <v>27488</v>
      </c>
      <c r="H68" s="5">
        <v>91400</v>
      </c>
      <c r="I68" t="s">
        <v>1635</v>
      </c>
      <c r="J68" s="13">
        <f t="shared" si="1"/>
        <v>4018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489</v>
      </c>
      <c r="D69" s="9">
        <v>107112504607</v>
      </c>
      <c r="E69" s="10">
        <v>1650</v>
      </c>
      <c r="F69">
        <v>28225</v>
      </c>
      <c r="G69" s="5">
        <v>13200</v>
      </c>
      <c r="H69" s="5">
        <v>15025</v>
      </c>
      <c r="I69" t="s">
        <v>1635</v>
      </c>
      <c r="J69" s="13">
        <f t="shared" si="1"/>
        <v>1650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477</v>
      </c>
      <c r="D70" s="9">
        <v>107112479350</v>
      </c>
      <c r="E70" s="10">
        <v>2880</v>
      </c>
      <c r="F70">
        <v>90000</v>
      </c>
      <c r="G70" s="5">
        <v>19100</v>
      </c>
      <c r="H70" s="5">
        <v>70900</v>
      </c>
      <c r="I70" t="s">
        <v>1635</v>
      </c>
      <c r="J70" s="13">
        <f t="shared" si="1"/>
        <v>2880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258</v>
      </c>
      <c r="D71" s="9">
        <v>101130673207</v>
      </c>
      <c r="E71" s="10">
        <v>4307</v>
      </c>
      <c r="F71">
        <v>79553</v>
      </c>
      <c r="G71" s="5">
        <v>28518.67</v>
      </c>
      <c r="H71" s="5">
        <v>51034.33</v>
      </c>
      <c r="I71" t="s">
        <v>1635</v>
      </c>
      <c r="J71" s="13">
        <f t="shared" si="1"/>
        <v>4307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51</v>
      </c>
      <c r="D72" s="9">
        <v>101128568095</v>
      </c>
      <c r="E72" s="10">
        <v>5035</v>
      </c>
      <c r="F72">
        <v>149000</v>
      </c>
      <c r="G72" s="5">
        <v>30210</v>
      </c>
      <c r="H72" s="5">
        <v>118790</v>
      </c>
      <c r="I72" t="s">
        <v>1635</v>
      </c>
      <c r="J72" s="13">
        <f t="shared" si="1"/>
        <v>5035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669</v>
      </c>
      <c r="D73" s="9">
        <v>107112779353</v>
      </c>
      <c r="E73" s="10">
        <v>3834</v>
      </c>
      <c r="F73">
        <v>111671</v>
      </c>
      <c r="G73" s="5">
        <v>29098</v>
      </c>
      <c r="H73" s="5">
        <v>82573</v>
      </c>
      <c r="I73" t="s">
        <v>1635</v>
      </c>
      <c r="J73" s="13">
        <f t="shared" si="1"/>
        <v>3834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749</v>
      </c>
      <c r="D74" s="9">
        <v>107112925365</v>
      </c>
      <c r="E74" s="10">
        <v>2760</v>
      </c>
      <c r="F74">
        <v>81657</v>
      </c>
      <c r="G74" s="5">
        <v>18450</v>
      </c>
      <c r="H74" s="5">
        <v>63207</v>
      </c>
      <c r="I74" t="s">
        <v>1635</v>
      </c>
      <c r="J74" s="13">
        <f t="shared" si="1"/>
        <v>2760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403</v>
      </c>
      <c r="D75" s="9">
        <v>107112295553</v>
      </c>
      <c r="E75" s="10">
        <v>2990</v>
      </c>
      <c r="F75">
        <v>107000</v>
      </c>
      <c r="G75" s="5">
        <v>23530</v>
      </c>
      <c r="H75" s="5">
        <v>83470</v>
      </c>
      <c r="I75" t="s">
        <v>1635</v>
      </c>
      <c r="J75" s="13">
        <f t="shared" si="1"/>
        <v>2990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42</v>
      </c>
      <c r="D76" s="9">
        <v>101128209038</v>
      </c>
      <c r="E76" s="10">
        <v>2000</v>
      </c>
      <c r="F76">
        <v>55000</v>
      </c>
      <c r="G76" s="5">
        <v>16000</v>
      </c>
      <c r="H76" s="5">
        <v>39000</v>
      </c>
      <c r="I76" t="s">
        <v>1635</v>
      </c>
      <c r="J76" s="13">
        <f t="shared" si="1"/>
        <v>2000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684</v>
      </c>
      <c r="D77" s="9">
        <v>107112803579</v>
      </c>
      <c r="E77" s="10">
        <v>2225</v>
      </c>
      <c r="F77">
        <v>67500</v>
      </c>
      <c r="G77" s="5">
        <v>12125</v>
      </c>
      <c r="H77" s="5">
        <v>55375</v>
      </c>
      <c r="I77" t="s">
        <v>1635</v>
      </c>
      <c r="J77" s="13">
        <f t="shared" si="1"/>
        <v>2225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617</v>
      </c>
      <c r="D78" s="9">
        <v>107112677870</v>
      </c>
      <c r="E78" s="10">
        <v>2470</v>
      </c>
      <c r="F78">
        <v>73000</v>
      </c>
      <c r="G78" s="5">
        <v>17290</v>
      </c>
      <c r="H78" s="5">
        <v>55710</v>
      </c>
      <c r="I78" t="s">
        <v>1635</v>
      </c>
      <c r="J78" s="13">
        <f t="shared" si="1"/>
        <v>2470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356</v>
      </c>
      <c r="D79" s="9">
        <v>107112136965</v>
      </c>
      <c r="E79" s="10">
        <v>4176</v>
      </c>
      <c r="F79">
        <v>126800</v>
      </c>
      <c r="G79" s="5">
        <v>35228</v>
      </c>
      <c r="H79" s="5">
        <v>91572</v>
      </c>
      <c r="I79" t="s">
        <v>1635</v>
      </c>
      <c r="J79" s="13">
        <f t="shared" si="1"/>
        <v>4176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513</v>
      </c>
      <c r="D80" s="9">
        <v>107112562410</v>
      </c>
      <c r="E80" s="10">
        <v>2565</v>
      </c>
      <c r="F80">
        <v>78200</v>
      </c>
      <c r="G80" s="5">
        <v>19755</v>
      </c>
      <c r="H80" s="5">
        <v>58445</v>
      </c>
      <c r="I80" t="s">
        <v>1635</v>
      </c>
      <c r="J80" s="13">
        <f t="shared" si="1"/>
        <v>2565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387</v>
      </c>
      <c r="D81" s="9">
        <v>107112250944</v>
      </c>
      <c r="E81" s="10">
        <v>2204</v>
      </c>
      <c r="F81">
        <v>78213</v>
      </c>
      <c r="G81" s="5">
        <v>19690</v>
      </c>
      <c r="H81" s="5">
        <v>58523</v>
      </c>
      <c r="I81" t="s">
        <v>1635</v>
      </c>
      <c r="J81" s="13">
        <f t="shared" si="1"/>
        <v>2204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225</v>
      </c>
      <c r="D82" s="9">
        <v>101130380821</v>
      </c>
      <c r="E82" s="10">
        <v>4860</v>
      </c>
      <c r="F82">
        <v>92000</v>
      </c>
      <c r="G82" s="5">
        <v>36230</v>
      </c>
      <c r="H82" s="5">
        <v>55770</v>
      </c>
      <c r="I82" t="s">
        <v>1635</v>
      </c>
      <c r="J82" s="13">
        <f t="shared" si="1"/>
        <v>4860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507</v>
      </c>
      <c r="D83" s="9">
        <v>107112553051</v>
      </c>
      <c r="E83" s="10">
        <v>3480</v>
      </c>
      <c r="F83">
        <v>105075</v>
      </c>
      <c r="G83" s="5">
        <v>25960</v>
      </c>
      <c r="H83" s="5">
        <v>79115</v>
      </c>
      <c r="I83" t="s">
        <v>1635</v>
      </c>
      <c r="J83" s="13">
        <f t="shared" si="1"/>
        <v>3480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509</v>
      </c>
      <c r="D84" s="9">
        <v>107112556607</v>
      </c>
      <c r="E84" s="10">
        <v>3922</v>
      </c>
      <c r="F84">
        <v>119603</v>
      </c>
      <c r="G84" s="5">
        <v>29574</v>
      </c>
      <c r="H84" s="5">
        <v>90029</v>
      </c>
      <c r="I84" t="s">
        <v>1635</v>
      </c>
      <c r="J84" s="13">
        <f t="shared" si="1"/>
        <v>3922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717</v>
      </c>
      <c r="D85" s="9">
        <v>107112873012</v>
      </c>
      <c r="E85" s="10">
        <v>4959</v>
      </c>
      <c r="F85">
        <v>142410</v>
      </c>
      <c r="G85" s="5">
        <v>28505</v>
      </c>
      <c r="H85" s="5">
        <v>113905</v>
      </c>
      <c r="I85" t="s">
        <v>1635</v>
      </c>
      <c r="J85" s="13">
        <f t="shared" si="1"/>
        <v>4959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761</v>
      </c>
      <c r="D86" s="9">
        <v>107112954373</v>
      </c>
      <c r="E86" s="10">
        <v>3550</v>
      </c>
      <c r="F86">
        <v>105700</v>
      </c>
      <c r="G86" s="5">
        <v>19750</v>
      </c>
      <c r="H86" s="5">
        <v>85950</v>
      </c>
      <c r="I86" t="s">
        <v>1635</v>
      </c>
      <c r="J86" s="13">
        <f t="shared" si="1"/>
        <v>3550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443</v>
      </c>
      <c r="D87" s="9">
        <v>107112384912</v>
      </c>
      <c r="E87" s="10">
        <v>2914</v>
      </c>
      <c r="F87">
        <v>84000</v>
      </c>
      <c r="G87" s="5">
        <v>22378</v>
      </c>
      <c r="H87" s="5">
        <v>61622</v>
      </c>
      <c r="I87" t="s">
        <v>1635</v>
      </c>
      <c r="J87" s="13">
        <f t="shared" si="1"/>
        <v>2914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141</v>
      </c>
      <c r="D88" s="9">
        <v>101129685066</v>
      </c>
      <c r="E88" s="10">
        <v>5382</v>
      </c>
      <c r="F88">
        <v>98888</v>
      </c>
      <c r="G88" s="5">
        <v>40534</v>
      </c>
      <c r="H88" s="5">
        <v>58354</v>
      </c>
      <c r="I88" t="s">
        <v>1635</v>
      </c>
      <c r="J88" s="13">
        <f t="shared" si="1"/>
        <v>5382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533</v>
      </c>
      <c r="D89" s="9">
        <v>107112590746</v>
      </c>
      <c r="E89" s="10">
        <v>1250</v>
      </c>
      <c r="F89">
        <v>22478</v>
      </c>
      <c r="G89" s="5">
        <v>10000</v>
      </c>
      <c r="H89" s="5">
        <v>12478</v>
      </c>
      <c r="I89" t="s">
        <v>1635</v>
      </c>
      <c r="J89" s="13">
        <f t="shared" si="1"/>
        <v>1250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205</v>
      </c>
      <c r="D90" s="9">
        <v>101130189018</v>
      </c>
      <c r="E90" s="10">
        <v>5805</v>
      </c>
      <c r="F90">
        <v>172980</v>
      </c>
      <c r="G90" s="5">
        <v>39030</v>
      </c>
      <c r="H90" s="5">
        <v>133950</v>
      </c>
      <c r="I90" t="s">
        <v>1635</v>
      </c>
      <c r="J90" s="13">
        <f t="shared" si="1"/>
        <v>5805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34</v>
      </c>
      <c r="D91" s="9">
        <v>101128199395</v>
      </c>
      <c r="E91" s="10">
        <v>3709.8</v>
      </c>
      <c r="F91">
        <v>109806</v>
      </c>
      <c r="G91" s="5">
        <v>35107.53</v>
      </c>
      <c r="H91" s="5">
        <v>74698.47</v>
      </c>
      <c r="I91" t="s">
        <v>1635</v>
      </c>
      <c r="J91" s="13">
        <f t="shared" si="1"/>
        <v>3709.8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246</v>
      </c>
      <c r="D92" s="9">
        <v>101130532169</v>
      </c>
      <c r="E92" s="10">
        <v>2756</v>
      </c>
      <c r="F92">
        <v>83985</v>
      </c>
      <c r="G92" s="5">
        <v>18442.669999999998</v>
      </c>
      <c r="H92" s="5">
        <v>65542.33</v>
      </c>
      <c r="I92" t="s">
        <v>1635</v>
      </c>
      <c r="J92" s="13">
        <f t="shared" si="1"/>
        <v>2756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139</v>
      </c>
      <c r="D93" s="9">
        <v>101129684632</v>
      </c>
      <c r="E93" s="10">
        <v>5382</v>
      </c>
      <c r="F93">
        <v>98888</v>
      </c>
      <c r="G93" s="5">
        <v>40534</v>
      </c>
      <c r="H93" s="5">
        <v>58354</v>
      </c>
      <c r="I93" t="s">
        <v>1635</v>
      </c>
      <c r="J93" s="13">
        <f t="shared" si="1"/>
        <v>5382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44</v>
      </c>
      <c r="D94" s="9">
        <v>101128209044</v>
      </c>
      <c r="E94" s="10">
        <v>1456</v>
      </c>
      <c r="F94">
        <v>43600</v>
      </c>
      <c r="G94" s="5">
        <v>11648</v>
      </c>
      <c r="H94" s="5">
        <v>31952</v>
      </c>
      <c r="I94" t="s">
        <v>1635</v>
      </c>
      <c r="J94" s="13">
        <f t="shared" si="1"/>
        <v>1456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211</v>
      </c>
      <c r="D95" s="9">
        <v>101130206941</v>
      </c>
      <c r="E95" s="10">
        <v>1900</v>
      </c>
      <c r="F95">
        <v>55200</v>
      </c>
      <c r="G95" s="5">
        <v>14890</v>
      </c>
      <c r="H95" s="5">
        <v>40310</v>
      </c>
      <c r="I95" t="s">
        <v>1635</v>
      </c>
      <c r="J95" s="13">
        <f t="shared" si="1"/>
        <v>1900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527</v>
      </c>
      <c r="D96" s="9">
        <v>107112587852</v>
      </c>
      <c r="E96" s="10">
        <v>4575</v>
      </c>
      <c r="F96">
        <v>135731</v>
      </c>
      <c r="G96" s="5">
        <v>35075</v>
      </c>
      <c r="H96" s="5">
        <v>100656</v>
      </c>
      <c r="I96" t="s">
        <v>1635</v>
      </c>
      <c r="J96" s="13">
        <f t="shared" si="1"/>
        <v>4575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776</v>
      </c>
      <c r="D97" s="9">
        <v>107112992648</v>
      </c>
      <c r="E97" s="10">
        <v>4422.6000000000004</v>
      </c>
      <c r="F97">
        <v>125989</v>
      </c>
      <c r="G97" s="5">
        <v>24427</v>
      </c>
      <c r="H97" s="5">
        <v>101562</v>
      </c>
      <c r="I97" t="s">
        <v>1635</v>
      </c>
      <c r="J97" s="13">
        <f t="shared" si="1"/>
        <v>4422.6000000000004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413</v>
      </c>
      <c r="D98" s="9">
        <v>107112316953</v>
      </c>
      <c r="E98" s="10">
        <v>1734</v>
      </c>
      <c r="F98">
        <v>50000</v>
      </c>
      <c r="G98" s="5">
        <v>15606</v>
      </c>
      <c r="H98" s="5">
        <v>34394</v>
      </c>
      <c r="I98" t="s">
        <v>1635</v>
      </c>
      <c r="J98" s="13">
        <f t="shared" si="1"/>
        <v>1734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401</v>
      </c>
      <c r="D99" s="9">
        <v>107112290433</v>
      </c>
      <c r="E99" s="10">
        <v>3536</v>
      </c>
      <c r="F99">
        <v>121325</v>
      </c>
      <c r="G99" s="5">
        <v>28288</v>
      </c>
      <c r="H99" s="5">
        <v>93037</v>
      </c>
      <c r="I99" t="s">
        <v>1635</v>
      </c>
      <c r="J99" s="13">
        <f t="shared" si="1"/>
        <v>3536</v>
      </c>
      <c r="K99" t="s">
        <v>1635</v>
      </c>
      <c r="L99"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C391-1426-CD41-AB1A-92CCEC66E55B}">
  <dimension ref="A1:L105"/>
  <sheetViews>
    <sheetView workbookViewId="0">
      <selection activeCell="K2" sqref="K2:L14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5" max="6" width="17.1640625" bestFit="1" customWidth="1"/>
    <col min="7" max="8" width="15" bestFit="1" customWidth="1"/>
    <col min="9" max="9" width="13" bestFit="1" customWidth="1"/>
    <col min="10" max="10" width="17.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575</v>
      </c>
      <c r="D2" s="9">
        <v>107112633046</v>
      </c>
      <c r="E2" s="10">
        <v>1800</v>
      </c>
      <c r="F2">
        <v>78888</v>
      </c>
      <c r="G2" s="5">
        <v>16650</v>
      </c>
      <c r="H2" s="5">
        <v>62238</v>
      </c>
      <c r="I2" t="s">
        <v>1635</v>
      </c>
      <c r="J2" s="10">
        <v>1800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497</v>
      </c>
      <c r="D3" s="9">
        <v>107112529588</v>
      </c>
      <c r="E3" s="10">
        <v>1679</v>
      </c>
      <c r="F3">
        <v>30363</v>
      </c>
      <c r="G3" s="5">
        <v>15111</v>
      </c>
      <c r="H3" s="5">
        <v>15252</v>
      </c>
      <c r="I3" t="s">
        <v>1635</v>
      </c>
      <c r="J3" s="10">
        <v>1679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463</v>
      </c>
      <c r="D4" s="9">
        <v>107112456127</v>
      </c>
      <c r="E4" s="10">
        <v>3692</v>
      </c>
      <c r="F4">
        <v>112197</v>
      </c>
      <c r="G4" s="5">
        <v>31616</v>
      </c>
      <c r="H4" s="5">
        <v>80581</v>
      </c>
      <c r="I4" t="s">
        <v>1635</v>
      </c>
      <c r="J4" s="10">
        <v>3692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36</v>
      </c>
      <c r="D5" s="9">
        <v>101128199843</v>
      </c>
      <c r="E5" s="10">
        <v>3200</v>
      </c>
      <c r="F5">
        <v>93677</v>
      </c>
      <c r="G5" s="5">
        <v>19200</v>
      </c>
      <c r="H5" s="5">
        <v>74477</v>
      </c>
      <c r="I5" t="s">
        <v>1635</v>
      </c>
      <c r="J5" s="10">
        <v>3200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377</v>
      </c>
      <c r="D6" s="9">
        <v>107112217965</v>
      </c>
      <c r="E6" s="10">
        <v>2200</v>
      </c>
      <c r="F6">
        <v>66000</v>
      </c>
      <c r="G6" s="5">
        <v>19200</v>
      </c>
      <c r="H6" s="5">
        <v>46800</v>
      </c>
      <c r="I6" t="s">
        <v>1635</v>
      </c>
      <c r="J6" s="10">
        <v>2200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270</v>
      </c>
      <c r="D7" s="9">
        <v>101130796627</v>
      </c>
      <c r="E7" s="10">
        <v>4872</v>
      </c>
      <c r="F7">
        <v>121733</v>
      </c>
      <c r="G7" s="5">
        <v>37584</v>
      </c>
      <c r="H7" s="5">
        <v>84149</v>
      </c>
      <c r="I7" t="s">
        <v>1635</v>
      </c>
      <c r="J7" s="10">
        <v>4872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757</v>
      </c>
      <c r="D8" s="9">
        <v>107112950619</v>
      </c>
      <c r="E8" s="10">
        <v>4980</v>
      </c>
      <c r="F8">
        <v>143403</v>
      </c>
      <c r="G8" s="5">
        <v>32380</v>
      </c>
      <c r="H8" s="5">
        <v>111023</v>
      </c>
      <c r="I8" t="s">
        <v>1635</v>
      </c>
      <c r="J8" s="10">
        <v>4980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739</v>
      </c>
      <c r="D9" s="9">
        <v>107112901979</v>
      </c>
      <c r="E9" s="10">
        <v>5040</v>
      </c>
      <c r="F9">
        <v>149690</v>
      </c>
      <c r="G9" s="5">
        <v>33301</v>
      </c>
      <c r="H9" s="5">
        <v>116389</v>
      </c>
      <c r="I9" t="s">
        <v>1635</v>
      </c>
      <c r="J9" s="10">
        <v>5040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151</v>
      </c>
      <c r="D10" s="9">
        <v>101129734313</v>
      </c>
      <c r="E10" s="10">
        <v>4352</v>
      </c>
      <c r="F10">
        <v>79477</v>
      </c>
      <c r="G10" s="5">
        <v>30742</v>
      </c>
      <c r="H10" s="5">
        <v>48735</v>
      </c>
      <c r="I10" t="s">
        <v>1635</v>
      </c>
      <c r="J10" s="10">
        <v>4352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780</v>
      </c>
      <c r="D11" s="9">
        <v>107113004258</v>
      </c>
      <c r="E11" s="10">
        <v>4500</v>
      </c>
      <c r="F11">
        <v>106935</v>
      </c>
      <c r="G11" s="5">
        <v>33600</v>
      </c>
      <c r="H11" s="5">
        <v>73335</v>
      </c>
      <c r="I11" t="s">
        <v>1635</v>
      </c>
      <c r="J11" s="10">
        <v>4500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419</v>
      </c>
      <c r="D12" s="9">
        <v>107112328931</v>
      </c>
      <c r="E12" s="10">
        <v>476</v>
      </c>
      <c r="F12">
        <v>8410</v>
      </c>
      <c r="G12" s="5">
        <v>4284</v>
      </c>
      <c r="H12" s="5">
        <v>4126</v>
      </c>
      <c r="I12" t="s">
        <v>1635</v>
      </c>
      <c r="J12" s="10">
        <v>476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814</v>
      </c>
      <c r="D13" s="9">
        <v>107113106536</v>
      </c>
      <c r="E13" s="10">
        <v>1520</v>
      </c>
      <c r="F13">
        <v>27939</v>
      </c>
      <c r="G13" s="5">
        <v>10640</v>
      </c>
      <c r="H13" s="5">
        <v>17299</v>
      </c>
      <c r="I13" t="s">
        <v>1635</v>
      </c>
      <c r="J13" s="10">
        <v>1520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296</v>
      </c>
      <c r="D14" s="9">
        <v>101131064033</v>
      </c>
      <c r="E14" s="10">
        <v>2970</v>
      </c>
      <c r="F14">
        <v>82153</v>
      </c>
      <c r="G14" s="5">
        <v>20790</v>
      </c>
      <c r="H14" s="5">
        <v>61363</v>
      </c>
      <c r="I14" t="s">
        <v>1635</v>
      </c>
      <c r="J14" s="10">
        <v>2970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582</v>
      </c>
      <c r="D15" s="9">
        <v>107112640722</v>
      </c>
      <c r="E15" s="10">
        <v>2236</v>
      </c>
      <c r="F15">
        <v>67000</v>
      </c>
      <c r="G15" s="5">
        <v>17372</v>
      </c>
      <c r="H15" s="5">
        <v>49628</v>
      </c>
      <c r="I15" t="s">
        <v>1635</v>
      </c>
      <c r="J15" s="10">
        <v>2236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771</v>
      </c>
      <c r="D16" s="9">
        <v>107112988971</v>
      </c>
      <c r="E16" s="10">
        <v>5325</v>
      </c>
      <c r="F16">
        <v>158407</v>
      </c>
      <c r="G16" s="5">
        <v>34950</v>
      </c>
      <c r="H16" s="5">
        <v>123457</v>
      </c>
      <c r="I16" t="s">
        <v>1635</v>
      </c>
      <c r="J16" s="10">
        <v>5325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163</v>
      </c>
      <c r="D17" s="9">
        <v>101129909458</v>
      </c>
      <c r="E17" s="10">
        <v>2964</v>
      </c>
      <c r="F17">
        <v>97065</v>
      </c>
      <c r="G17" s="5">
        <v>20270.669999999998</v>
      </c>
      <c r="H17" s="5">
        <v>76794.33</v>
      </c>
      <c r="I17" t="s">
        <v>1635</v>
      </c>
      <c r="J17" s="10">
        <v>2964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469</v>
      </c>
      <c r="D18" s="9">
        <v>107112464864</v>
      </c>
      <c r="E18" s="10">
        <v>2736</v>
      </c>
      <c r="F18">
        <v>89000</v>
      </c>
      <c r="G18" s="5">
        <v>14442</v>
      </c>
      <c r="H18" s="5">
        <v>74558</v>
      </c>
      <c r="I18" t="s">
        <v>1635</v>
      </c>
      <c r="J18" s="10">
        <v>2736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649</v>
      </c>
      <c r="D19" s="9">
        <v>107112740368</v>
      </c>
      <c r="E19" s="10">
        <v>3672</v>
      </c>
      <c r="F19">
        <v>106000</v>
      </c>
      <c r="G19" s="5">
        <v>24292</v>
      </c>
      <c r="H19" s="5">
        <v>81708</v>
      </c>
      <c r="I19" t="s">
        <v>1635</v>
      </c>
      <c r="J19" s="10">
        <v>3672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485</v>
      </c>
      <c r="D20" s="9">
        <v>107112498413</v>
      </c>
      <c r="E20" s="10">
        <v>3135</v>
      </c>
      <c r="F20">
        <v>93980</v>
      </c>
      <c r="G20" s="5">
        <v>23210</v>
      </c>
      <c r="H20" s="5">
        <v>70770</v>
      </c>
      <c r="I20" t="s">
        <v>1635</v>
      </c>
      <c r="J20" s="10">
        <v>3135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548</v>
      </c>
      <c r="D21" s="9">
        <v>107112608464</v>
      </c>
      <c r="E21" s="10">
        <v>2632</v>
      </c>
      <c r="F21">
        <v>78025</v>
      </c>
      <c r="G21" s="5">
        <v>20354</v>
      </c>
      <c r="H21" s="5">
        <v>57671</v>
      </c>
      <c r="I21" t="s">
        <v>1635</v>
      </c>
      <c r="J21" s="10">
        <v>2632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778</v>
      </c>
      <c r="D22" s="9">
        <v>107113002705</v>
      </c>
      <c r="E22" s="10">
        <v>1014</v>
      </c>
      <c r="F22">
        <v>17949</v>
      </c>
      <c r="G22" s="5">
        <v>8112</v>
      </c>
      <c r="H22" s="5">
        <v>9837</v>
      </c>
      <c r="I22" t="s">
        <v>1635</v>
      </c>
      <c r="J22" s="10">
        <v>1014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145</v>
      </c>
      <c r="D23" s="9">
        <v>101129692832</v>
      </c>
      <c r="E23" s="10">
        <v>2237.1999999999998</v>
      </c>
      <c r="F23">
        <v>78000</v>
      </c>
      <c r="G23" s="5">
        <v>20134.8</v>
      </c>
      <c r="H23" s="5">
        <v>57865.2</v>
      </c>
      <c r="I23" t="s">
        <v>1635</v>
      </c>
      <c r="J23" s="10">
        <v>2237.1999999999998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794</v>
      </c>
      <c r="D24" s="9">
        <v>107113026035</v>
      </c>
      <c r="E24" s="10">
        <v>3024</v>
      </c>
      <c r="F24">
        <v>86288</v>
      </c>
      <c r="G24" s="5">
        <v>19924</v>
      </c>
      <c r="H24" s="5">
        <v>66364</v>
      </c>
      <c r="I24" t="s">
        <v>1635</v>
      </c>
      <c r="J24" s="10">
        <v>3024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83</v>
      </c>
      <c r="D25" s="9">
        <v>101129319780</v>
      </c>
      <c r="E25" s="10">
        <v>2970</v>
      </c>
      <c r="F25">
        <v>92789</v>
      </c>
      <c r="G25" s="5">
        <v>26730</v>
      </c>
      <c r="H25" s="5">
        <v>66059</v>
      </c>
      <c r="I25" t="s">
        <v>1635</v>
      </c>
      <c r="J25" s="10">
        <v>2970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149</v>
      </c>
      <c r="D26" s="9">
        <v>101129727695</v>
      </c>
      <c r="E26" s="10">
        <v>3445</v>
      </c>
      <c r="F26">
        <v>104637</v>
      </c>
      <c r="G26" s="5">
        <v>33388.33</v>
      </c>
      <c r="H26" s="5">
        <v>71248.67</v>
      </c>
      <c r="I26" t="s">
        <v>1635</v>
      </c>
      <c r="J26" s="10">
        <v>3445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143</v>
      </c>
      <c r="D27" s="9">
        <v>101129689132</v>
      </c>
      <c r="E27" s="10">
        <v>5704</v>
      </c>
      <c r="F27">
        <v>108000</v>
      </c>
      <c r="G27" s="5">
        <v>43304.67</v>
      </c>
      <c r="H27" s="5">
        <v>64695.33</v>
      </c>
      <c r="I27" t="s">
        <v>1635</v>
      </c>
      <c r="J27" s="10">
        <v>5704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630</v>
      </c>
      <c r="D28" s="9">
        <v>107112701286</v>
      </c>
      <c r="E28" s="10">
        <v>3772</v>
      </c>
      <c r="F28">
        <v>107350</v>
      </c>
      <c r="G28" s="5">
        <v>28394</v>
      </c>
      <c r="H28" s="5">
        <v>78956</v>
      </c>
      <c r="I28" t="s">
        <v>1635</v>
      </c>
      <c r="J28" s="10">
        <v>3772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46</v>
      </c>
      <c r="D29" s="9">
        <v>101128228767</v>
      </c>
      <c r="E29" s="10">
        <v>1334</v>
      </c>
      <c r="F29">
        <v>39593</v>
      </c>
      <c r="G29" s="5">
        <v>9338</v>
      </c>
      <c r="H29" s="5">
        <v>30255</v>
      </c>
      <c r="I29" t="s">
        <v>1635</v>
      </c>
      <c r="J29" s="10">
        <v>1334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102</v>
      </c>
      <c r="D30" s="9">
        <v>101129405710</v>
      </c>
      <c r="E30" s="10">
        <v>5460</v>
      </c>
      <c r="F30">
        <v>100000</v>
      </c>
      <c r="G30" s="5">
        <v>51690</v>
      </c>
      <c r="H30" s="5">
        <v>48310</v>
      </c>
      <c r="I30" t="s">
        <v>1635</v>
      </c>
      <c r="J30" s="10">
        <v>5460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115</v>
      </c>
      <c r="D31" s="9">
        <v>101129492083</v>
      </c>
      <c r="E31" s="10">
        <v>4335</v>
      </c>
      <c r="F31">
        <v>80000</v>
      </c>
      <c r="G31" s="5">
        <v>29410</v>
      </c>
      <c r="H31" s="5">
        <v>50590</v>
      </c>
      <c r="I31" t="s">
        <v>1635</v>
      </c>
      <c r="J31" s="10">
        <v>4335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106</v>
      </c>
      <c r="D32" s="9">
        <v>101129442765</v>
      </c>
      <c r="E32" s="10">
        <v>2926</v>
      </c>
      <c r="F32">
        <v>91996</v>
      </c>
      <c r="G32" s="5">
        <v>26334</v>
      </c>
      <c r="H32" s="5">
        <v>65662</v>
      </c>
      <c r="I32" t="s">
        <v>1635</v>
      </c>
      <c r="J32" s="10">
        <v>2926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87</v>
      </c>
      <c r="D33" s="9">
        <v>101129327544</v>
      </c>
      <c r="E33" s="10">
        <v>2464</v>
      </c>
      <c r="F33">
        <v>76000</v>
      </c>
      <c r="G33" s="5">
        <v>19712</v>
      </c>
      <c r="H33" s="5">
        <v>56288</v>
      </c>
      <c r="I33" t="s">
        <v>1635</v>
      </c>
      <c r="J33" s="10">
        <v>2464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167</v>
      </c>
      <c r="D34" s="9">
        <v>101129927216</v>
      </c>
      <c r="E34" s="10">
        <v>4536</v>
      </c>
      <c r="F34">
        <v>86485</v>
      </c>
      <c r="G34" s="5">
        <v>38898</v>
      </c>
      <c r="H34" s="5">
        <v>47587</v>
      </c>
      <c r="I34" t="s">
        <v>1635</v>
      </c>
      <c r="J34" s="10">
        <v>4536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409</v>
      </c>
      <c r="D35" s="9">
        <v>107112306856</v>
      </c>
      <c r="E35" s="10">
        <v>2898</v>
      </c>
      <c r="F35">
        <v>88101</v>
      </c>
      <c r="G35" s="5">
        <v>23184</v>
      </c>
      <c r="H35" s="5">
        <v>64917</v>
      </c>
      <c r="I35" t="s">
        <v>1635</v>
      </c>
      <c r="J35" s="10">
        <v>2898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529</v>
      </c>
      <c r="D36" s="9">
        <v>107112590250</v>
      </c>
      <c r="E36" s="10">
        <v>2970</v>
      </c>
      <c r="F36">
        <v>84000</v>
      </c>
      <c r="G36" s="5">
        <v>20790</v>
      </c>
      <c r="H36" s="5">
        <v>63210</v>
      </c>
      <c r="I36" t="s">
        <v>1635</v>
      </c>
      <c r="J36" s="10">
        <v>2970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824</v>
      </c>
      <c r="D37" s="9">
        <v>107113387330</v>
      </c>
      <c r="E37" s="10">
        <v>2596</v>
      </c>
      <c r="F37">
        <v>75265</v>
      </c>
      <c r="G37" s="5">
        <v>17386</v>
      </c>
      <c r="H37" s="5">
        <v>57879</v>
      </c>
      <c r="I37" t="s">
        <v>1635</v>
      </c>
      <c r="J37" s="10">
        <v>2596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439</v>
      </c>
      <c r="D38" s="9">
        <v>107112376144</v>
      </c>
      <c r="E38" s="10">
        <v>1083</v>
      </c>
      <c r="F38">
        <v>20000</v>
      </c>
      <c r="G38" s="5">
        <v>9747</v>
      </c>
      <c r="H38" s="5">
        <v>10253</v>
      </c>
      <c r="I38" t="s">
        <v>1635</v>
      </c>
      <c r="J38" s="10">
        <v>1083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682</v>
      </c>
      <c r="D39" s="9">
        <v>107112803295</v>
      </c>
      <c r="E39" s="10">
        <v>1339</v>
      </c>
      <c r="F39">
        <v>22342</v>
      </c>
      <c r="G39" s="5">
        <v>12051</v>
      </c>
      <c r="H39" s="5">
        <v>10291</v>
      </c>
      <c r="I39" t="s">
        <v>1635</v>
      </c>
      <c r="J39" s="10">
        <v>1339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358</v>
      </c>
      <c r="D40" s="9">
        <v>107112154444</v>
      </c>
      <c r="E40" s="10">
        <v>3360</v>
      </c>
      <c r="F40">
        <v>121800</v>
      </c>
      <c r="G40" s="5">
        <v>28480</v>
      </c>
      <c r="H40" s="5">
        <v>93320</v>
      </c>
      <c r="I40" t="s">
        <v>1635</v>
      </c>
      <c r="J40" s="10">
        <v>3360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108</v>
      </c>
      <c r="D41" s="9">
        <v>101129452604</v>
      </c>
      <c r="E41" s="10">
        <v>2709</v>
      </c>
      <c r="F41">
        <v>85845</v>
      </c>
      <c r="G41" s="5">
        <v>24042</v>
      </c>
      <c r="H41" s="5">
        <v>61803</v>
      </c>
      <c r="I41" t="s">
        <v>1635</v>
      </c>
      <c r="J41" s="10">
        <v>2709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276</v>
      </c>
      <c r="D42" s="9">
        <v>101130853603</v>
      </c>
      <c r="E42" s="10">
        <v>2960</v>
      </c>
      <c r="F42">
        <v>82751</v>
      </c>
      <c r="G42" s="5">
        <v>23680</v>
      </c>
      <c r="H42" s="5">
        <v>59071</v>
      </c>
      <c r="I42" t="s">
        <v>1635</v>
      </c>
      <c r="J42" s="10">
        <v>2960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731</v>
      </c>
      <c r="D43" s="9">
        <v>107112892665</v>
      </c>
      <c r="E43" s="10">
        <v>1750</v>
      </c>
      <c r="F43">
        <v>35714</v>
      </c>
      <c r="G43" s="5">
        <v>12250</v>
      </c>
      <c r="H43" s="5">
        <v>23464</v>
      </c>
      <c r="I43" t="s">
        <v>1635</v>
      </c>
      <c r="J43" s="10">
        <v>1750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737</v>
      </c>
      <c r="D44" s="9">
        <v>107112897565</v>
      </c>
      <c r="E44" s="10">
        <v>1680</v>
      </c>
      <c r="F44">
        <v>78544</v>
      </c>
      <c r="G44" s="5">
        <v>18370</v>
      </c>
      <c r="H44" s="5">
        <v>60174</v>
      </c>
      <c r="I44" t="s">
        <v>1635</v>
      </c>
      <c r="J44" s="10">
        <v>1680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667</v>
      </c>
      <c r="D45" s="9">
        <v>107112777756</v>
      </c>
      <c r="E45" s="10">
        <v>1610</v>
      </c>
      <c r="F45">
        <v>84279</v>
      </c>
      <c r="G45" s="5">
        <v>14615</v>
      </c>
      <c r="H45" s="5">
        <v>69664</v>
      </c>
      <c r="I45" t="s">
        <v>1635</v>
      </c>
      <c r="J45" s="10">
        <v>1610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213</v>
      </c>
      <c r="D46" s="9">
        <v>101130213157</v>
      </c>
      <c r="E46" s="10">
        <v>2940</v>
      </c>
      <c r="F46">
        <v>86200</v>
      </c>
      <c r="G46" s="5">
        <v>23520</v>
      </c>
      <c r="H46" s="5">
        <v>62680</v>
      </c>
      <c r="I46" t="s">
        <v>1635</v>
      </c>
      <c r="J46" s="10">
        <v>2940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179</v>
      </c>
      <c r="D47" s="9">
        <v>101129999271</v>
      </c>
      <c r="E47" s="10">
        <v>3933</v>
      </c>
      <c r="F47">
        <v>125000</v>
      </c>
      <c r="G47" s="5">
        <v>33499</v>
      </c>
      <c r="H47" s="5">
        <v>91501</v>
      </c>
      <c r="I47" t="s">
        <v>1635</v>
      </c>
      <c r="J47" s="10">
        <v>3933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391</v>
      </c>
      <c r="D48" s="9">
        <v>107112269067</v>
      </c>
      <c r="E48" s="10">
        <v>4242.12</v>
      </c>
      <c r="F48">
        <v>124469</v>
      </c>
      <c r="G48" s="5">
        <v>36949.56</v>
      </c>
      <c r="H48" s="5">
        <v>87519.44</v>
      </c>
      <c r="I48" t="s">
        <v>1635</v>
      </c>
      <c r="J48" s="10">
        <v>4242.12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579</v>
      </c>
      <c r="D49" s="9">
        <v>107112637443</v>
      </c>
      <c r="E49" s="10">
        <v>3240</v>
      </c>
      <c r="F49">
        <v>96000</v>
      </c>
      <c r="G49" s="5">
        <v>12960</v>
      </c>
      <c r="H49" s="5">
        <v>83040</v>
      </c>
      <c r="I49" t="s">
        <v>1635</v>
      </c>
      <c r="J49" s="10">
        <v>3240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282</v>
      </c>
      <c r="D50" s="9">
        <v>101130890220</v>
      </c>
      <c r="E50" s="10">
        <v>2432</v>
      </c>
      <c r="F50">
        <v>73000</v>
      </c>
      <c r="G50" s="5">
        <v>17024</v>
      </c>
      <c r="H50" s="5">
        <v>55976</v>
      </c>
      <c r="I50" t="s">
        <v>1635</v>
      </c>
      <c r="J50" s="10">
        <v>2432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569</v>
      </c>
      <c r="D51" s="9">
        <v>107112624485</v>
      </c>
      <c r="E51" s="10">
        <v>3139</v>
      </c>
      <c r="F51">
        <v>100000</v>
      </c>
      <c r="G51" s="5">
        <v>22512</v>
      </c>
      <c r="H51" s="5">
        <v>77488</v>
      </c>
      <c r="I51" t="s">
        <v>1635</v>
      </c>
      <c r="J51" s="10">
        <v>3139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165</v>
      </c>
      <c r="D52" s="9">
        <v>101129910830</v>
      </c>
      <c r="E52" s="10">
        <v>4235</v>
      </c>
      <c r="F52">
        <v>128998</v>
      </c>
      <c r="G52" s="5">
        <v>27518.33</v>
      </c>
      <c r="H52" s="5">
        <v>101479.67</v>
      </c>
      <c r="I52" t="s">
        <v>1635</v>
      </c>
      <c r="J52" s="10">
        <v>4235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800</v>
      </c>
      <c r="D53" s="9">
        <v>107113048741</v>
      </c>
      <c r="E53" s="10">
        <v>3960</v>
      </c>
      <c r="F53">
        <v>115000</v>
      </c>
      <c r="G53" s="5">
        <v>26260</v>
      </c>
      <c r="H53" s="5">
        <v>88740</v>
      </c>
      <c r="I53" t="s">
        <v>1635</v>
      </c>
      <c r="J53" s="10">
        <v>3960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344</v>
      </c>
      <c r="D54" s="9">
        <v>107112077174</v>
      </c>
      <c r="E54" s="10">
        <v>4230</v>
      </c>
      <c r="F54">
        <v>119000</v>
      </c>
      <c r="G54" s="5">
        <v>40000</v>
      </c>
      <c r="H54" s="5">
        <v>79000</v>
      </c>
      <c r="I54" t="s">
        <v>1635</v>
      </c>
      <c r="J54" s="10">
        <v>4230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268</v>
      </c>
      <c r="D55" s="9">
        <v>101130786900</v>
      </c>
      <c r="E55" s="10">
        <v>3990</v>
      </c>
      <c r="F55">
        <v>73000</v>
      </c>
      <c r="G55" s="5">
        <v>26623.33</v>
      </c>
      <c r="H55" s="5">
        <v>46376.67</v>
      </c>
      <c r="I55" t="s">
        <v>1635</v>
      </c>
      <c r="J55" s="10">
        <v>3990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286</v>
      </c>
      <c r="D56" s="9">
        <v>101130944629</v>
      </c>
      <c r="E56" s="10">
        <v>2835</v>
      </c>
      <c r="F56">
        <v>85900</v>
      </c>
      <c r="G56" s="5">
        <v>19845</v>
      </c>
      <c r="H56" s="5">
        <v>66055</v>
      </c>
      <c r="I56" t="s">
        <v>1635</v>
      </c>
      <c r="J56" s="10">
        <v>2835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236</v>
      </c>
      <c r="D57" s="9">
        <v>101130447153</v>
      </c>
      <c r="E57" s="10">
        <v>2430</v>
      </c>
      <c r="F57">
        <v>73000</v>
      </c>
      <c r="G57" s="5">
        <v>21265</v>
      </c>
      <c r="H57" s="5">
        <v>51735</v>
      </c>
      <c r="I57" t="s">
        <v>1635</v>
      </c>
      <c r="J57" s="10">
        <v>2430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747</v>
      </c>
      <c r="D58" s="9">
        <v>107112917464</v>
      </c>
      <c r="E58" s="10">
        <v>2610</v>
      </c>
      <c r="F58">
        <v>75000</v>
      </c>
      <c r="G58" s="5">
        <v>17535</v>
      </c>
      <c r="H58" s="5">
        <v>57465</v>
      </c>
      <c r="I58" t="s">
        <v>1635</v>
      </c>
      <c r="J58" s="10">
        <v>2610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642</v>
      </c>
      <c r="D59" s="9">
        <v>107112718957</v>
      </c>
      <c r="E59" s="10">
        <v>837</v>
      </c>
      <c r="F59">
        <v>15000</v>
      </c>
      <c r="G59" s="5">
        <v>5859</v>
      </c>
      <c r="H59" s="5">
        <v>9141</v>
      </c>
      <c r="I59" t="s">
        <v>1635</v>
      </c>
      <c r="J59" s="10">
        <v>837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765</v>
      </c>
      <c r="D60" s="9">
        <v>107112973302</v>
      </c>
      <c r="E60" s="10">
        <v>3960</v>
      </c>
      <c r="F60">
        <v>118145</v>
      </c>
      <c r="G60" s="5">
        <v>25014</v>
      </c>
      <c r="H60" s="5">
        <v>93131</v>
      </c>
      <c r="I60" t="s">
        <v>1635</v>
      </c>
      <c r="J60" s="10">
        <v>3960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375</v>
      </c>
      <c r="D61" s="9">
        <v>107112209965</v>
      </c>
      <c r="E61" s="10">
        <v>2652</v>
      </c>
      <c r="F61">
        <v>77033</v>
      </c>
      <c r="G61" s="5">
        <v>23868</v>
      </c>
      <c r="H61" s="5">
        <v>53165</v>
      </c>
      <c r="I61" t="s">
        <v>1635</v>
      </c>
      <c r="J61" s="10">
        <v>2652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294</v>
      </c>
      <c r="D62" s="9">
        <v>101131013018</v>
      </c>
      <c r="E62" s="10">
        <v>4824</v>
      </c>
      <c r="F62">
        <v>89000</v>
      </c>
      <c r="G62" s="5">
        <v>36528</v>
      </c>
      <c r="H62" s="5">
        <v>52472</v>
      </c>
      <c r="I62" t="s">
        <v>1635</v>
      </c>
      <c r="J62" s="10">
        <v>4824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123</v>
      </c>
      <c r="D63" s="9">
        <v>101129550929</v>
      </c>
      <c r="E63" s="10">
        <v>2700</v>
      </c>
      <c r="F63">
        <v>78148</v>
      </c>
      <c r="G63" s="5">
        <v>23175</v>
      </c>
      <c r="H63" s="5">
        <v>54973</v>
      </c>
      <c r="I63" t="s">
        <v>1635</v>
      </c>
      <c r="J63" s="10">
        <v>2700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201</v>
      </c>
      <c r="D64" s="9">
        <v>101130183387</v>
      </c>
      <c r="E64" s="10">
        <v>2814</v>
      </c>
      <c r="F64">
        <v>81975</v>
      </c>
      <c r="G64" s="5">
        <v>22254.67</v>
      </c>
      <c r="H64" s="5">
        <v>59720.33</v>
      </c>
      <c r="I64" t="s">
        <v>1635</v>
      </c>
      <c r="J64" s="10">
        <v>2814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447</v>
      </c>
      <c r="D65" s="9">
        <v>107112391867</v>
      </c>
      <c r="E65" s="10">
        <v>2385</v>
      </c>
      <c r="F65">
        <v>71000</v>
      </c>
      <c r="G65" s="5">
        <v>21250</v>
      </c>
      <c r="H65" s="5">
        <v>49750</v>
      </c>
      <c r="I65" t="s">
        <v>1635</v>
      </c>
      <c r="J65" s="10">
        <v>2385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445</v>
      </c>
      <c r="D66" s="9">
        <v>107112389753</v>
      </c>
      <c r="E66" s="10">
        <v>2520</v>
      </c>
      <c r="F66">
        <v>76666</v>
      </c>
      <c r="G66" s="5">
        <v>21840</v>
      </c>
      <c r="H66" s="5">
        <v>54826</v>
      </c>
      <c r="I66" t="s">
        <v>1635</v>
      </c>
      <c r="J66" s="10">
        <v>2520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592</v>
      </c>
      <c r="D67" s="9">
        <v>107112653144</v>
      </c>
      <c r="E67" s="10">
        <v>4466</v>
      </c>
      <c r="F67">
        <v>135000</v>
      </c>
      <c r="G67" s="5">
        <v>28866</v>
      </c>
      <c r="H67" s="5">
        <v>106134</v>
      </c>
      <c r="I67" t="s">
        <v>1635</v>
      </c>
      <c r="J67" s="10">
        <v>4466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28</v>
      </c>
      <c r="D68" s="9">
        <v>101127876784</v>
      </c>
      <c r="E68" s="10">
        <v>2933.33</v>
      </c>
      <c r="F68">
        <v>74642</v>
      </c>
      <c r="G68" s="5">
        <v>29120</v>
      </c>
      <c r="H68" s="5">
        <v>45522</v>
      </c>
      <c r="I68" t="s">
        <v>1635</v>
      </c>
      <c r="J68" s="10">
        <v>2933.33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471</v>
      </c>
      <c r="D69" s="9">
        <v>107112466550</v>
      </c>
      <c r="E69" s="10">
        <v>3870</v>
      </c>
      <c r="F69">
        <v>118000</v>
      </c>
      <c r="G69" s="5">
        <v>32760</v>
      </c>
      <c r="H69" s="5">
        <v>85240</v>
      </c>
      <c r="I69" t="s">
        <v>1635</v>
      </c>
      <c r="J69" s="10">
        <v>3870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290</v>
      </c>
      <c r="D70" s="9">
        <v>101130951610</v>
      </c>
      <c r="E70" s="10">
        <v>2520</v>
      </c>
      <c r="F70">
        <v>79600</v>
      </c>
      <c r="G70" s="5">
        <v>19440</v>
      </c>
      <c r="H70" s="5">
        <v>60160</v>
      </c>
      <c r="I70" t="s">
        <v>1635</v>
      </c>
      <c r="J70" s="10">
        <v>2520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505</v>
      </c>
      <c r="D71" s="9">
        <v>107112552822</v>
      </c>
      <c r="E71" s="10">
        <v>494</v>
      </c>
      <c r="F71">
        <v>8910</v>
      </c>
      <c r="G71" s="5">
        <v>3952</v>
      </c>
      <c r="H71" s="5">
        <v>4958</v>
      </c>
      <c r="I71" t="s">
        <v>1635</v>
      </c>
      <c r="J71" s="10">
        <v>494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804</v>
      </c>
      <c r="D72" s="9">
        <v>107113054965</v>
      </c>
      <c r="E72" s="10">
        <v>2745</v>
      </c>
      <c r="F72">
        <v>88000</v>
      </c>
      <c r="G72" s="5">
        <v>16332</v>
      </c>
      <c r="H72" s="5">
        <v>71668</v>
      </c>
      <c r="I72" t="s">
        <v>1635</v>
      </c>
      <c r="J72" s="10">
        <v>2745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209</v>
      </c>
      <c r="D73" s="9">
        <v>101130204849</v>
      </c>
      <c r="E73" s="10">
        <v>5760</v>
      </c>
      <c r="F73">
        <v>187000</v>
      </c>
      <c r="G73" s="5">
        <v>39676.67</v>
      </c>
      <c r="H73" s="5">
        <v>147323.33000000002</v>
      </c>
      <c r="I73" t="s">
        <v>1635</v>
      </c>
      <c r="J73" s="10">
        <v>5760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183</v>
      </c>
      <c r="D74" s="9">
        <v>101130021966</v>
      </c>
      <c r="E74" s="10">
        <v>2924</v>
      </c>
      <c r="F74">
        <v>87520</v>
      </c>
      <c r="G74" s="5">
        <v>25935.33</v>
      </c>
      <c r="H74" s="5">
        <v>61584.67</v>
      </c>
      <c r="I74" t="s">
        <v>1635</v>
      </c>
      <c r="J74" s="10">
        <v>2924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719</v>
      </c>
      <c r="D75" s="9">
        <v>107112880391</v>
      </c>
      <c r="E75" s="10">
        <v>3800</v>
      </c>
      <c r="F75">
        <v>112151</v>
      </c>
      <c r="G75" s="5">
        <v>24850</v>
      </c>
      <c r="H75" s="5">
        <v>87301</v>
      </c>
      <c r="I75" t="s">
        <v>1635</v>
      </c>
      <c r="J75" s="10">
        <v>3800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373</v>
      </c>
      <c r="D76" s="9">
        <v>107112209353</v>
      </c>
      <c r="E76" s="10">
        <v>7370</v>
      </c>
      <c r="F76">
        <v>220995</v>
      </c>
      <c r="G76" s="5">
        <v>58960</v>
      </c>
      <c r="H76" s="5">
        <v>162035</v>
      </c>
      <c r="I76" t="s">
        <v>1635</v>
      </c>
      <c r="J76" s="10">
        <v>7370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366</v>
      </c>
      <c r="D77" s="9">
        <v>107112197894</v>
      </c>
      <c r="E77" s="10">
        <v>3016</v>
      </c>
      <c r="F77">
        <v>104008</v>
      </c>
      <c r="G77" s="5">
        <v>29324</v>
      </c>
      <c r="H77" s="5">
        <v>74684</v>
      </c>
      <c r="I77" t="s">
        <v>1635</v>
      </c>
      <c r="J77" s="10">
        <v>3016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602</v>
      </c>
      <c r="D78" s="9">
        <v>107112660445</v>
      </c>
      <c r="E78" s="10">
        <v>2680</v>
      </c>
      <c r="F78">
        <v>95414</v>
      </c>
      <c r="G78" s="5">
        <v>19564</v>
      </c>
      <c r="H78" s="5">
        <v>75850</v>
      </c>
      <c r="I78" t="s">
        <v>1635</v>
      </c>
      <c r="J78" s="10">
        <v>2680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348</v>
      </c>
      <c r="D79" s="9">
        <v>107112083163</v>
      </c>
      <c r="E79" s="10">
        <v>3120</v>
      </c>
      <c r="F79">
        <v>99693</v>
      </c>
      <c r="G79" s="5">
        <v>20870</v>
      </c>
      <c r="H79" s="5">
        <v>78823</v>
      </c>
      <c r="I79" t="s">
        <v>1635</v>
      </c>
      <c r="J79" s="10">
        <v>3120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709</v>
      </c>
      <c r="D80" s="9">
        <v>107112858272</v>
      </c>
      <c r="E80" s="10">
        <v>4500</v>
      </c>
      <c r="F80">
        <v>134461</v>
      </c>
      <c r="G80" s="5">
        <v>33500</v>
      </c>
      <c r="H80" s="5">
        <v>100961</v>
      </c>
      <c r="I80" t="s">
        <v>1635</v>
      </c>
      <c r="J80" s="10">
        <v>4500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525</v>
      </c>
      <c r="D81" s="9">
        <v>107112587444</v>
      </c>
      <c r="E81" s="10">
        <v>1540</v>
      </c>
      <c r="F81">
        <v>27578</v>
      </c>
      <c r="G81" s="5">
        <v>13860</v>
      </c>
      <c r="H81" s="5">
        <v>13718</v>
      </c>
      <c r="I81" t="s">
        <v>1635</v>
      </c>
      <c r="J81" s="10">
        <v>1540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314</v>
      </c>
      <c r="D82" s="9">
        <v>107111475675</v>
      </c>
      <c r="E82" s="10">
        <v>3710</v>
      </c>
      <c r="F82">
        <v>106791.67</v>
      </c>
      <c r="G82" s="5">
        <v>33390</v>
      </c>
      <c r="H82" s="5">
        <v>73401.67</v>
      </c>
      <c r="I82" t="s">
        <v>1635</v>
      </c>
      <c r="J82" s="10">
        <v>3710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231</v>
      </c>
      <c r="D83" s="9">
        <v>101130394701</v>
      </c>
      <c r="E83" s="10">
        <v>3920</v>
      </c>
      <c r="F83">
        <v>75800</v>
      </c>
      <c r="G83" s="5">
        <v>26003.33</v>
      </c>
      <c r="H83" s="5">
        <v>49796.67</v>
      </c>
      <c r="I83" t="s">
        <v>1635</v>
      </c>
      <c r="J83" s="10">
        <v>3920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104</v>
      </c>
      <c r="D84" s="9">
        <v>101129422479</v>
      </c>
      <c r="E84" s="10">
        <v>4150</v>
      </c>
      <c r="F84">
        <v>75285</v>
      </c>
      <c r="G84" s="5">
        <v>33200</v>
      </c>
      <c r="H84" s="5">
        <v>42085</v>
      </c>
      <c r="I84" t="s">
        <v>1635</v>
      </c>
      <c r="J84" s="10">
        <v>4150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655</v>
      </c>
      <c r="D85" s="9">
        <v>107112752241</v>
      </c>
      <c r="E85" s="10">
        <v>3200</v>
      </c>
      <c r="F85">
        <v>97000</v>
      </c>
      <c r="G85" s="5">
        <v>21200</v>
      </c>
      <c r="H85" s="5">
        <v>75800</v>
      </c>
      <c r="I85" t="s">
        <v>1635</v>
      </c>
      <c r="J85" s="10">
        <v>3200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185</v>
      </c>
      <c r="D86" s="9">
        <v>101130063714</v>
      </c>
      <c r="E86" s="10">
        <v>5616</v>
      </c>
      <c r="F86">
        <v>106000</v>
      </c>
      <c r="G86" s="5">
        <v>43842</v>
      </c>
      <c r="H86" s="5">
        <v>62158</v>
      </c>
      <c r="I86" t="s">
        <v>1635</v>
      </c>
      <c r="J86" s="10">
        <v>5616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423</v>
      </c>
      <c r="D87" s="9">
        <v>107112331898</v>
      </c>
      <c r="E87" s="10">
        <v>2160</v>
      </c>
      <c r="F87">
        <v>75570</v>
      </c>
      <c r="G87" s="5">
        <v>19275</v>
      </c>
      <c r="H87" s="5">
        <v>56295</v>
      </c>
      <c r="I87" t="s">
        <v>1635</v>
      </c>
      <c r="J87" s="10">
        <v>2160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663</v>
      </c>
      <c r="D88" s="9">
        <v>107112765383</v>
      </c>
      <c r="E88" s="10">
        <v>1260</v>
      </c>
      <c r="F88">
        <v>23283</v>
      </c>
      <c r="G88" s="5">
        <v>10080</v>
      </c>
      <c r="H88" s="5">
        <v>13203</v>
      </c>
      <c r="I88" t="s">
        <v>1635</v>
      </c>
      <c r="J88" s="10">
        <v>1260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234</v>
      </c>
      <c r="D89" s="9">
        <v>101130434119</v>
      </c>
      <c r="E89" s="10">
        <v>2850</v>
      </c>
      <c r="F89">
        <v>85800</v>
      </c>
      <c r="G89" s="5">
        <v>22700</v>
      </c>
      <c r="H89" s="5">
        <v>63100</v>
      </c>
      <c r="I89" t="s">
        <v>1635</v>
      </c>
      <c r="J89" s="10">
        <v>2850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647</v>
      </c>
      <c r="D90" s="9">
        <v>107112728300</v>
      </c>
      <c r="E90" s="10">
        <v>966</v>
      </c>
      <c r="F90">
        <v>17689</v>
      </c>
      <c r="G90" s="5">
        <v>8648</v>
      </c>
      <c r="H90" s="5">
        <v>9041</v>
      </c>
      <c r="I90" t="s">
        <v>1635</v>
      </c>
      <c r="J90" s="10">
        <v>966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812</v>
      </c>
      <c r="D91" s="9">
        <v>107113105964</v>
      </c>
      <c r="E91" s="10">
        <v>3780</v>
      </c>
      <c r="F91">
        <v>98000</v>
      </c>
      <c r="G91" s="5">
        <v>24800</v>
      </c>
      <c r="H91" s="5">
        <v>73200</v>
      </c>
      <c r="I91" t="s">
        <v>1635</v>
      </c>
      <c r="J91" s="10">
        <v>3780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53</v>
      </c>
      <c r="D92" s="9">
        <v>101128601341</v>
      </c>
      <c r="E92" s="10">
        <v>3471</v>
      </c>
      <c r="F92">
        <v>103759</v>
      </c>
      <c r="G92" s="5">
        <v>34710</v>
      </c>
      <c r="H92" s="5">
        <v>69049</v>
      </c>
      <c r="I92" t="s">
        <v>1635</v>
      </c>
      <c r="J92" s="10">
        <v>3471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584</v>
      </c>
      <c r="D93" s="9">
        <v>107112642685</v>
      </c>
      <c r="E93" s="10">
        <v>3024</v>
      </c>
      <c r="F93">
        <v>86995</v>
      </c>
      <c r="G93" s="5">
        <v>22948</v>
      </c>
      <c r="H93" s="5">
        <v>64047</v>
      </c>
      <c r="I93" t="s">
        <v>1635</v>
      </c>
      <c r="J93" s="10">
        <v>3024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495</v>
      </c>
      <c r="D94" s="9">
        <v>107112524298</v>
      </c>
      <c r="E94" s="10">
        <v>1386</v>
      </c>
      <c r="F94">
        <v>24963</v>
      </c>
      <c r="G94" s="5">
        <v>10941</v>
      </c>
      <c r="H94" s="5">
        <v>14022</v>
      </c>
      <c r="I94" t="s">
        <v>1635</v>
      </c>
      <c r="J94" s="10">
        <v>1386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607</v>
      </c>
      <c r="D95" s="9">
        <v>107112664181</v>
      </c>
      <c r="E95" s="10">
        <v>3024</v>
      </c>
      <c r="F95">
        <v>97745</v>
      </c>
      <c r="G95" s="5">
        <v>20374</v>
      </c>
      <c r="H95" s="5">
        <v>77371</v>
      </c>
      <c r="I95" t="s">
        <v>1635</v>
      </c>
      <c r="J95" s="10">
        <v>3024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802</v>
      </c>
      <c r="D96" s="9">
        <v>107113051629</v>
      </c>
      <c r="E96" s="10">
        <v>3402</v>
      </c>
      <c r="F96">
        <v>100146</v>
      </c>
      <c r="G96" s="5">
        <v>22982</v>
      </c>
      <c r="H96" s="5">
        <v>77164</v>
      </c>
      <c r="I96" t="s">
        <v>1635</v>
      </c>
      <c r="J96" s="10">
        <v>3402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690</v>
      </c>
      <c r="D97" s="9">
        <v>107112808068</v>
      </c>
      <c r="E97" s="10">
        <v>2970</v>
      </c>
      <c r="F97">
        <v>92468</v>
      </c>
      <c r="G97" s="5">
        <v>20460</v>
      </c>
      <c r="H97" s="5">
        <v>72008</v>
      </c>
      <c r="I97" t="s">
        <v>1635</v>
      </c>
      <c r="J97" s="10">
        <v>2970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696</v>
      </c>
      <c r="D98" s="9">
        <v>107112824234</v>
      </c>
      <c r="E98" s="10">
        <v>3116</v>
      </c>
      <c r="F98">
        <v>94000</v>
      </c>
      <c r="G98" s="5">
        <v>23452</v>
      </c>
      <c r="H98" s="5">
        <v>70548</v>
      </c>
      <c r="I98" t="s">
        <v>1635</v>
      </c>
      <c r="J98" s="10">
        <v>3116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792</v>
      </c>
      <c r="D99" s="9">
        <v>107113022670</v>
      </c>
      <c r="E99" s="10">
        <v>4620</v>
      </c>
      <c r="F99">
        <v>137000</v>
      </c>
      <c r="G99" s="5">
        <v>25900</v>
      </c>
      <c r="H99" s="5">
        <v>111100</v>
      </c>
      <c r="I99" t="s">
        <v>1635</v>
      </c>
      <c r="J99" s="10">
        <v>4620</v>
      </c>
      <c r="K99" t="s">
        <v>1635</v>
      </c>
      <c r="L99">
        <v>0</v>
      </c>
    </row>
    <row r="100" spans="1:12">
      <c r="A100">
        <v>1</v>
      </c>
      <c r="B100" t="s">
        <v>15</v>
      </c>
      <c r="C100" t="s">
        <v>698</v>
      </c>
      <c r="D100" s="9">
        <v>107112827297</v>
      </c>
      <c r="E100" s="10">
        <v>4380</v>
      </c>
      <c r="F100">
        <v>129825</v>
      </c>
      <c r="G100" s="5">
        <v>28680</v>
      </c>
      <c r="H100" s="5">
        <v>101145</v>
      </c>
      <c r="I100" t="s">
        <v>1635</v>
      </c>
      <c r="J100" s="10">
        <v>4380</v>
      </c>
      <c r="K100" t="s">
        <v>1635</v>
      </c>
      <c r="L100">
        <v>0</v>
      </c>
    </row>
    <row r="101" spans="1:12">
      <c r="A101">
        <v>1</v>
      </c>
      <c r="B101" t="s">
        <v>15</v>
      </c>
      <c r="C101" t="s">
        <v>735</v>
      </c>
      <c r="D101" s="9">
        <v>107112893630</v>
      </c>
      <c r="E101" s="10">
        <v>3465</v>
      </c>
      <c r="F101">
        <v>100000</v>
      </c>
      <c r="G101" s="5">
        <v>23015</v>
      </c>
      <c r="H101" s="5">
        <v>76985</v>
      </c>
      <c r="I101" t="s">
        <v>1635</v>
      </c>
      <c r="J101" s="10">
        <v>3465</v>
      </c>
      <c r="K101" t="s">
        <v>1635</v>
      </c>
      <c r="L101">
        <v>0</v>
      </c>
    </row>
    <row r="102" spans="1:12">
      <c r="A102">
        <v>1</v>
      </c>
      <c r="B102" t="s">
        <v>15</v>
      </c>
      <c r="C102" t="s">
        <v>700</v>
      </c>
      <c r="D102" s="9">
        <v>107112828521</v>
      </c>
      <c r="E102" s="10">
        <v>3870</v>
      </c>
      <c r="F102">
        <v>115000</v>
      </c>
      <c r="G102" s="5">
        <v>25020</v>
      </c>
      <c r="H102" s="5">
        <v>89980</v>
      </c>
      <c r="I102" t="s">
        <v>1635</v>
      </c>
      <c r="J102" s="10">
        <v>3870</v>
      </c>
      <c r="K102" t="s">
        <v>1635</v>
      </c>
      <c r="L102">
        <v>0</v>
      </c>
    </row>
    <row r="103" spans="1:12">
      <c r="A103">
        <v>1</v>
      </c>
      <c r="B103" t="s">
        <v>15</v>
      </c>
      <c r="C103" t="s">
        <v>330</v>
      </c>
      <c r="D103" s="9">
        <v>107111936214</v>
      </c>
      <c r="E103" s="10">
        <v>3519</v>
      </c>
      <c r="F103">
        <v>102530</v>
      </c>
      <c r="G103" s="5">
        <v>28152</v>
      </c>
      <c r="H103" s="5">
        <v>74378</v>
      </c>
      <c r="I103" t="s">
        <v>1635</v>
      </c>
      <c r="J103" s="10">
        <v>3519</v>
      </c>
      <c r="K103" t="s">
        <v>1635</v>
      </c>
      <c r="L103">
        <v>0</v>
      </c>
    </row>
    <row r="104" spans="1:12">
      <c r="A104">
        <v>1</v>
      </c>
      <c r="B104" t="s">
        <v>15</v>
      </c>
      <c r="C104" t="s">
        <v>199</v>
      </c>
      <c r="D104" s="9">
        <v>101130133837</v>
      </c>
      <c r="E104" s="10">
        <v>4080</v>
      </c>
      <c r="F104">
        <v>79275</v>
      </c>
      <c r="G104" s="5">
        <v>31510</v>
      </c>
      <c r="H104" s="5">
        <v>47765</v>
      </c>
      <c r="I104" t="s">
        <v>1635</v>
      </c>
      <c r="J104" s="10">
        <v>4080</v>
      </c>
      <c r="K104" t="s">
        <v>1635</v>
      </c>
      <c r="L104">
        <v>0</v>
      </c>
    </row>
    <row r="105" spans="1:12">
      <c r="A105">
        <v>1</v>
      </c>
      <c r="B105" t="s">
        <v>15</v>
      </c>
      <c r="C105" t="s">
        <v>318</v>
      </c>
      <c r="D105" s="9">
        <v>107111707839</v>
      </c>
      <c r="E105" s="10">
        <v>3330</v>
      </c>
      <c r="F105">
        <v>80000</v>
      </c>
      <c r="G105" s="5">
        <v>28120</v>
      </c>
      <c r="H105" s="5">
        <v>51880</v>
      </c>
      <c r="I105" t="s">
        <v>1635</v>
      </c>
      <c r="J105" s="10">
        <v>3330</v>
      </c>
      <c r="K105" t="s">
        <v>1635</v>
      </c>
      <c r="L105"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FBE4-338C-6346-A976-0B7DD5D73849}">
  <dimension ref="A1:L64"/>
  <sheetViews>
    <sheetView workbookViewId="0">
      <selection activeCell="A4" sqref="A4:B19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5" max="6" width="17.1640625" bestFit="1" customWidth="1"/>
    <col min="7" max="8" width="15" bestFit="1" customWidth="1"/>
    <col min="9" max="9" width="13" bestFit="1" customWidth="1"/>
    <col min="10" max="10" width="17.1640625" bestFit="1" customWidth="1"/>
    <col min="11" max="11" width="1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644</v>
      </c>
      <c r="D2" s="9">
        <v>107112719541</v>
      </c>
      <c r="E2" s="10">
        <v>864</v>
      </c>
      <c r="F2">
        <v>15000</v>
      </c>
      <c r="G2" s="5">
        <v>6048</v>
      </c>
      <c r="H2" s="5">
        <v>8952</v>
      </c>
      <c r="I2" t="s">
        <v>1635</v>
      </c>
      <c r="J2" s="10">
        <v>864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681</v>
      </c>
      <c r="D3" s="9">
        <v>107112798785</v>
      </c>
      <c r="E3" s="10">
        <v>2496</v>
      </c>
      <c r="F3">
        <v>75452</v>
      </c>
      <c r="G3" s="5">
        <v>19392</v>
      </c>
      <c r="H3" s="5">
        <v>56060</v>
      </c>
      <c r="I3" t="s">
        <v>1635</v>
      </c>
      <c r="J3" s="10">
        <v>2496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372</v>
      </c>
      <c r="D4" s="9">
        <v>107112205936</v>
      </c>
      <c r="E4" s="10">
        <v>4015</v>
      </c>
      <c r="F4">
        <v>121169</v>
      </c>
      <c r="G4" s="5">
        <v>34320</v>
      </c>
      <c r="H4" s="5">
        <v>86849</v>
      </c>
      <c r="I4" t="s">
        <v>1635</v>
      </c>
      <c r="J4" s="10">
        <v>4015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191</v>
      </c>
      <c r="D5" s="9">
        <v>101130107192</v>
      </c>
      <c r="E5" s="10">
        <v>3933</v>
      </c>
      <c r="F5">
        <v>74625</v>
      </c>
      <c r="G5" s="5">
        <v>35397</v>
      </c>
      <c r="H5" s="5">
        <v>39228</v>
      </c>
      <c r="I5" t="s">
        <v>1635</v>
      </c>
      <c r="J5" s="10">
        <v>3933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451</v>
      </c>
      <c r="D6" s="9">
        <v>107112404846</v>
      </c>
      <c r="E6" s="10">
        <v>2960</v>
      </c>
      <c r="F6">
        <v>106836</v>
      </c>
      <c r="G6" s="5">
        <v>23640</v>
      </c>
      <c r="H6" s="5">
        <v>83196</v>
      </c>
      <c r="I6" t="s">
        <v>1635</v>
      </c>
      <c r="J6" s="10">
        <v>2960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473</v>
      </c>
      <c r="D7" s="9">
        <v>107112470213</v>
      </c>
      <c r="E7" s="10">
        <v>1330</v>
      </c>
      <c r="F7">
        <v>23863</v>
      </c>
      <c r="G7" s="5">
        <v>12510</v>
      </c>
      <c r="H7" s="5">
        <v>11353</v>
      </c>
      <c r="I7" t="s">
        <v>1635</v>
      </c>
      <c r="J7" s="10">
        <v>1330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193</v>
      </c>
      <c r="D8" s="9">
        <v>101130115346</v>
      </c>
      <c r="E8" s="10">
        <v>4725</v>
      </c>
      <c r="F8">
        <v>88848</v>
      </c>
      <c r="G8" s="5">
        <v>40110</v>
      </c>
      <c r="H8" s="5">
        <v>48738</v>
      </c>
      <c r="I8" t="s">
        <v>1635</v>
      </c>
      <c r="J8" s="10">
        <v>4725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622</v>
      </c>
      <c r="D9" s="9">
        <v>107112697786</v>
      </c>
      <c r="E9" s="10">
        <v>2784</v>
      </c>
      <c r="F9">
        <v>89000</v>
      </c>
      <c r="G9" s="5">
        <v>16672</v>
      </c>
      <c r="H9" s="5">
        <v>72328</v>
      </c>
      <c r="I9" t="s">
        <v>1635</v>
      </c>
      <c r="J9" s="10">
        <v>2784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611</v>
      </c>
      <c r="D10" s="9">
        <v>107112670693</v>
      </c>
      <c r="E10" s="10">
        <v>3034</v>
      </c>
      <c r="F10">
        <v>91593</v>
      </c>
      <c r="G10" s="5">
        <v>22878</v>
      </c>
      <c r="H10" s="5">
        <v>68715</v>
      </c>
      <c r="I10" t="s">
        <v>1635</v>
      </c>
      <c r="J10" s="10">
        <v>3034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606</v>
      </c>
      <c r="D11" s="9">
        <v>107112663876</v>
      </c>
      <c r="E11" s="10">
        <v>1080</v>
      </c>
      <c r="F11">
        <v>19087</v>
      </c>
      <c r="G11" s="5">
        <v>9720</v>
      </c>
      <c r="H11" s="5">
        <v>9367</v>
      </c>
      <c r="I11" t="s">
        <v>1635</v>
      </c>
      <c r="J11" s="10">
        <v>1080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302</v>
      </c>
      <c r="D12" s="9">
        <v>101131216709</v>
      </c>
      <c r="E12" s="10">
        <v>2850</v>
      </c>
      <c r="F12">
        <v>84946</v>
      </c>
      <c r="G12" s="5">
        <v>22700</v>
      </c>
      <c r="H12" s="5">
        <v>62246</v>
      </c>
      <c r="I12" t="s">
        <v>1635</v>
      </c>
      <c r="J12" s="10">
        <v>2850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129</v>
      </c>
      <c r="D13" s="9">
        <v>101129590806</v>
      </c>
      <c r="E13" s="10">
        <v>3080</v>
      </c>
      <c r="F13">
        <v>94515</v>
      </c>
      <c r="G13" s="5">
        <v>30604</v>
      </c>
      <c r="H13" s="5">
        <v>63911</v>
      </c>
      <c r="I13" t="s">
        <v>1635</v>
      </c>
      <c r="J13" s="10">
        <v>3080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763</v>
      </c>
      <c r="D14" s="9">
        <v>107112967766</v>
      </c>
      <c r="E14" s="10">
        <v>3402</v>
      </c>
      <c r="F14">
        <v>103000</v>
      </c>
      <c r="G14" s="5">
        <v>22572</v>
      </c>
      <c r="H14" s="5">
        <v>80428</v>
      </c>
      <c r="I14" t="s">
        <v>1635</v>
      </c>
      <c r="J14" s="10">
        <v>3402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38</v>
      </c>
      <c r="D15" s="9">
        <v>101128209031</v>
      </c>
      <c r="E15" s="10">
        <v>1840</v>
      </c>
      <c r="F15">
        <v>55000</v>
      </c>
      <c r="G15" s="5">
        <v>18400</v>
      </c>
      <c r="H15" s="5">
        <v>36600</v>
      </c>
      <c r="I15" t="s">
        <v>1635</v>
      </c>
      <c r="J15" s="10">
        <v>1840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543</v>
      </c>
      <c r="D16" s="9">
        <v>107112601974</v>
      </c>
      <c r="E16" s="10">
        <v>1428</v>
      </c>
      <c r="F16">
        <v>26555</v>
      </c>
      <c r="G16" s="5">
        <v>11424</v>
      </c>
      <c r="H16" s="5">
        <v>15131</v>
      </c>
      <c r="I16" t="s">
        <v>1635</v>
      </c>
      <c r="J16" s="10">
        <v>1428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238</v>
      </c>
      <c r="D17" s="9">
        <v>101130468708</v>
      </c>
      <c r="E17" s="10">
        <v>4060</v>
      </c>
      <c r="F17">
        <v>74625</v>
      </c>
      <c r="G17" s="5">
        <v>35046.67</v>
      </c>
      <c r="H17" s="5">
        <v>39578.33</v>
      </c>
      <c r="I17" t="s">
        <v>1635</v>
      </c>
      <c r="J17" s="10">
        <v>4060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628</v>
      </c>
      <c r="D18" s="9">
        <v>107112700798</v>
      </c>
      <c r="E18" s="10">
        <v>3640</v>
      </c>
      <c r="F18">
        <v>107767</v>
      </c>
      <c r="G18" s="5">
        <v>27560</v>
      </c>
      <c r="H18" s="5">
        <v>80207</v>
      </c>
      <c r="I18" t="s">
        <v>1635</v>
      </c>
      <c r="J18" s="10">
        <v>3640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808</v>
      </c>
      <c r="D19" s="9">
        <v>107113068233</v>
      </c>
      <c r="E19" s="10">
        <v>2772</v>
      </c>
      <c r="F19">
        <v>84000</v>
      </c>
      <c r="G19" s="5">
        <v>18312</v>
      </c>
      <c r="H19" s="5">
        <v>65688</v>
      </c>
      <c r="I19" t="s">
        <v>1635</v>
      </c>
      <c r="J19" s="10">
        <v>2772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169</v>
      </c>
      <c r="D20" s="9">
        <v>101129954626</v>
      </c>
      <c r="E20" s="10">
        <v>2805</v>
      </c>
      <c r="F20">
        <v>83860</v>
      </c>
      <c r="G20" s="5">
        <v>25245</v>
      </c>
      <c r="H20" s="5">
        <v>58615</v>
      </c>
      <c r="I20" t="s">
        <v>1635</v>
      </c>
      <c r="J20" s="10">
        <v>2805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461</v>
      </c>
      <c r="D21" s="9">
        <v>107112452906</v>
      </c>
      <c r="E21" s="10">
        <v>2700</v>
      </c>
      <c r="F21">
        <v>78259</v>
      </c>
      <c r="G21" s="5">
        <v>23860</v>
      </c>
      <c r="H21" s="5">
        <v>54399</v>
      </c>
      <c r="I21" t="s">
        <v>1635</v>
      </c>
      <c r="J21" s="10">
        <v>2700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613</v>
      </c>
      <c r="D22" s="9">
        <v>107112672786</v>
      </c>
      <c r="E22" s="10">
        <v>3278.5</v>
      </c>
      <c r="F22">
        <v>96397</v>
      </c>
      <c r="G22" s="5">
        <v>24659.5</v>
      </c>
      <c r="H22" s="5">
        <v>71737.5</v>
      </c>
      <c r="I22" t="s">
        <v>1635</v>
      </c>
      <c r="J22" s="10">
        <v>3278.5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437</v>
      </c>
      <c r="D23" s="9">
        <v>107112369860</v>
      </c>
      <c r="E23" s="10">
        <v>3525</v>
      </c>
      <c r="F23">
        <v>105878</v>
      </c>
      <c r="G23" s="5">
        <v>31200</v>
      </c>
      <c r="H23" s="5">
        <v>74678</v>
      </c>
      <c r="I23" t="s">
        <v>1635</v>
      </c>
      <c r="J23" s="10">
        <v>3525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240</v>
      </c>
      <c r="D24" s="9">
        <v>101130479024</v>
      </c>
      <c r="E24" s="10">
        <v>3080</v>
      </c>
      <c r="F24">
        <v>100000</v>
      </c>
      <c r="G24" s="5">
        <v>27720</v>
      </c>
      <c r="H24" s="5">
        <v>72280</v>
      </c>
      <c r="I24" t="s">
        <v>1635</v>
      </c>
      <c r="J24" s="10">
        <v>3080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782</v>
      </c>
      <c r="D25" s="9">
        <v>107113006545</v>
      </c>
      <c r="E25" s="10">
        <v>4400</v>
      </c>
      <c r="F25">
        <v>81000</v>
      </c>
      <c r="G25" s="5">
        <v>25950</v>
      </c>
      <c r="H25" s="5">
        <v>55050</v>
      </c>
      <c r="I25" t="s">
        <v>1635</v>
      </c>
      <c r="J25" s="10">
        <v>4400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515</v>
      </c>
      <c r="D26" s="9">
        <v>107112567640</v>
      </c>
      <c r="E26" s="10">
        <v>2800</v>
      </c>
      <c r="F26">
        <v>50038</v>
      </c>
      <c r="G26" s="5">
        <v>25200</v>
      </c>
      <c r="H26" s="5">
        <v>24838</v>
      </c>
      <c r="I26" t="s">
        <v>1635</v>
      </c>
      <c r="J26" s="10">
        <v>2800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306</v>
      </c>
      <c r="D27" s="9">
        <v>101131634595</v>
      </c>
      <c r="E27" s="10">
        <v>2728</v>
      </c>
      <c r="F27">
        <v>77921</v>
      </c>
      <c r="G27" s="5">
        <v>24404</v>
      </c>
      <c r="H27" s="5">
        <v>53517</v>
      </c>
      <c r="I27" t="s">
        <v>1635</v>
      </c>
      <c r="J27" s="10">
        <v>2728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679</v>
      </c>
      <c r="D28" s="9">
        <v>107112792457</v>
      </c>
      <c r="E28" s="10">
        <v>2759</v>
      </c>
      <c r="F28">
        <v>80999</v>
      </c>
      <c r="G28" s="5">
        <v>22737</v>
      </c>
      <c r="H28" s="5">
        <v>58262</v>
      </c>
      <c r="I28" t="s">
        <v>1635</v>
      </c>
      <c r="J28" s="10">
        <v>2759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773</v>
      </c>
      <c r="D29" s="9">
        <v>107112989677</v>
      </c>
      <c r="E29" s="10">
        <v>1290</v>
      </c>
      <c r="F29">
        <v>22711</v>
      </c>
      <c r="G29" s="5">
        <v>10320</v>
      </c>
      <c r="H29" s="5">
        <v>12391</v>
      </c>
      <c r="I29" t="s">
        <v>1635</v>
      </c>
      <c r="J29" s="10">
        <v>1290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308</v>
      </c>
      <c r="D30" s="9">
        <v>107106308722</v>
      </c>
      <c r="E30" s="10">
        <v>2808</v>
      </c>
      <c r="F30">
        <v>88414</v>
      </c>
      <c r="G30" s="5">
        <v>24544</v>
      </c>
      <c r="H30" s="5">
        <v>63870</v>
      </c>
      <c r="I30" t="s">
        <v>1635</v>
      </c>
      <c r="J30" s="10">
        <v>2808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706</v>
      </c>
      <c r="D31" s="9">
        <v>107112845576</v>
      </c>
      <c r="E31" s="10">
        <v>2784</v>
      </c>
      <c r="F31">
        <v>82721</v>
      </c>
      <c r="G31" s="5">
        <v>18624</v>
      </c>
      <c r="H31" s="5">
        <v>64097</v>
      </c>
      <c r="I31" t="s">
        <v>1635</v>
      </c>
      <c r="J31" s="10">
        <v>2784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89</v>
      </c>
      <c r="D32" s="9">
        <v>101129329748</v>
      </c>
      <c r="E32" s="10">
        <v>2900</v>
      </c>
      <c r="F32">
        <v>86585</v>
      </c>
      <c r="G32" s="5">
        <v>26100</v>
      </c>
      <c r="H32" s="5">
        <v>60485</v>
      </c>
      <c r="I32" t="s">
        <v>1635</v>
      </c>
      <c r="J32" s="10">
        <v>2900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75</v>
      </c>
      <c r="D33" s="9">
        <v>101129266919</v>
      </c>
      <c r="E33" s="10">
        <v>4108</v>
      </c>
      <c r="F33">
        <v>75868</v>
      </c>
      <c r="G33" s="5">
        <v>39052</v>
      </c>
      <c r="H33" s="5">
        <v>36816</v>
      </c>
      <c r="I33" t="s">
        <v>1635</v>
      </c>
      <c r="J33" s="10">
        <v>4108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117</v>
      </c>
      <c r="D34" s="9">
        <v>101129508743</v>
      </c>
      <c r="E34" s="10">
        <v>2520</v>
      </c>
      <c r="F34">
        <v>73000</v>
      </c>
      <c r="G34" s="5">
        <v>22680</v>
      </c>
      <c r="H34" s="5">
        <v>50320</v>
      </c>
      <c r="I34" t="s">
        <v>1635</v>
      </c>
      <c r="J34" s="10">
        <v>2520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810</v>
      </c>
      <c r="D35" s="9">
        <v>107113072594</v>
      </c>
      <c r="E35" s="10">
        <v>4503</v>
      </c>
      <c r="F35">
        <v>128888</v>
      </c>
      <c r="G35" s="5">
        <v>29398</v>
      </c>
      <c r="H35" s="5">
        <v>99490</v>
      </c>
      <c r="I35" t="s">
        <v>1635</v>
      </c>
      <c r="J35" s="10">
        <v>4503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399</v>
      </c>
      <c r="D36" s="9">
        <v>107112290191</v>
      </c>
      <c r="E36" s="10">
        <v>3080</v>
      </c>
      <c r="F36">
        <v>91000</v>
      </c>
      <c r="G36" s="5">
        <v>27720</v>
      </c>
      <c r="H36" s="5">
        <v>63280</v>
      </c>
      <c r="I36" t="s">
        <v>1635</v>
      </c>
      <c r="J36" s="10">
        <v>3080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252</v>
      </c>
      <c r="D37" s="9">
        <v>101130614595</v>
      </c>
      <c r="E37" s="10">
        <v>2409</v>
      </c>
      <c r="F37">
        <v>74625</v>
      </c>
      <c r="G37" s="5">
        <v>19272</v>
      </c>
      <c r="H37" s="5">
        <v>55353</v>
      </c>
      <c r="I37" t="s">
        <v>1635</v>
      </c>
      <c r="J37" s="10">
        <v>2409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221</v>
      </c>
      <c r="D38" s="9">
        <v>101130331302</v>
      </c>
      <c r="E38" s="10">
        <v>2420</v>
      </c>
      <c r="F38">
        <v>73000</v>
      </c>
      <c r="G38" s="5">
        <v>21376.67</v>
      </c>
      <c r="H38" s="5">
        <v>51623.33</v>
      </c>
      <c r="I38" t="s">
        <v>1635</v>
      </c>
      <c r="J38" s="10">
        <v>2420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131</v>
      </c>
      <c r="D39" s="9">
        <v>101129616917</v>
      </c>
      <c r="E39" s="10">
        <v>3250</v>
      </c>
      <c r="F39">
        <v>98883</v>
      </c>
      <c r="G39" s="5">
        <v>28600</v>
      </c>
      <c r="H39" s="5">
        <v>70283</v>
      </c>
      <c r="I39" t="s">
        <v>1635</v>
      </c>
      <c r="J39" s="10">
        <v>3250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609</v>
      </c>
      <c r="D40" s="9">
        <v>107112664269</v>
      </c>
      <c r="E40" s="10">
        <v>2541</v>
      </c>
      <c r="F40">
        <v>77000</v>
      </c>
      <c r="G40" s="5">
        <v>19998</v>
      </c>
      <c r="H40" s="5">
        <v>57002</v>
      </c>
      <c r="I40" t="s">
        <v>1635</v>
      </c>
      <c r="J40" s="10">
        <v>2541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55</v>
      </c>
      <c r="D41" s="9">
        <v>101128682630</v>
      </c>
      <c r="E41" s="10">
        <v>3045</v>
      </c>
      <c r="F41">
        <v>90955</v>
      </c>
      <c r="G41" s="5">
        <v>27405</v>
      </c>
      <c r="H41" s="5">
        <v>63550</v>
      </c>
      <c r="I41" t="s">
        <v>1635</v>
      </c>
      <c r="J41" s="10">
        <v>3045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266</v>
      </c>
      <c r="D42" s="9">
        <v>101130774312</v>
      </c>
      <c r="E42" s="10">
        <v>2300</v>
      </c>
      <c r="F42">
        <v>43500</v>
      </c>
      <c r="G42" s="5">
        <v>17990</v>
      </c>
      <c r="H42" s="5">
        <v>25510</v>
      </c>
      <c r="I42" t="s">
        <v>1635</v>
      </c>
      <c r="J42" s="10">
        <v>2300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517</v>
      </c>
      <c r="D43" s="9">
        <v>107112568721</v>
      </c>
      <c r="E43" s="10">
        <v>2500</v>
      </c>
      <c r="F43">
        <v>44480</v>
      </c>
      <c r="G43" s="5">
        <v>20000</v>
      </c>
      <c r="H43" s="5">
        <v>24480</v>
      </c>
      <c r="I43" t="s">
        <v>1635</v>
      </c>
      <c r="J43" s="10">
        <v>2500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77</v>
      </c>
      <c r="D44" s="9">
        <v>101129291267</v>
      </c>
      <c r="E44" s="10">
        <v>4165</v>
      </c>
      <c r="F44">
        <v>78585</v>
      </c>
      <c r="G44" s="5">
        <v>41600</v>
      </c>
      <c r="H44" s="5">
        <v>36985</v>
      </c>
      <c r="I44" t="s">
        <v>1635</v>
      </c>
      <c r="J44" s="10">
        <v>4165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278</v>
      </c>
      <c r="D45" s="9">
        <v>101130876309</v>
      </c>
      <c r="E45" s="10">
        <v>4608</v>
      </c>
      <c r="F45">
        <v>84625</v>
      </c>
      <c r="G45" s="5">
        <v>34896</v>
      </c>
      <c r="H45" s="5">
        <v>49729</v>
      </c>
      <c r="I45" t="s">
        <v>1635</v>
      </c>
      <c r="J45" s="10">
        <v>4608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175</v>
      </c>
      <c r="D46" s="9">
        <v>101129984034</v>
      </c>
      <c r="E46" s="10">
        <v>2800</v>
      </c>
      <c r="F46">
        <v>84036</v>
      </c>
      <c r="G46" s="5">
        <v>24233.33</v>
      </c>
      <c r="H46" s="5">
        <v>59802.67</v>
      </c>
      <c r="I46" t="s">
        <v>1635</v>
      </c>
      <c r="J46" s="10">
        <v>2800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32</v>
      </c>
      <c r="D47" s="9">
        <v>101128141006</v>
      </c>
      <c r="E47" s="10">
        <v>6280</v>
      </c>
      <c r="F47">
        <v>164000</v>
      </c>
      <c r="G47" s="5">
        <v>64841</v>
      </c>
      <c r="H47" s="5">
        <v>99159</v>
      </c>
      <c r="I47" t="s">
        <v>1635</v>
      </c>
      <c r="J47" s="10">
        <v>6280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332</v>
      </c>
      <c r="D48" s="9">
        <v>107111940009</v>
      </c>
      <c r="E48" s="10">
        <v>3840</v>
      </c>
      <c r="F48">
        <v>130500</v>
      </c>
      <c r="G48" s="5">
        <v>32230</v>
      </c>
      <c r="H48" s="5">
        <v>98270</v>
      </c>
      <c r="I48" t="s">
        <v>1635</v>
      </c>
      <c r="J48" s="10">
        <v>3840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397</v>
      </c>
      <c r="D49" s="9">
        <v>107112283712</v>
      </c>
      <c r="E49" s="10">
        <v>2800</v>
      </c>
      <c r="F49">
        <v>84713</v>
      </c>
      <c r="G49" s="5">
        <v>24000</v>
      </c>
      <c r="H49" s="5">
        <v>60713</v>
      </c>
      <c r="I49" t="s">
        <v>1635</v>
      </c>
      <c r="J49" s="10">
        <v>2800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580</v>
      </c>
      <c r="D50" s="9">
        <v>107112640254</v>
      </c>
      <c r="E50" s="10">
        <v>1254</v>
      </c>
      <c r="F50">
        <v>37493</v>
      </c>
      <c r="G50" s="5">
        <v>11286</v>
      </c>
      <c r="H50" s="5">
        <v>26207</v>
      </c>
      <c r="I50" t="s">
        <v>1635</v>
      </c>
      <c r="J50" s="10">
        <v>1254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653</v>
      </c>
      <c r="D51" s="9">
        <v>107112750116</v>
      </c>
      <c r="E51" s="10">
        <v>1716</v>
      </c>
      <c r="F51">
        <v>82697</v>
      </c>
      <c r="G51" s="5">
        <v>21372</v>
      </c>
      <c r="H51" s="5">
        <v>61325</v>
      </c>
      <c r="I51" t="s">
        <v>1635</v>
      </c>
      <c r="J51" s="10">
        <v>1716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675</v>
      </c>
      <c r="D52" s="9">
        <v>107112784537</v>
      </c>
      <c r="E52" s="10">
        <v>2037</v>
      </c>
      <c r="F52">
        <v>36749</v>
      </c>
      <c r="G52" s="5">
        <v>18354</v>
      </c>
      <c r="H52" s="5">
        <v>18395</v>
      </c>
      <c r="I52" t="s">
        <v>1635</v>
      </c>
      <c r="J52" s="10">
        <v>2037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248</v>
      </c>
      <c r="D53" s="9">
        <v>101130590769</v>
      </c>
      <c r="E53" s="10">
        <v>2940</v>
      </c>
      <c r="F53">
        <v>77000</v>
      </c>
      <c r="G53" s="5">
        <v>22110</v>
      </c>
      <c r="H53" s="5">
        <v>54890</v>
      </c>
      <c r="I53" t="s">
        <v>1635</v>
      </c>
      <c r="J53" s="10">
        <v>2940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755</v>
      </c>
      <c r="D54" s="9">
        <v>107112934799</v>
      </c>
      <c r="E54" s="10">
        <v>4100</v>
      </c>
      <c r="F54">
        <v>129820</v>
      </c>
      <c r="G54" s="5">
        <v>24902</v>
      </c>
      <c r="H54" s="5">
        <v>104918</v>
      </c>
      <c r="I54" t="s">
        <v>1635</v>
      </c>
      <c r="J54" s="10">
        <v>4100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288</v>
      </c>
      <c r="D55" s="9">
        <v>101130950078</v>
      </c>
      <c r="E55" s="10">
        <v>4216</v>
      </c>
      <c r="F55">
        <v>85000</v>
      </c>
      <c r="G55" s="5">
        <v>29419</v>
      </c>
      <c r="H55" s="5">
        <v>55581</v>
      </c>
      <c r="I55" t="s">
        <v>1635</v>
      </c>
      <c r="J55" s="10">
        <v>4216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537</v>
      </c>
      <c r="D56" s="9">
        <v>107112594084</v>
      </c>
      <c r="E56" s="10">
        <v>3472</v>
      </c>
      <c r="F56">
        <v>106500</v>
      </c>
      <c r="G56" s="5">
        <v>23262</v>
      </c>
      <c r="H56" s="5">
        <v>83238</v>
      </c>
      <c r="I56" t="s">
        <v>1635</v>
      </c>
      <c r="J56" s="10">
        <v>3472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24</v>
      </c>
      <c r="D57" s="9">
        <v>101127626459</v>
      </c>
      <c r="E57" s="10">
        <v>3355</v>
      </c>
      <c r="F57">
        <v>92990</v>
      </c>
      <c r="G57" s="5">
        <v>31075</v>
      </c>
      <c r="H57" s="5">
        <v>61915</v>
      </c>
      <c r="I57" t="s">
        <v>1635</v>
      </c>
      <c r="J57" s="10">
        <v>3355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20</v>
      </c>
      <c r="D58" s="9">
        <v>101127339909</v>
      </c>
      <c r="E58" s="10">
        <v>6480</v>
      </c>
      <c r="F58">
        <v>94060</v>
      </c>
      <c r="G58" s="5">
        <v>57875</v>
      </c>
      <c r="H58" s="5">
        <v>36185</v>
      </c>
      <c r="I58" t="s">
        <v>1635</v>
      </c>
      <c r="J58" s="10">
        <v>6480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806</v>
      </c>
      <c r="D59" s="9">
        <v>107113057210</v>
      </c>
      <c r="E59" s="10">
        <v>2025</v>
      </c>
      <c r="F59">
        <v>70000</v>
      </c>
      <c r="G59" s="5">
        <v>16325</v>
      </c>
      <c r="H59" s="5">
        <v>53675</v>
      </c>
      <c r="I59" t="s">
        <v>1635</v>
      </c>
      <c r="J59" s="10">
        <v>2025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96</v>
      </c>
      <c r="D60" s="9">
        <v>101129354717</v>
      </c>
      <c r="E60" s="10">
        <v>5740</v>
      </c>
      <c r="F60">
        <v>105000</v>
      </c>
      <c r="G60" s="5">
        <v>60200</v>
      </c>
      <c r="H60" s="5">
        <v>44800</v>
      </c>
      <c r="I60" t="s">
        <v>1635</v>
      </c>
      <c r="J60" s="10">
        <v>5740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284</v>
      </c>
      <c r="D61" s="9">
        <v>101130908844</v>
      </c>
      <c r="E61" s="10">
        <v>6020</v>
      </c>
      <c r="F61">
        <v>111290</v>
      </c>
      <c r="G61" s="5">
        <v>47506.67</v>
      </c>
      <c r="H61" s="5">
        <v>63783.33</v>
      </c>
      <c r="I61" t="s">
        <v>1635</v>
      </c>
      <c r="J61" s="10">
        <v>6020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177</v>
      </c>
      <c r="D62" s="9">
        <v>101129984712</v>
      </c>
      <c r="E62" s="10">
        <v>3055</v>
      </c>
      <c r="F62">
        <v>73660</v>
      </c>
      <c r="G62" s="5">
        <v>30095</v>
      </c>
      <c r="H62" s="5">
        <v>43565</v>
      </c>
      <c r="I62" t="s">
        <v>1635</v>
      </c>
      <c r="J62" s="10">
        <v>3055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389</v>
      </c>
      <c r="D63" s="9">
        <v>107112261154</v>
      </c>
      <c r="E63" s="10">
        <v>2397</v>
      </c>
      <c r="F63">
        <v>86683</v>
      </c>
      <c r="G63" s="5">
        <v>21197</v>
      </c>
      <c r="H63" s="5">
        <v>65486</v>
      </c>
      <c r="I63" t="s">
        <v>1635</v>
      </c>
      <c r="J63" s="10">
        <v>2397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197</v>
      </c>
      <c r="D64" s="9">
        <v>101130133766</v>
      </c>
      <c r="E64" s="10">
        <v>2730</v>
      </c>
      <c r="F64">
        <v>84220</v>
      </c>
      <c r="G64" s="5">
        <v>24523.33</v>
      </c>
      <c r="H64" s="5">
        <v>59696.67</v>
      </c>
      <c r="I64" t="s">
        <v>1635</v>
      </c>
      <c r="J64" s="10">
        <v>2730</v>
      </c>
      <c r="K64" t="s">
        <v>1635</v>
      </c>
      <c r="L64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87DC-7FF6-1841-BB8A-C7C58D35B4D5}">
  <dimension ref="A1:L108"/>
  <sheetViews>
    <sheetView workbookViewId="0">
      <selection activeCell="K3" sqref="K3:L15"/>
    </sheetView>
  </sheetViews>
  <sheetFormatPr baseColWidth="10" defaultRowHeight="14"/>
  <cols>
    <col min="3" max="3" width="18.6640625" bestFit="1" customWidth="1"/>
    <col min="4" max="4" width="15.33203125" bestFit="1" customWidth="1"/>
    <col min="5" max="5" width="17.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18</v>
      </c>
      <c r="D2" s="9">
        <v>101127311840</v>
      </c>
      <c r="E2" s="10">
        <v>1132.33</v>
      </c>
      <c r="F2">
        <v>49162</v>
      </c>
      <c r="G2" s="5">
        <v>8321.31</v>
      </c>
      <c r="H2" s="5">
        <v>40840.69</v>
      </c>
      <c r="I2" t="s">
        <v>1635</v>
      </c>
      <c r="J2" s="10">
        <v>1132.33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550</v>
      </c>
      <c r="D3" s="9">
        <v>107112610087</v>
      </c>
      <c r="E3" s="10">
        <v>1178</v>
      </c>
      <c r="F3">
        <v>20715</v>
      </c>
      <c r="G3" s="5">
        <v>9424</v>
      </c>
      <c r="H3" s="5">
        <v>11291</v>
      </c>
      <c r="I3" t="s">
        <v>1635</v>
      </c>
      <c r="J3" s="10">
        <v>1178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215</v>
      </c>
      <c r="D4" s="9">
        <v>101130216363</v>
      </c>
      <c r="E4" s="10">
        <v>2640</v>
      </c>
      <c r="F4">
        <v>78314</v>
      </c>
      <c r="G4" s="5">
        <v>23760</v>
      </c>
      <c r="H4" s="5">
        <v>54554</v>
      </c>
      <c r="I4" t="s">
        <v>1635</v>
      </c>
      <c r="J4" s="10">
        <v>2640</v>
      </c>
      <c r="K4" t="s">
        <v>1635</v>
      </c>
      <c r="L4">
        <v>0</v>
      </c>
    </row>
    <row r="5" spans="1:12">
      <c r="A5">
        <v>1</v>
      </c>
      <c r="B5" t="s">
        <v>15</v>
      </c>
      <c r="C5" s="7" t="s">
        <v>1638</v>
      </c>
      <c r="D5" s="9">
        <v>107112497805</v>
      </c>
      <c r="E5" s="10">
        <v>4120</v>
      </c>
      <c r="F5">
        <v>137380</v>
      </c>
      <c r="G5" s="5">
        <v>33803</v>
      </c>
      <c r="H5" s="5">
        <v>103577</v>
      </c>
      <c r="I5" t="s">
        <v>1635</v>
      </c>
      <c r="J5" s="10">
        <v>4120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659</v>
      </c>
      <c r="D6" s="9">
        <v>107112762784</v>
      </c>
      <c r="E6" s="10">
        <v>1360</v>
      </c>
      <c r="F6">
        <v>24696</v>
      </c>
      <c r="G6" s="5">
        <v>12240</v>
      </c>
      <c r="H6" s="5">
        <v>12456</v>
      </c>
      <c r="I6" t="s">
        <v>1635</v>
      </c>
      <c r="J6" s="10">
        <v>1360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312</v>
      </c>
      <c r="D7" s="9">
        <v>107111390157</v>
      </c>
      <c r="E7" s="10">
        <v>1782</v>
      </c>
      <c r="F7">
        <v>52000</v>
      </c>
      <c r="G7" s="5">
        <v>21384</v>
      </c>
      <c r="H7" s="5">
        <v>30616</v>
      </c>
      <c r="I7" t="s">
        <v>1635</v>
      </c>
      <c r="J7" s="10">
        <v>1782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673</v>
      </c>
      <c r="D8" s="9">
        <v>107112784036</v>
      </c>
      <c r="E8" s="10">
        <v>5292</v>
      </c>
      <c r="F8">
        <v>161888</v>
      </c>
      <c r="G8" s="5">
        <v>35572</v>
      </c>
      <c r="H8" s="5">
        <v>126316</v>
      </c>
      <c r="I8" t="s">
        <v>1635</v>
      </c>
      <c r="J8" s="10">
        <v>5292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686</v>
      </c>
      <c r="D9" s="9">
        <v>107112806153</v>
      </c>
      <c r="E9" s="10">
        <v>1488</v>
      </c>
      <c r="F9">
        <v>26555</v>
      </c>
      <c r="G9" s="5">
        <v>11904</v>
      </c>
      <c r="H9" s="5">
        <v>14651</v>
      </c>
      <c r="I9" t="s">
        <v>1635</v>
      </c>
      <c r="J9" s="10">
        <v>1488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441</v>
      </c>
      <c r="D10" s="9">
        <v>107112379629</v>
      </c>
      <c r="E10" s="10">
        <v>2550</v>
      </c>
      <c r="F10">
        <v>79554</v>
      </c>
      <c r="G10" s="5">
        <v>22610</v>
      </c>
      <c r="H10" s="5">
        <v>56944</v>
      </c>
      <c r="I10" t="s">
        <v>1635</v>
      </c>
      <c r="J10" s="10">
        <v>2550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22</v>
      </c>
      <c r="D11" s="9">
        <v>101127524235</v>
      </c>
      <c r="E11" s="10">
        <v>2383.33</v>
      </c>
      <c r="F11">
        <v>50000</v>
      </c>
      <c r="G11" s="5">
        <v>16903.330000000002</v>
      </c>
      <c r="H11" s="5">
        <v>33096.67</v>
      </c>
      <c r="I11" t="s">
        <v>1635</v>
      </c>
      <c r="J11" s="10">
        <v>2383.33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250</v>
      </c>
      <c r="D12" s="9">
        <v>101130607995</v>
      </c>
      <c r="E12" s="10">
        <v>3432</v>
      </c>
      <c r="F12">
        <v>120000</v>
      </c>
      <c r="G12" s="5">
        <v>34158</v>
      </c>
      <c r="H12" s="5">
        <v>85842</v>
      </c>
      <c r="I12" t="s">
        <v>1635</v>
      </c>
      <c r="J12" s="10">
        <v>3432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147</v>
      </c>
      <c r="D13" s="9">
        <v>101129694480</v>
      </c>
      <c r="E13" s="10">
        <v>2752</v>
      </c>
      <c r="F13">
        <v>81225</v>
      </c>
      <c r="G13" s="5">
        <v>27378</v>
      </c>
      <c r="H13" s="5">
        <v>53847</v>
      </c>
      <c r="I13" t="s">
        <v>1635</v>
      </c>
      <c r="J13" s="10">
        <v>2752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217</v>
      </c>
      <c r="D14" s="9">
        <v>101130228216</v>
      </c>
      <c r="E14" s="10">
        <v>2990</v>
      </c>
      <c r="F14">
        <v>90000</v>
      </c>
      <c r="G14" s="5">
        <v>26684</v>
      </c>
      <c r="H14" s="5">
        <v>63316</v>
      </c>
      <c r="I14" t="s">
        <v>1635</v>
      </c>
      <c r="J14" s="10">
        <v>2990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262</v>
      </c>
      <c r="D15" s="9">
        <v>101130717373</v>
      </c>
      <c r="E15" s="10">
        <v>2592</v>
      </c>
      <c r="F15">
        <v>78645</v>
      </c>
      <c r="G15" s="5">
        <v>23328</v>
      </c>
      <c r="H15" s="5">
        <v>55317</v>
      </c>
      <c r="I15" t="s">
        <v>1635</v>
      </c>
      <c r="J15" s="10">
        <v>2592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334</v>
      </c>
      <c r="D16" s="9">
        <v>107111983093</v>
      </c>
      <c r="E16" s="10">
        <v>4002</v>
      </c>
      <c r="F16">
        <v>119788</v>
      </c>
      <c r="G16" s="5">
        <v>32617.78</v>
      </c>
      <c r="H16" s="5">
        <v>87170.22</v>
      </c>
      <c r="I16" t="s">
        <v>1635</v>
      </c>
      <c r="J16" s="10">
        <v>4002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741</v>
      </c>
      <c r="D17" s="9">
        <v>107112908287</v>
      </c>
      <c r="E17" s="10">
        <v>2982</v>
      </c>
      <c r="F17">
        <v>86000</v>
      </c>
      <c r="G17" s="5">
        <v>22654</v>
      </c>
      <c r="H17" s="5">
        <v>63346</v>
      </c>
      <c r="I17" t="s">
        <v>1635</v>
      </c>
      <c r="J17" s="10">
        <v>2982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704</v>
      </c>
      <c r="D18" s="9">
        <v>107112843925</v>
      </c>
      <c r="E18" s="10">
        <v>2520</v>
      </c>
      <c r="F18">
        <v>76656</v>
      </c>
      <c r="G18" s="5">
        <v>19575</v>
      </c>
      <c r="H18" s="5">
        <v>57081</v>
      </c>
      <c r="I18" t="s">
        <v>1635</v>
      </c>
      <c r="J18" s="10">
        <v>2520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552</v>
      </c>
      <c r="D19" s="9">
        <v>107112610123</v>
      </c>
      <c r="E19" s="10">
        <v>1428</v>
      </c>
      <c r="F19">
        <v>25490</v>
      </c>
      <c r="G19" s="5">
        <v>11592</v>
      </c>
      <c r="H19" s="5">
        <v>13898</v>
      </c>
      <c r="I19" t="s">
        <v>1635</v>
      </c>
      <c r="J19" s="10">
        <v>1428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161</v>
      </c>
      <c r="D20" s="9">
        <v>101129894230</v>
      </c>
      <c r="E20" s="10">
        <v>2862</v>
      </c>
      <c r="F20">
        <v>86000</v>
      </c>
      <c r="G20" s="5">
        <v>27878</v>
      </c>
      <c r="H20" s="5">
        <v>58122</v>
      </c>
      <c r="I20" t="s">
        <v>1635</v>
      </c>
      <c r="J20" s="10">
        <v>2862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254</v>
      </c>
      <c r="D21" s="9">
        <v>101130620233</v>
      </c>
      <c r="E21" s="10">
        <v>3840</v>
      </c>
      <c r="F21">
        <v>115413</v>
      </c>
      <c r="G21" s="5">
        <v>30720</v>
      </c>
      <c r="H21" s="5">
        <v>84693</v>
      </c>
      <c r="I21" t="s">
        <v>1635</v>
      </c>
      <c r="J21" s="10">
        <v>3840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342</v>
      </c>
      <c r="D22" s="9">
        <v>107112069545</v>
      </c>
      <c r="E22" s="10">
        <v>5760</v>
      </c>
      <c r="F22">
        <v>173888</v>
      </c>
      <c r="G22" s="5">
        <v>49680</v>
      </c>
      <c r="H22" s="5">
        <v>124208</v>
      </c>
      <c r="I22" t="s">
        <v>1635</v>
      </c>
      <c r="J22" s="10">
        <v>5760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181</v>
      </c>
      <c r="D23" s="9">
        <v>101130017111</v>
      </c>
      <c r="E23" s="10">
        <v>4600</v>
      </c>
      <c r="F23">
        <v>84886</v>
      </c>
      <c r="G23" s="5">
        <v>36200</v>
      </c>
      <c r="H23" s="5">
        <v>48686</v>
      </c>
      <c r="I23" t="s">
        <v>1635</v>
      </c>
      <c r="J23" s="10">
        <v>4600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790</v>
      </c>
      <c r="D24" s="9">
        <v>107113015577</v>
      </c>
      <c r="E24" s="10">
        <v>3780</v>
      </c>
      <c r="F24">
        <v>115818</v>
      </c>
      <c r="G24" s="5">
        <v>31260</v>
      </c>
      <c r="H24" s="5">
        <v>84558</v>
      </c>
      <c r="I24" t="s">
        <v>1635</v>
      </c>
      <c r="J24" s="10">
        <v>3780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465</v>
      </c>
      <c r="D25" s="9">
        <v>107112460003</v>
      </c>
      <c r="E25" s="10">
        <v>3705</v>
      </c>
      <c r="F25">
        <v>112715</v>
      </c>
      <c r="G25" s="5">
        <v>32240</v>
      </c>
      <c r="H25" s="5">
        <v>80475</v>
      </c>
      <c r="I25" t="s">
        <v>1635</v>
      </c>
      <c r="J25" s="10">
        <v>3705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298</v>
      </c>
      <c r="D26" s="9">
        <v>101131094358</v>
      </c>
      <c r="E26" s="10">
        <v>2856</v>
      </c>
      <c r="F26">
        <v>85872</v>
      </c>
      <c r="G26" s="5">
        <v>22485.33</v>
      </c>
      <c r="H26" s="5">
        <v>63386.67</v>
      </c>
      <c r="I26" t="s">
        <v>1635</v>
      </c>
      <c r="J26" s="10">
        <v>2856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449</v>
      </c>
      <c r="D27" s="9">
        <v>107112392532</v>
      </c>
      <c r="E27" s="10">
        <v>1920</v>
      </c>
      <c r="F27">
        <v>69900</v>
      </c>
      <c r="G27" s="5">
        <v>16960</v>
      </c>
      <c r="H27" s="5">
        <v>52940</v>
      </c>
      <c r="I27" t="s">
        <v>1635</v>
      </c>
      <c r="J27" s="10">
        <v>1920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219</v>
      </c>
      <c r="D28" s="9">
        <v>101130314638</v>
      </c>
      <c r="E28" s="10">
        <v>3914</v>
      </c>
      <c r="F28">
        <v>73000</v>
      </c>
      <c r="G28" s="5">
        <v>31312</v>
      </c>
      <c r="H28" s="5">
        <v>41688</v>
      </c>
      <c r="I28" t="s">
        <v>1635</v>
      </c>
      <c r="J28" s="10">
        <v>3914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85</v>
      </c>
      <c r="D29" s="9">
        <v>101129320554</v>
      </c>
      <c r="E29" s="10">
        <v>2970</v>
      </c>
      <c r="F29">
        <v>88849</v>
      </c>
      <c r="G29" s="5">
        <v>29700</v>
      </c>
      <c r="H29" s="5">
        <v>59149</v>
      </c>
      <c r="I29" t="s">
        <v>1635</v>
      </c>
      <c r="J29" s="10">
        <v>2970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596</v>
      </c>
      <c r="D30" s="9">
        <v>107112654601</v>
      </c>
      <c r="E30" s="10">
        <v>3567</v>
      </c>
      <c r="F30">
        <v>107595</v>
      </c>
      <c r="G30" s="5">
        <v>30226</v>
      </c>
      <c r="H30" s="5">
        <v>77369</v>
      </c>
      <c r="I30" t="s">
        <v>1635</v>
      </c>
      <c r="J30" s="10">
        <v>3567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713</v>
      </c>
      <c r="D31" s="9">
        <v>107112863914</v>
      </c>
      <c r="E31" s="10">
        <v>3564</v>
      </c>
      <c r="F31">
        <v>105000</v>
      </c>
      <c r="G31" s="5">
        <v>27638</v>
      </c>
      <c r="H31" s="5">
        <v>77362</v>
      </c>
      <c r="I31" t="s">
        <v>1635</v>
      </c>
      <c r="J31" s="10">
        <v>3564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767</v>
      </c>
      <c r="D32" s="9">
        <v>107112974183</v>
      </c>
      <c r="E32" s="10">
        <v>4576</v>
      </c>
      <c r="F32">
        <v>138000</v>
      </c>
      <c r="G32" s="5">
        <v>29536</v>
      </c>
      <c r="H32" s="5">
        <v>108464</v>
      </c>
      <c r="I32" t="s">
        <v>1635</v>
      </c>
      <c r="J32" s="10">
        <v>4576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632</v>
      </c>
      <c r="D33" s="9">
        <v>107112702614</v>
      </c>
      <c r="E33" s="10">
        <v>2928</v>
      </c>
      <c r="F33">
        <v>85000</v>
      </c>
      <c r="G33" s="5">
        <v>25444</v>
      </c>
      <c r="H33" s="5">
        <v>59556</v>
      </c>
      <c r="I33" t="s">
        <v>1635</v>
      </c>
      <c r="J33" s="10">
        <v>2928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113</v>
      </c>
      <c r="D34" s="9">
        <v>101129491687</v>
      </c>
      <c r="E34" s="10">
        <v>5280</v>
      </c>
      <c r="F34">
        <v>160091</v>
      </c>
      <c r="G34" s="5">
        <v>52320</v>
      </c>
      <c r="H34" s="5">
        <v>107771</v>
      </c>
      <c r="I34" t="s">
        <v>1635</v>
      </c>
      <c r="J34" s="10">
        <v>5280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417</v>
      </c>
      <c r="D35" s="9">
        <v>107112327557</v>
      </c>
      <c r="E35" s="10">
        <v>1500</v>
      </c>
      <c r="F35">
        <v>26749</v>
      </c>
      <c r="G35" s="5">
        <v>13500</v>
      </c>
      <c r="H35" s="5">
        <v>13249</v>
      </c>
      <c r="I35" t="s">
        <v>1635</v>
      </c>
      <c r="J35" s="10">
        <v>1500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467</v>
      </c>
      <c r="D36" s="9">
        <v>107112462651</v>
      </c>
      <c r="E36" s="10">
        <v>1320</v>
      </c>
      <c r="F36">
        <v>22853</v>
      </c>
      <c r="G36" s="5">
        <v>11880</v>
      </c>
      <c r="H36" s="5">
        <v>10973</v>
      </c>
      <c r="I36" t="s">
        <v>1635</v>
      </c>
      <c r="J36" s="10">
        <v>1320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379</v>
      </c>
      <c r="D37" s="9">
        <v>107112233335</v>
      </c>
      <c r="E37" s="10">
        <v>2000</v>
      </c>
      <c r="F37">
        <v>33828</v>
      </c>
      <c r="G37" s="5">
        <v>16000</v>
      </c>
      <c r="H37" s="5">
        <v>17828</v>
      </c>
      <c r="I37" t="s">
        <v>1635</v>
      </c>
      <c r="J37" s="10">
        <v>2000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479</v>
      </c>
      <c r="D38" s="9">
        <v>107112493987</v>
      </c>
      <c r="E38" s="10">
        <v>1118</v>
      </c>
      <c r="F38">
        <v>19456</v>
      </c>
      <c r="G38" s="5">
        <v>7826</v>
      </c>
      <c r="H38" s="5">
        <v>11630</v>
      </c>
      <c r="I38" t="s">
        <v>1635</v>
      </c>
      <c r="J38" s="10">
        <v>1118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340</v>
      </c>
      <c r="D39" s="9">
        <v>107112028534</v>
      </c>
      <c r="E39" s="10">
        <v>3835</v>
      </c>
      <c r="F39">
        <v>118000</v>
      </c>
      <c r="G39" s="5">
        <v>33130</v>
      </c>
      <c r="H39" s="5">
        <v>84870</v>
      </c>
      <c r="I39" t="s">
        <v>1635</v>
      </c>
      <c r="J39" s="10">
        <v>3835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91</v>
      </c>
      <c r="D40" s="9">
        <v>101129348286</v>
      </c>
      <c r="E40" s="10">
        <v>2475</v>
      </c>
      <c r="F40">
        <v>73000</v>
      </c>
      <c r="G40" s="5">
        <v>24750</v>
      </c>
      <c r="H40" s="5">
        <v>48250</v>
      </c>
      <c r="I40" t="s">
        <v>1635</v>
      </c>
      <c r="J40" s="10">
        <v>2475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40</v>
      </c>
      <c r="D41" s="9">
        <v>101128209033</v>
      </c>
      <c r="E41" s="10">
        <v>1840</v>
      </c>
      <c r="F41">
        <v>55000</v>
      </c>
      <c r="G41" s="5">
        <v>16560</v>
      </c>
      <c r="H41" s="5">
        <v>38440</v>
      </c>
      <c r="I41" t="s">
        <v>1635</v>
      </c>
      <c r="J41" s="10">
        <v>1840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715</v>
      </c>
      <c r="D42" s="9">
        <v>107112869884</v>
      </c>
      <c r="E42" s="10">
        <v>2925</v>
      </c>
      <c r="F42">
        <v>85000</v>
      </c>
      <c r="G42" s="5">
        <v>22325</v>
      </c>
      <c r="H42" s="5">
        <v>62675</v>
      </c>
      <c r="I42" t="s">
        <v>1635</v>
      </c>
      <c r="J42" s="10">
        <v>2925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30</v>
      </c>
      <c r="D43" s="9">
        <v>101127962550</v>
      </c>
      <c r="E43" s="10">
        <v>2835</v>
      </c>
      <c r="F43">
        <v>84000</v>
      </c>
      <c r="G43" s="5">
        <v>19845</v>
      </c>
      <c r="H43" s="5">
        <v>64155</v>
      </c>
      <c r="I43" t="s">
        <v>1635</v>
      </c>
      <c r="J43" s="10">
        <v>2835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310</v>
      </c>
      <c r="D44" s="9">
        <v>107106888322</v>
      </c>
      <c r="E44" s="10">
        <v>2754</v>
      </c>
      <c r="F44">
        <v>98000</v>
      </c>
      <c r="G44" s="5">
        <v>22098</v>
      </c>
      <c r="H44" s="5">
        <v>75902</v>
      </c>
      <c r="I44" t="s">
        <v>1635</v>
      </c>
      <c r="J44" s="10">
        <v>2754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702</v>
      </c>
      <c r="D45" s="9">
        <v>107112841182</v>
      </c>
      <c r="E45" s="10">
        <v>3486</v>
      </c>
      <c r="F45">
        <v>98800</v>
      </c>
      <c r="G45" s="5">
        <v>26182</v>
      </c>
      <c r="H45" s="5">
        <v>72618</v>
      </c>
      <c r="I45" t="s">
        <v>1635</v>
      </c>
      <c r="J45" s="10">
        <v>3486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395</v>
      </c>
      <c r="D46" s="9">
        <v>107112283513</v>
      </c>
      <c r="E46" s="10">
        <v>1512</v>
      </c>
      <c r="F46">
        <v>27000</v>
      </c>
      <c r="G46" s="5">
        <v>13608</v>
      </c>
      <c r="H46" s="5">
        <v>13392</v>
      </c>
      <c r="I46" t="s">
        <v>1635</v>
      </c>
      <c r="J46" s="10">
        <v>1512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81</v>
      </c>
      <c r="D47" s="9">
        <v>101129313456</v>
      </c>
      <c r="E47" s="10">
        <v>4732</v>
      </c>
      <c r="F47">
        <v>88947</v>
      </c>
      <c r="G47" s="5">
        <v>41161</v>
      </c>
      <c r="H47" s="5">
        <v>47786</v>
      </c>
      <c r="I47" t="s">
        <v>1635</v>
      </c>
      <c r="J47" s="10">
        <v>4732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119</v>
      </c>
      <c r="D48" s="9">
        <v>101129527798</v>
      </c>
      <c r="E48" s="10">
        <v>3280</v>
      </c>
      <c r="F48">
        <v>95000</v>
      </c>
      <c r="G48" s="5">
        <v>29520</v>
      </c>
      <c r="H48" s="5">
        <v>65480</v>
      </c>
      <c r="I48" t="s">
        <v>1635</v>
      </c>
      <c r="J48" s="10">
        <v>3280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620</v>
      </c>
      <c r="D49" s="9">
        <v>107112682577</v>
      </c>
      <c r="E49" s="10">
        <v>1350</v>
      </c>
      <c r="F49">
        <v>24498</v>
      </c>
      <c r="G49" s="5">
        <v>12150</v>
      </c>
      <c r="H49" s="5">
        <v>12348</v>
      </c>
      <c r="I49" t="s">
        <v>1635</v>
      </c>
      <c r="J49" s="10">
        <v>1350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407</v>
      </c>
      <c r="D50" s="9">
        <v>107112305371</v>
      </c>
      <c r="E50" s="10">
        <v>3375</v>
      </c>
      <c r="F50">
        <v>98000</v>
      </c>
      <c r="G50" s="5">
        <v>29305</v>
      </c>
      <c r="H50" s="5">
        <v>68695</v>
      </c>
      <c r="I50" t="s">
        <v>1635</v>
      </c>
      <c r="J50" s="10">
        <v>3375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354</v>
      </c>
      <c r="D51" s="9">
        <v>107112103736</v>
      </c>
      <c r="E51" s="10">
        <v>3976</v>
      </c>
      <c r="F51">
        <v>117000</v>
      </c>
      <c r="G51" s="5">
        <v>38674</v>
      </c>
      <c r="H51" s="5">
        <v>78326</v>
      </c>
      <c r="I51" t="s">
        <v>1635</v>
      </c>
      <c r="J51" s="10">
        <v>3976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73</v>
      </c>
      <c r="D52" s="9">
        <v>101129256334</v>
      </c>
      <c r="E52" s="10">
        <v>2400</v>
      </c>
      <c r="F52">
        <v>73000</v>
      </c>
      <c r="G52" s="5">
        <v>21600</v>
      </c>
      <c r="H52" s="5">
        <v>51400</v>
      </c>
      <c r="I52" t="s">
        <v>1635</v>
      </c>
      <c r="J52" s="10">
        <v>2400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65</v>
      </c>
      <c r="D53" s="9">
        <v>101129113001</v>
      </c>
      <c r="E53" s="10">
        <v>3800</v>
      </c>
      <c r="F53">
        <v>106200</v>
      </c>
      <c r="G53" s="5">
        <v>30400</v>
      </c>
      <c r="H53" s="5">
        <v>75800</v>
      </c>
      <c r="I53" t="s">
        <v>1635</v>
      </c>
      <c r="J53" s="10">
        <v>3800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822</v>
      </c>
      <c r="D54" s="9">
        <v>107113171713</v>
      </c>
      <c r="E54" s="10">
        <v>2546</v>
      </c>
      <c r="F54">
        <v>77000</v>
      </c>
      <c r="G54" s="5">
        <v>18316</v>
      </c>
      <c r="H54" s="5">
        <v>58684</v>
      </c>
      <c r="I54" t="s">
        <v>1635</v>
      </c>
      <c r="J54" s="10">
        <v>2546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604</v>
      </c>
      <c r="D55" s="9">
        <v>107112660962</v>
      </c>
      <c r="E55" s="10">
        <v>1380</v>
      </c>
      <c r="F55">
        <v>26555</v>
      </c>
      <c r="G55" s="5">
        <v>11040</v>
      </c>
      <c r="H55" s="5">
        <v>15515</v>
      </c>
      <c r="I55" t="s">
        <v>1635</v>
      </c>
      <c r="J55" s="10">
        <v>1380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324</v>
      </c>
      <c r="D56" s="9">
        <v>107111811184</v>
      </c>
      <c r="E56" s="10">
        <v>2250</v>
      </c>
      <c r="F56">
        <v>69260</v>
      </c>
      <c r="G56" s="5">
        <v>17250</v>
      </c>
      <c r="H56" s="5">
        <v>52010</v>
      </c>
      <c r="I56" t="s">
        <v>1635</v>
      </c>
      <c r="J56" s="10">
        <v>2250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501</v>
      </c>
      <c r="D57" s="9">
        <v>107112538502</v>
      </c>
      <c r="E57" s="10">
        <v>3300</v>
      </c>
      <c r="F57">
        <v>99900</v>
      </c>
      <c r="G57" s="5">
        <v>28800</v>
      </c>
      <c r="H57" s="5">
        <v>71100</v>
      </c>
      <c r="I57" t="s">
        <v>1635</v>
      </c>
      <c r="J57" s="10">
        <v>3300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556</v>
      </c>
      <c r="D58" s="9">
        <v>107112612966</v>
      </c>
      <c r="E58" s="10">
        <v>3050</v>
      </c>
      <c r="F58">
        <v>91016</v>
      </c>
      <c r="G58" s="5">
        <v>23350</v>
      </c>
      <c r="H58" s="5">
        <v>67666</v>
      </c>
      <c r="I58" t="s">
        <v>1635</v>
      </c>
      <c r="J58" s="10">
        <v>3050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433</v>
      </c>
      <c r="D59" s="9">
        <v>107112353366</v>
      </c>
      <c r="E59" s="10">
        <v>2460</v>
      </c>
      <c r="F59">
        <v>76000</v>
      </c>
      <c r="G59" s="5">
        <v>24746</v>
      </c>
      <c r="H59" s="5">
        <v>51254</v>
      </c>
      <c r="I59" t="s">
        <v>1635</v>
      </c>
      <c r="J59" s="10">
        <v>2460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393</v>
      </c>
      <c r="D60" s="9">
        <v>107112278618</v>
      </c>
      <c r="E60" s="10">
        <v>2585</v>
      </c>
      <c r="F60">
        <v>93000</v>
      </c>
      <c r="G60" s="5">
        <v>22880</v>
      </c>
      <c r="H60" s="5">
        <v>70120</v>
      </c>
      <c r="I60" t="s">
        <v>1635</v>
      </c>
      <c r="J60" s="10">
        <v>2585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360</v>
      </c>
      <c r="D61" s="9">
        <v>107112166522</v>
      </c>
      <c r="E61" s="10">
        <v>2793</v>
      </c>
      <c r="F61">
        <v>80000</v>
      </c>
      <c r="G61" s="5">
        <v>23822.6</v>
      </c>
      <c r="H61" s="5">
        <v>56177.4</v>
      </c>
      <c r="I61" t="s">
        <v>1635</v>
      </c>
      <c r="J61" s="10">
        <v>2793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362</v>
      </c>
      <c r="D62" s="9">
        <v>107112171168</v>
      </c>
      <c r="E62" s="10">
        <v>2035.5</v>
      </c>
      <c r="F62">
        <v>59000</v>
      </c>
      <c r="G62" s="5">
        <v>19774.5</v>
      </c>
      <c r="H62" s="5">
        <v>39225.5</v>
      </c>
      <c r="I62" t="s">
        <v>1635</v>
      </c>
      <c r="J62" s="10">
        <v>2035.5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523</v>
      </c>
      <c r="D63" s="9">
        <v>107112576388</v>
      </c>
      <c r="E63" s="10">
        <v>1755</v>
      </c>
      <c r="F63">
        <v>31400</v>
      </c>
      <c r="G63" s="5">
        <v>15795</v>
      </c>
      <c r="H63" s="5">
        <v>15605</v>
      </c>
      <c r="I63" t="s">
        <v>1635</v>
      </c>
      <c r="J63" s="10">
        <v>1755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588</v>
      </c>
      <c r="D64" s="9">
        <v>107112652329</v>
      </c>
      <c r="E64" s="10">
        <v>6624</v>
      </c>
      <c r="F64">
        <v>192989</v>
      </c>
      <c r="G64" s="5">
        <v>46368</v>
      </c>
      <c r="H64" s="5">
        <v>146621</v>
      </c>
      <c r="I64" t="s">
        <v>1635</v>
      </c>
      <c r="J64" s="10">
        <v>6624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16</v>
      </c>
      <c r="D65" s="9">
        <v>101127075900</v>
      </c>
      <c r="E65" s="10">
        <v>5830</v>
      </c>
      <c r="F65">
        <v>97419</v>
      </c>
      <c r="G65" s="5">
        <v>51040</v>
      </c>
      <c r="H65" s="5">
        <v>46379</v>
      </c>
      <c r="I65" t="s">
        <v>1635</v>
      </c>
      <c r="J65" s="10">
        <v>5830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535</v>
      </c>
      <c r="D66" s="9">
        <v>107112592344</v>
      </c>
      <c r="E66" s="10">
        <v>3256</v>
      </c>
      <c r="F66">
        <v>98799</v>
      </c>
      <c r="G66" s="5">
        <v>27528</v>
      </c>
      <c r="H66" s="5">
        <v>71271</v>
      </c>
      <c r="I66" t="s">
        <v>1635</v>
      </c>
      <c r="J66" s="10">
        <v>3256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721</v>
      </c>
      <c r="D67" s="9">
        <v>107112884565</v>
      </c>
      <c r="E67" s="10">
        <v>4263</v>
      </c>
      <c r="F67">
        <v>122888</v>
      </c>
      <c r="G67" s="5">
        <v>28693</v>
      </c>
      <c r="H67" s="5">
        <v>94195</v>
      </c>
      <c r="I67" t="s">
        <v>1635</v>
      </c>
      <c r="J67" s="10">
        <v>4263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786</v>
      </c>
      <c r="D68" s="9">
        <v>107113013330</v>
      </c>
      <c r="E68" s="10">
        <v>2790</v>
      </c>
      <c r="F68">
        <v>85000</v>
      </c>
      <c r="G68" s="5">
        <v>18540</v>
      </c>
      <c r="H68" s="5">
        <v>66460</v>
      </c>
      <c r="I68" t="s">
        <v>1635</v>
      </c>
      <c r="J68" s="10">
        <v>2790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753</v>
      </c>
      <c r="D69" s="9">
        <v>107112929079</v>
      </c>
      <c r="E69" s="10">
        <v>7150</v>
      </c>
      <c r="F69">
        <v>212390</v>
      </c>
      <c r="G69" s="5">
        <v>47300</v>
      </c>
      <c r="H69" s="5">
        <v>165090</v>
      </c>
      <c r="I69" t="s">
        <v>1635</v>
      </c>
      <c r="J69" s="10">
        <v>7150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455</v>
      </c>
      <c r="D70" s="9">
        <v>107112422101</v>
      </c>
      <c r="E70" s="10">
        <v>2665</v>
      </c>
      <c r="F70">
        <v>96000</v>
      </c>
      <c r="G70" s="5">
        <v>21255</v>
      </c>
      <c r="H70" s="5">
        <v>74745</v>
      </c>
      <c r="I70" t="s">
        <v>1635</v>
      </c>
      <c r="J70" s="10">
        <v>2665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558</v>
      </c>
      <c r="D71" s="9">
        <v>107112617499</v>
      </c>
      <c r="E71" s="10">
        <v>1440</v>
      </c>
      <c r="F71">
        <v>25912</v>
      </c>
      <c r="G71" s="5">
        <v>12960</v>
      </c>
      <c r="H71" s="5">
        <v>12952</v>
      </c>
      <c r="I71" t="s">
        <v>1635</v>
      </c>
      <c r="J71" s="10">
        <v>1440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326</v>
      </c>
      <c r="D72" s="9">
        <v>107111820785</v>
      </c>
      <c r="E72" s="10">
        <v>4026</v>
      </c>
      <c r="F72">
        <v>122717</v>
      </c>
      <c r="G72" s="5">
        <v>34840.67</v>
      </c>
      <c r="H72" s="5">
        <v>87876.33</v>
      </c>
      <c r="I72" t="s">
        <v>1635</v>
      </c>
      <c r="J72" s="10">
        <v>4026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383</v>
      </c>
      <c r="D73" s="9">
        <v>107112242539</v>
      </c>
      <c r="E73" s="10">
        <v>1540</v>
      </c>
      <c r="F73">
        <v>44340</v>
      </c>
      <c r="G73" s="5">
        <v>12425</v>
      </c>
      <c r="H73" s="5">
        <v>31915</v>
      </c>
      <c r="I73" t="s">
        <v>1635</v>
      </c>
      <c r="J73" s="10">
        <v>1540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155</v>
      </c>
      <c r="D74" s="9">
        <v>101129869242</v>
      </c>
      <c r="E74" s="10">
        <v>5520</v>
      </c>
      <c r="F74">
        <v>170000</v>
      </c>
      <c r="G74" s="5">
        <v>49120</v>
      </c>
      <c r="H74" s="5">
        <v>120880</v>
      </c>
      <c r="I74" t="s">
        <v>1635</v>
      </c>
      <c r="J74" s="10">
        <v>5520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159</v>
      </c>
      <c r="D75" s="9">
        <v>101129877193</v>
      </c>
      <c r="E75" s="10">
        <v>5428</v>
      </c>
      <c r="F75">
        <v>100000</v>
      </c>
      <c r="G75" s="5">
        <v>47847.33</v>
      </c>
      <c r="H75" s="5">
        <v>52152.67</v>
      </c>
      <c r="I75" t="s">
        <v>1635</v>
      </c>
      <c r="J75" s="10">
        <v>5428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352</v>
      </c>
      <c r="D76" s="9">
        <v>107112102202</v>
      </c>
      <c r="E76" s="10">
        <v>3250</v>
      </c>
      <c r="F76">
        <v>97686</v>
      </c>
      <c r="G76" s="5">
        <v>26750</v>
      </c>
      <c r="H76" s="5">
        <v>70936</v>
      </c>
      <c r="I76" t="s">
        <v>1635</v>
      </c>
      <c r="J76" s="10">
        <v>3250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820</v>
      </c>
      <c r="D77" s="9">
        <v>107113147060</v>
      </c>
      <c r="E77" s="10">
        <v>1920</v>
      </c>
      <c r="F77">
        <v>34750</v>
      </c>
      <c r="G77" s="5">
        <v>15360</v>
      </c>
      <c r="H77" s="5">
        <v>19390</v>
      </c>
      <c r="I77" t="s">
        <v>1635</v>
      </c>
      <c r="J77" s="10">
        <v>1920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135</v>
      </c>
      <c r="D78" s="9">
        <v>101129629405</v>
      </c>
      <c r="E78" s="10">
        <v>5244</v>
      </c>
      <c r="F78">
        <v>98888</v>
      </c>
      <c r="G78" s="5">
        <v>44638.67</v>
      </c>
      <c r="H78" s="5">
        <v>54249.33</v>
      </c>
      <c r="I78" t="s">
        <v>1635</v>
      </c>
      <c r="J78" s="10">
        <v>5244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153</v>
      </c>
      <c r="D79" s="9">
        <v>101129828082</v>
      </c>
      <c r="E79" s="10">
        <v>3306</v>
      </c>
      <c r="F79">
        <v>100000</v>
      </c>
      <c r="G79" s="5">
        <v>26448</v>
      </c>
      <c r="H79" s="5">
        <v>73552</v>
      </c>
      <c r="I79" t="s">
        <v>1635</v>
      </c>
      <c r="J79" s="10">
        <v>3306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203</v>
      </c>
      <c r="D80" s="9">
        <v>101130185627</v>
      </c>
      <c r="E80" s="10">
        <v>2460</v>
      </c>
      <c r="F80">
        <v>74625</v>
      </c>
      <c r="G80" s="5">
        <v>21880</v>
      </c>
      <c r="H80" s="5">
        <v>52745</v>
      </c>
      <c r="I80" t="s">
        <v>1635</v>
      </c>
      <c r="J80" s="10">
        <v>2460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671</v>
      </c>
      <c r="D81" s="9">
        <v>107112782472</v>
      </c>
      <c r="E81" s="10">
        <v>3360</v>
      </c>
      <c r="F81">
        <v>100000</v>
      </c>
      <c r="G81" s="5">
        <v>30240</v>
      </c>
      <c r="H81" s="5">
        <v>69760</v>
      </c>
      <c r="I81" t="s">
        <v>1635</v>
      </c>
      <c r="J81" s="10">
        <v>3360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590</v>
      </c>
      <c r="D82" s="9">
        <v>107112652640</v>
      </c>
      <c r="E82" s="10">
        <v>1491</v>
      </c>
      <c r="F82">
        <v>27758</v>
      </c>
      <c r="G82" s="5">
        <v>13419</v>
      </c>
      <c r="H82" s="5">
        <v>14339</v>
      </c>
      <c r="I82" t="s">
        <v>1635</v>
      </c>
      <c r="J82" s="10">
        <v>1491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133</v>
      </c>
      <c r="D83" s="9">
        <v>101129626038</v>
      </c>
      <c r="E83" s="10">
        <v>3150</v>
      </c>
      <c r="F83">
        <v>93833</v>
      </c>
      <c r="G83" s="5">
        <v>30916.67</v>
      </c>
      <c r="H83" s="5">
        <v>62916.33</v>
      </c>
      <c r="I83" t="s">
        <v>1635</v>
      </c>
      <c r="J83" s="10">
        <v>3150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300</v>
      </c>
      <c r="D84" s="9">
        <v>101131160445</v>
      </c>
      <c r="E84" s="10">
        <v>2520</v>
      </c>
      <c r="F84">
        <v>75800</v>
      </c>
      <c r="G84" s="5">
        <v>19940</v>
      </c>
      <c r="H84" s="5">
        <v>55860</v>
      </c>
      <c r="I84" t="s">
        <v>1635</v>
      </c>
      <c r="J84" s="10">
        <v>2520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733</v>
      </c>
      <c r="D85" s="9">
        <v>107112893589</v>
      </c>
      <c r="E85" s="10">
        <v>3465</v>
      </c>
      <c r="F85">
        <v>100000</v>
      </c>
      <c r="G85" s="5">
        <v>24590</v>
      </c>
      <c r="H85" s="5">
        <v>75410</v>
      </c>
      <c r="I85" t="s">
        <v>1635</v>
      </c>
      <c r="J85" s="10">
        <v>3465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121</v>
      </c>
      <c r="D86" s="9">
        <v>101129543144</v>
      </c>
      <c r="E86" s="10">
        <v>3995</v>
      </c>
      <c r="F86">
        <v>73818</v>
      </c>
      <c r="G86" s="5">
        <v>35076.67</v>
      </c>
      <c r="H86" s="5">
        <v>38741.33</v>
      </c>
      <c r="I86" t="s">
        <v>1635</v>
      </c>
      <c r="J86" s="10">
        <v>3995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435</v>
      </c>
      <c r="D87" s="9">
        <v>107112361831</v>
      </c>
      <c r="E87" s="10">
        <v>826</v>
      </c>
      <c r="F87">
        <v>22053</v>
      </c>
      <c r="G87" s="5">
        <v>7434</v>
      </c>
      <c r="H87" s="5">
        <v>14619</v>
      </c>
      <c r="I87" t="s">
        <v>1635</v>
      </c>
      <c r="J87" s="10">
        <v>826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260</v>
      </c>
      <c r="D88" s="9">
        <v>101130708066</v>
      </c>
      <c r="E88" s="10">
        <v>2660</v>
      </c>
      <c r="F88">
        <v>78299</v>
      </c>
      <c r="G88" s="5">
        <v>21280</v>
      </c>
      <c r="H88" s="5">
        <v>57019</v>
      </c>
      <c r="I88" t="s">
        <v>1635</v>
      </c>
      <c r="J88" s="10">
        <v>2660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759</v>
      </c>
      <c r="D89" s="9">
        <v>107112951037</v>
      </c>
      <c r="E89" s="10">
        <v>3075</v>
      </c>
      <c r="F89">
        <v>89698</v>
      </c>
      <c r="G89" s="5">
        <v>21525</v>
      </c>
      <c r="H89" s="5">
        <v>68173</v>
      </c>
      <c r="I89" t="s">
        <v>1635</v>
      </c>
      <c r="J89" s="10">
        <v>3075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774</v>
      </c>
      <c r="D90" s="9">
        <v>107112989755</v>
      </c>
      <c r="E90" s="10">
        <v>2592</v>
      </c>
      <c r="F90">
        <v>77000</v>
      </c>
      <c r="G90" s="5">
        <v>20106</v>
      </c>
      <c r="H90" s="5">
        <v>56894</v>
      </c>
      <c r="I90" t="s">
        <v>1635</v>
      </c>
      <c r="J90" s="10">
        <v>2592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646</v>
      </c>
      <c r="D91" s="9">
        <v>107112720146</v>
      </c>
      <c r="E91" s="10">
        <v>2940</v>
      </c>
      <c r="F91">
        <v>83705</v>
      </c>
      <c r="G91" s="5">
        <v>22063</v>
      </c>
      <c r="H91" s="5">
        <v>61642</v>
      </c>
      <c r="I91" t="s">
        <v>1635</v>
      </c>
      <c r="J91" s="10">
        <v>2940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63</v>
      </c>
      <c r="D92" s="9">
        <v>101129088736</v>
      </c>
      <c r="E92" s="10">
        <v>4200</v>
      </c>
      <c r="F92">
        <v>76400</v>
      </c>
      <c r="G92" s="5">
        <v>37800</v>
      </c>
      <c r="H92" s="5">
        <v>38600</v>
      </c>
      <c r="I92" t="s">
        <v>1635</v>
      </c>
      <c r="J92" s="10">
        <v>4200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521</v>
      </c>
      <c r="D93" s="9">
        <v>107112575884</v>
      </c>
      <c r="E93" s="10">
        <v>1302</v>
      </c>
      <c r="F93">
        <v>23001</v>
      </c>
      <c r="G93" s="5">
        <v>11718</v>
      </c>
      <c r="H93" s="5">
        <v>11283</v>
      </c>
      <c r="I93" t="s">
        <v>1635</v>
      </c>
      <c r="J93" s="10">
        <v>1302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242</v>
      </c>
      <c r="D94" s="9">
        <v>101130519941</v>
      </c>
      <c r="E94" s="10">
        <v>2886</v>
      </c>
      <c r="F94">
        <v>84677</v>
      </c>
      <c r="G94" s="5">
        <v>23088</v>
      </c>
      <c r="H94" s="5">
        <v>61589</v>
      </c>
      <c r="I94" t="s">
        <v>1635</v>
      </c>
      <c r="J94" s="10">
        <v>2886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79</v>
      </c>
      <c r="D95" s="9">
        <v>101129311618</v>
      </c>
      <c r="E95" s="10">
        <v>4134</v>
      </c>
      <c r="F95">
        <v>78000</v>
      </c>
      <c r="G95" s="5">
        <v>40096</v>
      </c>
      <c r="H95" s="5">
        <v>37904</v>
      </c>
      <c r="I95" t="s">
        <v>1635</v>
      </c>
      <c r="J95" s="10">
        <v>4134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546</v>
      </c>
      <c r="D96" s="9">
        <v>107112605463</v>
      </c>
      <c r="E96" s="10">
        <v>1638</v>
      </c>
      <c r="F96">
        <v>27862</v>
      </c>
      <c r="G96" s="5">
        <v>14189</v>
      </c>
      <c r="H96" s="5">
        <v>13673</v>
      </c>
      <c r="I96" t="s">
        <v>1635</v>
      </c>
      <c r="J96" s="10">
        <v>1638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619</v>
      </c>
      <c r="D97" s="9">
        <v>107112679830</v>
      </c>
      <c r="E97" s="10">
        <v>4005</v>
      </c>
      <c r="F97">
        <v>129626</v>
      </c>
      <c r="G97" s="5">
        <v>26793</v>
      </c>
      <c r="H97" s="5">
        <v>102833</v>
      </c>
      <c r="I97" t="s">
        <v>1635</v>
      </c>
      <c r="J97" s="10">
        <v>4005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100</v>
      </c>
      <c r="D98" s="9">
        <v>101129399496</v>
      </c>
      <c r="E98" s="10">
        <v>3116</v>
      </c>
      <c r="F98">
        <v>92555</v>
      </c>
      <c r="G98" s="5">
        <v>30880.67</v>
      </c>
      <c r="H98" s="5">
        <v>61674.33</v>
      </c>
      <c r="I98" t="s">
        <v>1635</v>
      </c>
      <c r="J98" s="10">
        <v>3116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316</v>
      </c>
      <c r="D99" s="9">
        <v>107111539618</v>
      </c>
      <c r="E99" s="10">
        <v>2790</v>
      </c>
      <c r="F99">
        <v>77507.5</v>
      </c>
      <c r="G99" s="5">
        <v>24232.5</v>
      </c>
      <c r="H99" s="5">
        <v>53275</v>
      </c>
      <c r="I99" t="s">
        <v>1635</v>
      </c>
      <c r="J99" s="10">
        <v>2790</v>
      </c>
      <c r="K99" t="s">
        <v>1635</v>
      </c>
      <c r="L99">
        <v>0</v>
      </c>
    </row>
    <row r="100" spans="1:12">
      <c r="A100">
        <v>1</v>
      </c>
      <c r="B100" t="s">
        <v>15</v>
      </c>
      <c r="C100" t="s">
        <v>57</v>
      </c>
      <c r="D100" s="9">
        <v>101128689163</v>
      </c>
      <c r="E100" s="10">
        <v>5400</v>
      </c>
      <c r="F100">
        <v>160000</v>
      </c>
      <c r="G100" s="5">
        <v>48600</v>
      </c>
      <c r="H100" s="5">
        <v>111400</v>
      </c>
      <c r="I100" t="s">
        <v>1635</v>
      </c>
      <c r="J100" s="10">
        <v>5400</v>
      </c>
      <c r="K100" t="s">
        <v>1635</v>
      </c>
      <c r="L100">
        <v>0</v>
      </c>
    </row>
    <row r="101" spans="1:12">
      <c r="A101">
        <v>1</v>
      </c>
      <c r="B101" t="s">
        <v>15</v>
      </c>
      <c r="C101" t="s">
        <v>511</v>
      </c>
      <c r="D101" s="9">
        <v>107112557175</v>
      </c>
      <c r="E101" s="10">
        <v>2967</v>
      </c>
      <c r="F101">
        <v>90192</v>
      </c>
      <c r="G101" s="5">
        <v>25456</v>
      </c>
      <c r="H101" s="5">
        <v>64736</v>
      </c>
      <c r="I101" t="s">
        <v>1635</v>
      </c>
      <c r="J101" s="10">
        <v>2967</v>
      </c>
      <c r="K101" t="s">
        <v>1635</v>
      </c>
      <c r="L101">
        <v>0</v>
      </c>
    </row>
    <row r="102" spans="1:12">
      <c r="A102">
        <v>1</v>
      </c>
      <c r="B102" t="s">
        <v>15</v>
      </c>
      <c r="C102" t="s">
        <v>67</v>
      </c>
      <c r="D102" s="9">
        <v>101129170432</v>
      </c>
      <c r="E102" s="10">
        <v>4089</v>
      </c>
      <c r="F102">
        <v>120631</v>
      </c>
      <c r="G102" s="5">
        <v>36801</v>
      </c>
      <c r="H102" s="5">
        <v>83830</v>
      </c>
      <c r="I102" t="s">
        <v>1635</v>
      </c>
      <c r="J102" s="10">
        <v>4089</v>
      </c>
      <c r="K102" t="s">
        <v>1635</v>
      </c>
      <c r="L102">
        <v>0</v>
      </c>
    </row>
    <row r="103" spans="1:12">
      <c r="A103">
        <v>1</v>
      </c>
      <c r="B103" t="s">
        <v>15</v>
      </c>
      <c r="C103" t="s">
        <v>562</v>
      </c>
      <c r="D103" s="9">
        <v>107112621527</v>
      </c>
      <c r="E103" s="10">
        <v>3780</v>
      </c>
      <c r="F103">
        <v>119770</v>
      </c>
      <c r="G103" s="5">
        <v>28395</v>
      </c>
      <c r="H103" s="5">
        <v>91375</v>
      </c>
      <c r="I103" t="s">
        <v>1635</v>
      </c>
      <c r="J103" s="10">
        <v>3780</v>
      </c>
      <c r="K103" t="s">
        <v>1635</v>
      </c>
      <c r="L103">
        <v>0</v>
      </c>
    </row>
    <row r="104" spans="1:12">
      <c r="A104">
        <v>1</v>
      </c>
      <c r="B104" t="s">
        <v>15</v>
      </c>
      <c r="C104" t="s">
        <v>531</v>
      </c>
      <c r="D104" s="9">
        <v>107112590731</v>
      </c>
      <c r="E104" s="10">
        <v>3912</v>
      </c>
      <c r="F104">
        <v>114896</v>
      </c>
      <c r="G104" s="5">
        <v>26807</v>
      </c>
      <c r="H104" s="5">
        <v>88089</v>
      </c>
      <c r="I104" t="s">
        <v>1635</v>
      </c>
      <c r="J104" s="10">
        <v>3912</v>
      </c>
      <c r="K104" t="s">
        <v>1635</v>
      </c>
      <c r="L104">
        <v>0</v>
      </c>
    </row>
    <row r="105" spans="1:12">
      <c r="A105">
        <v>1</v>
      </c>
      <c r="B105" t="s">
        <v>15</v>
      </c>
      <c r="C105" t="s">
        <v>711</v>
      </c>
      <c r="D105" s="9">
        <v>107112860399</v>
      </c>
      <c r="E105" s="10">
        <v>3432</v>
      </c>
      <c r="F105">
        <v>99877</v>
      </c>
      <c r="G105" s="5">
        <v>25884</v>
      </c>
      <c r="H105" s="5">
        <v>73993</v>
      </c>
      <c r="I105" t="s">
        <v>1635</v>
      </c>
      <c r="J105" s="10">
        <v>3432</v>
      </c>
      <c r="K105" t="s">
        <v>1635</v>
      </c>
      <c r="L105">
        <v>0</v>
      </c>
    </row>
    <row r="106" spans="1:12">
      <c r="A106">
        <v>1</v>
      </c>
      <c r="B106" t="s">
        <v>15</v>
      </c>
      <c r="C106" t="s">
        <v>264</v>
      </c>
      <c r="D106" s="9">
        <v>101130763989</v>
      </c>
      <c r="E106" s="10">
        <v>3850</v>
      </c>
      <c r="F106">
        <v>115960</v>
      </c>
      <c r="G106" s="5">
        <v>26950</v>
      </c>
      <c r="H106" s="5">
        <v>89010</v>
      </c>
      <c r="I106" t="s">
        <v>1635</v>
      </c>
      <c r="J106" s="10">
        <v>3850</v>
      </c>
      <c r="K106" t="s">
        <v>1635</v>
      </c>
      <c r="L106">
        <v>0</v>
      </c>
    </row>
    <row r="107" spans="1:12">
      <c r="A107">
        <v>1</v>
      </c>
      <c r="B107" t="s">
        <v>15</v>
      </c>
      <c r="C107" t="s">
        <v>223</v>
      </c>
      <c r="D107" s="9">
        <v>101130375783</v>
      </c>
      <c r="E107" s="10">
        <v>2800</v>
      </c>
      <c r="F107">
        <v>83560</v>
      </c>
      <c r="G107" s="5">
        <v>19600</v>
      </c>
      <c r="H107" s="5">
        <v>63960</v>
      </c>
      <c r="I107" t="s">
        <v>1635</v>
      </c>
      <c r="J107" s="10">
        <v>2800</v>
      </c>
      <c r="K107" t="s">
        <v>1635</v>
      </c>
      <c r="L107">
        <v>0</v>
      </c>
    </row>
    <row r="108" spans="1:12">
      <c r="A108">
        <v>1</v>
      </c>
      <c r="B108" t="s">
        <v>15</v>
      </c>
      <c r="C108" t="s">
        <v>93</v>
      </c>
      <c r="D108" s="9">
        <v>101129349328</v>
      </c>
      <c r="E108" s="10">
        <v>2700</v>
      </c>
      <c r="F108">
        <v>80000</v>
      </c>
      <c r="G108" s="5">
        <v>27000</v>
      </c>
      <c r="H108" s="5">
        <v>53000</v>
      </c>
      <c r="I108" t="s">
        <v>1635</v>
      </c>
      <c r="J108" s="10">
        <v>2700</v>
      </c>
      <c r="K108" t="s">
        <v>1635</v>
      </c>
      <c r="L108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E7DC-1A8D-D94E-AD1D-FEF2C7F4F047}">
  <dimension ref="A1:L72"/>
  <sheetViews>
    <sheetView workbookViewId="0">
      <selection activeCell="K2" sqref="K2:L13"/>
    </sheetView>
  </sheetViews>
  <sheetFormatPr baseColWidth="10" defaultRowHeight="14"/>
  <cols>
    <col min="4" max="4" width="15.33203125" bestFit="1" customWidth="1"/>
    <col min="9" max="9" width="1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227</v>
      </c>
      <c r="D2" s="9">
        <v>101130387057</v>
      </c>
      <c r="E2" s="10">
        <v>2652</v>
      </c>
      <c r="F2">
        <v>79976</v>
      </c>
      <c r="G2" s="5">
        <v>21216</v>
      </c>
      <c r="H2" s="5">
        <v>58760</v>
      </c>
      <c r="I2" t="s">
        <v>1635</v>
      </c>
      <c r="J2" s="10">
        <v>2652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189</v>
      </c>
      <c r="D3" s="9">
        <v>101130093956</v>
      </c>
      <c r="E3" s="10">
        <v>65500</v>
      </c>
      <c r="F3">
        <v>88000</v>
      </c>
      <c r="G3" s="5">
        <v>22500</v>
      </c>
      <c r="H3" s="5">
        <v>65500</v>
      </c>
      <c r="I3" t="s">
        <v>1635</v>
      </c>
      <c r="J3" s="10">
        <v>65500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475</v>
      </c>
      <c r="D4" s="9">
        <v>107112476987</v>
      </c>
      <c r="E4" s="10">
        <v>1566</v>
      </c>
      <c r="F4">
        <v>29297</v>
      </c>
      <c r="G4" s="5">
        <v>14442</v>
      </c>
      <c r="H4" s="5">
        <v>14855</v>
      </c>
      <c r="I4" t="s">
        <v>1635</v>
      </c>
      <c r="J4" s="10">
        <v>1566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751</v>
      </c>
      <c r="D5" s="9">
        <v>107112926715</v>
      </c>
      <c r="E5" s="10">
        <v>3285</v>
      </c>
      <c r="F5">
        <v>95000</v>
      </c>
      <c r="G5" s="5">
        <v>24895</v>
      </c>
      <c r="H5" s="5">
        <v>70105</v>
      </c>
      <c r="I5" t="s">
        <v>1635</v>
      </c>
      <c r="J5" s="10">
        <v>3285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560</v>
      </c>
      <c r="D6" s="9">
        <v>107112619000</v>
      </c>
      <c r="E6" s="10">
        <v>2900</v>
      </c>
      <c r="F6">
        <v>87000</v>
      </c>
      <c r="G6" s="5">
        <v>21400</v>
      </c>
      <c r="H6" s="5">
        <v>65600</v>
      </c>
      <c r="I6" t="s">
        <v>1635</v>
      </c>
      <c r="J6" s="10">
        <v>2900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594</v>
      </c>
      <c r="D7" s="9">
        <v>107112653316</v>
      </c>
      <c r="E7" s="10">
        <v>2772</v>
      </c>
      <c r="F7">
        <v>84510</v>
      </c>
      <c r="G7" s="5">
        <v>23856</v>
      </c>
      <c r="H7" s="5">
        <v>60654</v>
      </c>
      <c r="I7" t="s">
        <v>1635</v>
      </c>
      <c r="J7" s="10">
        <v>2772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322</v>
      </c>
      <c r="D8" s="9">
        <v>107111763962</v>
      </c>
      <c r="E8" s="10">
        <v>1105</v>
      </c>
      <c r="F8">
        <v>19454</v>
      </c>
      <c r="G8" s="5">
        <v>9945</v>
      </c>
      <c r="H8" s="5">
        <v>9509</v>
      </c>
      <c r="I8" t="s">
        <v>1635</v>
      </c>
      <c r="J8" s="10">
        <v>1105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544</v>
      </c>
      <c r="D9" s="9">
        <v>107112602426</v>
      </c>
      <c r="E9" s="10">
        <v>3339</v>
      </c>
      <c r="F9">
        <v>101368</v>
      </c>
      <c r="G9" s="5">
        <v>28832</v>
      </c>
      <c r="H9" s="5">
        <v>72536</v>
      </c>
      <c r="I9" t="s">
        <v>1635</v>
      </c>
      <c r="J9" s="10">
        <v>3339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95</v>
      </c>
      <c r="D10" s="9">
        <v>101129349340</v>
      </c>
      <c r="E10" s="10">
        <v>2700</v>
      </c>
      <c r="F10">
        <v>80000</v>
      </c>
      <c r="G10" s="5">
        <v>24300</v>
      </c>
      <c r="H10" s="5">
        <v>55700</v>
      </c>
      <c r="I10" t="s">
        <v>1635</v>
      </c>
      <c r="J10" s="10">
        <v>2700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600</v>
      </c>
      <c r="D11" s="9">
        <v>107112657404</v>
      </c>
      <c r="E11" s="10">
        <v>4524</v>
      </c>
      <c r="F11">
        <v>136666</v>
      </c>
      <c r="G11" s="5">
        <v>38272</v>
      </c>
      <c r="H11" s="5">
        <v>98394</v>
      </c>
      <c r="I11" t="s">
        <v>1635</v>
      </c>
      <c r="J11" s="10">
        <v>4524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385</v>
      </c>
      <c r="D12" s="9">
        <v>107112246859</v>
      </c>
      <c r="E12" s="10">
        <v>2914</v>
      </c>
      <c r="F12">
        <v>87624</v>
      </c>
      <c r="G12" s="5">
        <v>28106</v>
      </c>
      <c r="H12" s="5">
        <v>59518</v>
      </c>
      <c r="I12" t="s">
        <v>1635</v>
      </c>
      <c r="J12" s="10">
        <v>2914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50</v>
      </c>
      <c r="D13" s="9">
        <v>101128409796</v>
      </c>
      <c r="E13" s="10">
        <v>4853.33</v>
      </c>
      <c r="F13">
        <v>98000</v>
      </c>
      <c r="G13" s="5">
        <v>33973.31</v>
      </c>
      <c r="H13" s="5">
        <v>64026.69</v>
      </c>
      <c r="I13" t="s">
        <v>1635</v>
      </c>
      <c r="J13" s="10">
        <v>4853.33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638</v>
      </c>
      <c r="D14" s="9">
        <v>107112708646</v>
      </c>
      <c r="E14" s="10">
        <v>1273</v>
      </c>
      <c r="F14">
        <v>22732</v>
      </c>
      <c r="G14" s="5">
        <v>11457</v>
      </c>
      <c r="H14" s="5">
        <v>11275</v>
      </c>
      <c r="I14" t="s">
        <v>1635</v>
      </c>
      <c r="J14" s="10">
        <v>1273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421</v>
      </c>
      <c r="D15" s="9">
        <v>107112331524</v>
      </c>
      <c r="E15" s="10">
        <v>4100</v>
      </c>
      <c r="F15">
        <v>70000</v>
      </c>
      <c r="G15" s="5">
        <v>36509</v>
      </c>
      <c r="H15" s="5">
        <v>33491</v>
      </c>
      <c r="I15" t="s">
        <v>1635</v>
      </c>
      <c r="J15" s="10">
        <v>4100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328</v>
      </c>
      <c r="D16" s="9">
        <v>107111929603</v>
      </c>
      <c r="E16" s="10">
        <v>3780</v>
      </c>
      <c r="F16">
        <v>114888</v>
      </c>
      <c r="G16" s="5">
        <v>36230</v>
      </c>
      <c r="H16" s="5">
        <v>78658</v>
      </c>
      <c r="I16" t="s">
        <v>1635</v>
      </c>
      <c r="J16" s="10">
        <v>3780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818</v>
      </c>
      <c r="D17" s="9">
        <v>107113139038</v>
      </c>
      <c r="E17" s="10">
        <v>1189</v>
      </c>
      <c r="F17">
        <v>21735</v>
      </c>
      <c r="G17" s="5">
        <v>8758</v>
      </c>
      <c r="H17" s="5">
        <v>12977</v>
      </c>
      <c r="I17" t="s">
        <v>1635</v>
      </c>
      <c r="J17" s="10">
        <v>1189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59</v>
      </c>
      <c r="D18" s="9">
        <v>101128692234</v>
      </c>
      <c r="E18" s="10">
        <v>4897</v>
      </c>
      <c r="F18">
        <v>87339</v>
      </c>
      <c r="G18" s="5">
        <v>38219.99</v>
      </c>
      <c r="H18" s="5">
        <v>49119.01</v>
      </c>
      <c r="I18" t="s">
        <v>1635</v>
      </c>
      <c r="J18" s="10">
        <v>4897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280</v>
      </c>
      <c r="D19" s="9">
        <v>101130877911</v>
      </c>
      <c r="E19" s="10">
        <v>2415</v>
      </c>
      <c r="F19">
        <v>95000</v>
      </c>
      <c r="G19" s="5">
        <v>24341.67</v>
      </c>
      <c r="H19" s="5">
        <v>70658.33</v>
      </c>
      <c r="I19" t="s">
        <v>1635</v>
      </c>
      <c r="J19" s="10">
        <v>2415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727</v>
      </c>
      <c r="D20" s="9">
        <v>107112887212</v>
      </c>
      <c r="E20" s="10">
        <v>4316</v>
      </c>
      <c r="F20">
        <v>128253</v>
      </c>
      <c r="G20" s="5">
        <v>32292</v>
      </c>
      <c r="H20" s="5">
        <v>95961</v>
      </c>
      <c r="I20" t="s">
        <v>1635</v>
      </c>
      <c r="J20" s="10">
        <v>4316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816</v>
      </c>
      <c r="D21" s="9">
        <v>107113116925</v>
      </c>
      <c r="E21" s="10">
        <v>2254</v>
      </c>
      <c r="F21">
        <v>39074</v>
      </c>
      <c r="G21" s="5">
        <v>17668</v>
      </c>
      <c r="H21" s="5">
        <v>21406</v>
      </c>
      <c r="I21" t="s">
        <v>1635</v>
      </c>
      <c r="J21" s="10">
        <v>2254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368</v>
      </c>
      <c r="D22" s="9">
        <v>107112197937</v>
      </c>
      <c r="E22" s="10">
        <v>1700</v>
      </c>
      <c r="F22">
        <v>28553</v>
      </c>
      <c r="G22" s="5">
        <v>16150</v>
      </c>
      <c r="H22" s="5">
        <v>12403</v>
      </c>
      <c r="I22" t="s">
        <v>1635</v>
      </c>
      <c r="J22" s="10">
        <v>1700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723</v>
      </c>
      <c r="D23" s="9">
        <v>107112885798</v>
      </c>
      <c r="E23" s="10">
        <v>3531</v>
      </c>
      <c r="F23">
        <v>100000</v>
      </c>
      <c r="G23" s="5">
        <v>20701.5</v>
      </c>
      <c r="H23" s="5">
        <v>79298.5</v>
      </c>
      <c r="I23" t="s">
        <v>1635</v>
      </c>
      <c r="J23" s="10">
        <v>3531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636</v>
      </c>
      <c r="D24" s="9">
        <v>107112707011</v>
      </c>
      <c r="E24" s="10">
        <v>1300</v>
      </c>
      <c r="F24">
        <v>23000</v>
      </c>
      <c r="G24" s="5">
        <v>9100</v>
      </c>
      <c r="H24" s="5">
        <v>13900</v>
      </c>
      <c r="I24" t="s">
        <v>1635</v>
      </c>
      <c r="J24" s="10">
        <v>1300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98</v>
      </c>
      <c r="D25" s="9">
        <v>101129380243</v>
      </c>
      <c r="E25" s="10">
        <v>4977</v>
      </c>
      <c r="F25">
        <v>95275</v>
      </c>
      <c r="G25" s="5">
        <v>43878</v>
      </c>
      <c r="H25" s="5">
        <v>51397</v>
      </c>
      <c r="I25" t="s">
        <v>1635</v>
      </c>
      <c r="J25" s="10">
        <v>4977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769</v>
      </c>
      <c r="D26" s="9">
        <v>107112983263</v>
      </c>
      <c r="E26" s="10">
        <v>3420</v>
      </c>
      <c r="F26">
        <v>100900</v>
      </c>
      <c r="G26" s="5">
        <v>25510</v>
      </c>
      <c r="H26" s="5">
        <v>75390</v>
      </c>
      <c r="I26" t="s">
        <v>1635</v>
      </c>
      <c r="J26" s="10">
        <v>3420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564</v>
      </c>
      <c r="D27" s="9">
        <v>107112621534</v>
      </c>
      <c r="E27" s="10">
        <v>1560</v>
      </c>
      <c r="F27">
        <v>27722</v>
      </c>
      <c r="G27" s="5">
        <v>14040</v>
      </c>
      <c r="H27" s="5">
        <v>13682</v>
      </c>
      <c r="I27" t="s">
        <v>1635</v>
      </c>
      <c r="J27" s="10">
        <v>1560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692</v>
      </c>
      <c r="D28" s="9">
        <v>107112813849</v>
      </c>
      <c r="E28" s="10">
        <v>675</v>
      </c>
      <c r="F28">
        <v>16502</v>
      </c>
      <c r="G28" s="5">
        <v>5400</v>
      </c>
      <c r="H28" s="5">
        <v>11102</v>
      </c>
      <c r="I28" t="s">
        <v>1635</v>
      </c>
      <c r="J28" s="10">
        <v>675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350</v>
      </c>
      <c r="D29" s="9">
        <v>107112083173</v>
      </c>
      <c r="E29" s="10">
        <v>2940</v>
      </c>
      <c r="F29">
        <v>90777</v>
      </c>
      <c r="G29" s="5">
        <v>25920</v>
      </c>
      <c r="H29" s="5">
        <v>64857</v>
      </c>
      <c r="I29" t="s">
        <v>1635</v>
      </c>
      <c r="J29" s="10">
        <v>2940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336</v>
      </c>
      <c r="D30" s="9">
        <v>107111984820</v>
      </c>
      <c r="E30" s="10">
        <v>2400</v>
      </c>
      <c r="F30">
        <v>44000</v>
      </c>
      <c r="G30" s="5">
        <v>26400</v>
      </c>
      <c r="H30" s="5">
        <v>17600</v>
      </c>
      <c r="I30" t="s">
        <v>1635</v>
      </c>
      <c r="J30" s="10">
        <v>2400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110</v>
      </c>
      <c r="D31" s="9">
        <v>101129460405</v>
      </c>
      <c r="E31" s="10">
        <v>3901</v>
      </c>
      <c r="F31">
        <v>73000</v>
      </c>
      <c r="G31" s="5">
        <v>34428</v>
      </c>
      <c r="H31" s="5">
        <v>38572</v>
      </c>
      <c r="I31" t="s">
        <v>1635</v>
      </c>
      <c r="J31" s="10">
        <v>3901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69</v>
      </c>
      <c r="D32" s="9">
        <v>101129185442</v>
      </c>
      <c r="E32" s="10">
        <v>2800</v>
      </c>
      <c r="F32">
        <v>95231</v>
      </c>
      <c r="G32" s="5">
        <v>22300</v>
      </c>
      <c r="H32" s="5">
        <v>72931</v>
      </c>
      <c r="I32" t="s">
        <v>1635</v>
      </c>
      <c r="J32" s="10">
        <v>2800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796</v>
      </c>
      <c r="D33" s="9">
        <v>107113030753</v>
      </c>
      <c r="E33" s="10">
        <v>2808</v>
      </c>
      <c r="F33">
        <v>80000</v>
      </c>
      <c r="G33" s="5">
        <v>19028</v>
      </c>
      <c r="H33" s="5">
        <v>60972</v>
      </c>
      <c r="I33" t="s">
        <v>1635</v>
      </c>
      <c r="J33" s="10">
        <v>2808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729</v>
      </c>
      <c r="D34" s="9">
        <v>107112891513</v>
      </c>
      <c r="E34" s="10">
        <v>3168</v>
      </c>
      <c r="F34">
        <v>90580</v>
      </c>
      <c r="G34" s="5">
        <v>24196</v>
      </c>
      <c r="H34" s="5">
        <v>66384</v>
      </c>
      <c r="I34" t="s">
        <v>1635</v>
      </c>
      <c r="J34" s="10">
        <v>3168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405</v>
      </c>
      <c r="D35" s="9">
        <v>107112299316</v>
      </c>
      <c r="E35" s="10">
        <v>3075</v>
      </c>
      <c r="F35">
        <v>89337</v>
      </c>
      <c r="G35" s="5">
        <v>27675</v>
      </c>
      <c r="H35" s="5">
        <v>61662</v>
      </c>
      <c r="I35" t="s">
        <v>1635</v>
      </c>
      <c r="J35" s="10">
        <v>3075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125</v>
      </c>
      <c r="D36" s="9">
        <v>101129554327</v>
      </c>
      <c r="E36" s="10">
        <v>2660</v>
      </c>
      <c r="F36">
        <v>84023</v>
      </c>
      <c r="G36" s="5">
        <v>27321.34</v>
      </c>
      <c r="H36" s="5">
        <v>56701.66</v>
      </c>
      <c r="I36" t="s">
        <v>1635</v>
      </c>
      <c r="J36" s="10">
        <v>2660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571</v>
      </c>
      <c r="D37" s="9">
        <v>107112626074</v>
      </c>
      <c r="E37" s="10">
        <v>2271.5</v>
      </c>
      <c r="F37">
        <v>68100</v>
      </c>
      <c r="G37" s="5">
        <v>19732</v>
      </c>
      <c r="H37" s="5">
        <v>48368</v>
      </c>
      <c r="I37" t="s">
        <v>1635</v>
      </c>
      <c r="J37" s="10">
        <v>2271.5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554</v>
      </c>
      <c r="D38" s="9">
        <v>107112610645</v>
      </c>
      <c r="E38" s="10">
        <v>5358</v>
      </c>
      <c r="F38">
        <v>163831</v>
      </c>
      <c r="G38" s="5">
        <v>46574</v>
      </c>
      <c r="H38" s="5">
        <v>117257</v>
      </c>
      <c r="I38" t="s">
        <v>1635</v>
      </c>
      <c r="J38" s="10">
        <v>5358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28</v>
      </c>
      <c r="D39" s="9">
        <v>101127876784</v>
      </c>
      <c r="E39" s="10">
        <v>4160</v>
      </c>
      <c r="F39">
        <v>74642</v>
      </c>
      <c r="G39" s="5">
        <v>32053.33</v>
      </c>
      <c r="H39" s="5">
        <v>42588.67</v>
      </c>
      <c r="I39" t="s">
        <v>1635</v>
      </c>
      <c r="J39" s="10">
        <v>4160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688</v>
      </c>
      <c r="D40" s="9">
        <v>107112807713</v>
      </c>
      <c r="E40" s="10">
        <v>2937</v>
      </c>
      <c r="F40">
        <v>88800</v>
      </c>
      <c r="G40" s="5">
        <v>21879</v>
      </c>
      <c r="H40" s="5">
        <v>66921</v>
      </c>
      <c r="I40" t="s">
        <v>1635</v>
      </c>
      <c r="J40" s="10">
        <v>2937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26</v>
      </c>
      <c r="D41" s="9">
        <v>101127687701</v>
      </c>
      <c r="E41" s="10">
        <v>2314</v>
      </c>
      <c r="F41">
        <v>61372</v>
      </c>
      <c r="G41" s="5">
        <v>22492.67</v>
      </c>
      <c r="H41" s="5">
        <v>38879.33</v>
      </c>
      <c r="I41" t="s">
        <v>1635</v>
      </c>
      <c r="J41" s="10">
        <v>2314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745</v>
      </c>
      <c r="D42" s="9">
        <v>107112914579</v>
      </c>
      <c r="E42" s="10">
        <v>2760</v>
      </c>
      <c r="F42">
        <v>83500</v>
      </c>
      <c r="G42" s="5">
        <v>18160</v>
      </c>
      <c r="H42" s="5">
        <v>65340</v>
      </c>
      <c r="I42" t="s">
        <v>1635</v>
      </c>
      <c r="J42" s="10">
        <v>2760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453</v>
      </c>
      <c r="D43" s="9">
        <v>107112417266</v>
      </c>
      <c r="E43" s="10">
        <v>1155</v>
      </c>
      <c r="F43">
        <v>20000</v>
      </c>
      <c r="G43" s="5">
        <v>8085</v>
      </c>
      <c r="H43" s="5">
        <v>11915</v>
      </c>
      <c r="I43" t="s">
        <v>1635</v>
      </c>
      <c r="J43" s="10">
        <v>1155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725</v>
      </c>
      <c r="D44" s="9">
        <v>107112885802</v>
      </c>
      <c r="E44" s="10">
        <v>3531</v>
      </c>
      <c r="F44">
        <v>100000</v>
      </c>
      <c r="G44" s="5">
        <v>23451</v>
      </c>
      <c r="H44" s="5">
        <v>76549</v>
      </c>
      <c r="I44" t="s">
        <v>1635</v>
      </c>
      <c r="J44" s="10">
        <v>3531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427</v>
      </c>
      <c r="D45" s="9">
        <v>107112336393</v>
      </c>
      <c r="E45" s="10">
        <v>4200</v>
      </c>
      <c r="F45">
        <v>151204</v>
      </c>
      <c r="G45" s="5">
        <v>36400</v>
      </c>
      <c r="H45" s="5">
        <v>114804</v>
      </c>
      <c r="I45" t="s">
        <v>1635</v>
      </c>
      <c r="J45" s="10">
        <v>4200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415</v>
      </c>
      <c r="D46" s="9">
        <v>107112318319</v>
      </c>
      <c r="E46" s="10">
        <v>1632</v>
      </c>
      <c r="F46">
        <v>46731</v>
      </c>
      <c r="G46" s="5">
        <v>14688</v>
      </c>
      <c r="H46" s="5">
        <v>32043</v>
      </c>
      <c r="I46" t="s">
        <v>1635</v>
      </c>
      <c r="J46" s="10">
        <v>1632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694</v>
      </c>
      <c r="D47" s="9">
        <v>107112817606</v>
      </c>
      <c r="E47" s="10">
        <v>1320</v>
      </c>
      <c r="F47">
        <v>26600</v>
      </c>
      <c r="G47" s="5">
        <v>11880</v>
      </c>
      <c r="H47" s="5">
        <v>14720</v>
      </c>
      <c r="I47" t="s">
        <v>1635</v>
      </c>
      <c r="J47" s="10">
        <v>1320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459</v>
      </c>
      <c r="D48" s="9">
        <v>107112444178</v>
      </c>
      <c r="E48" s="10">
        <v>4018</v>
      </c>
      <c r="F48">
        <v>118888</v>
      </c>
      <c r="G48" s="5">
        <v>31506</v>
      </c>
      <c r="H48" s="5">
        <v>87382</v>
      </c>
      <c r="I48" t="s">
        <v>1635</v>
      </c>
      <c r="J48" s="10">
        <v>4018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477</v>
      </c>
      <c r="D49" s="9">
        <v>107112479350</v>
      </c>
      <c r="E49" s="10">
        <v>2880</v>
      </c>
      <c r="F49">
        <v>90000</v>
      </c>
      <c r="G49" s="5">
        <v>21980</v>
      </c>
      <c r="H49" s="5">
        <v>68020</v>
      </c>
      <c r="I49" t="s">
        <v>1635</v>
      </c>
      <c r="J49" s="10">
        <v>2880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258</v>
      </c>
      <c r="D50" s="9">
        <v>101130673207</v>
      </c>
      <c r="E50" s="10">
        <v>4307</v>
      </c>
      <c r="F50">
        <v>79553</v>
      </c>
      <c r="G50" s="5">
        <v>32825.67</v>
      </c>
      <c r="H50" s="5">
        <v>46727.33</v>
      </c>
      <c r="I50" t="s">
        <v>1635</v>
      </c>
      <c r="J50" s="10">
        <v>4307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669</v>
      </c>
      <c r="D51" s="9">
        <v>107112779353</v>
      </c>
      <c r="E51" s="10">
        <v>3834</v>
      </c>
      <c r="F51">
        <v>111671</v>
      </c>
      <c r="G51" s="5">
        <v>32932</v>
      </c>
      <c r="H51" s="5">
        <v>78739</v>
      </c>
      <c r="I51" t="s">
        <v>1635</v>
      </c>
      <c r="J51" s="10">
        <v>3834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403</v>
      </c>
      <c r="D52" s="9">
        <v>107112295553</v>
      </c>
      <c r="E52" s="10">
        <v>2990</v>
      </c>
      <c r="F52">
        <v>107000</v>
      </c>
      <c r="G52" s="5">
        <v>26520</v>
      </c>
      <c r="H52" s="5">
        <v>80480</v>
      </c>
      <c r="I52" t="s">
        <v>1635</v>
      </c>
      <c r="J52" s="10">
        <v>2990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684</v>
      </c>
      <c r="D53" s="9">
        <v>107112803579</v>
      </c>
      <c r="E53" s="10">
        <v>2225</v>
      </c>
      <c r="F53">
        <v>67500</v>
      </c>
      <c r="G53" s="5">
        <v>14350</v>
      </c>
      <c r="H53" s="5">
        <v>53150</v>
      </c>
      <c r="I53" t="s">
        <v>1635</v>
      </c>
      <c r="J53" s="10">
        <v>2225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487</v>
      </c>
      <c r="D54" s="9">
        <v>107112499423</v>
      </c>
      <c r="E54" s="10">
        <v>2635.2</v>
      </c>
      <c r="F54">
        <v>77000</v>
      </c>
      <c r="G54" s="5">
        <v>22969.600000000002</v>
      </c>
      <c r="H54" s="5">
        <v>54030.399999999994</v>
      </c>
      <c r="I54" t="s">
        <v>1635</v>
      </c>
      <c r="J54" s="10">
        <v>2635.2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356</v>
      </c>
      <c r="D55" s="9">
        <v>107112136965</v>
      </c>
      <c r="E55" s="10">
        <v>4176</v>
      </c>
      <c r="F55">
        <v>126800</v>
      </c>
      <c r="G55" s="5">
        <v>39404</v>
      </c>
      <c r="H55" s="5">
        <v>87396</v>
      </c>
      <c r="I55" t="s">
        <v>1635</v>
      </c>
      <c r="J55" s="10">
        <v>4176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513</v>
      </c>
      <c r="D56" s="9">
        <v>107112562410</v>
      </c>
      <c r="E56" s="10">
        <v>2565</v>
      </c>
      <c r="F56">
        <v>78200</v>
      </c>
      <c r="G56" s="5">
        <v>22320</v>
      </c>
      <c r="H56" s="5">
        <v>55880</v>
      </c>
      <c r="I56" t="s">
        <v>1635</v>
      </c>
      <c r="J56" s="10">
        <v>2565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233</v>
      </c>
      <c r="D57" s="9">
        <v>101130428817</v>
      </c>
      <c r="E57" s="10">
        <v>4320</v>
      </c>
      <c r="F57">
        <v>80000</v>
      </c>
      <c r="G57" s="5">
        <v>32160</v>
      </c>
      <c r="H57" s="5">
        <v>47840</v>
      </c>
      <c r="I57" t="s">
        <v>1635</v>
      </c>
      <c r="J57" s="10">
        <v>4320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509</v>
      </c>
      <c r="D58" s="9">
        <v>107112556607</v>
      </c>
      <c r="E58" s="10">
        <v>3922</v>
      </c>
      <c r="F58">
        <v>119603</v>
      </c>
      <c r="G58" s="5">
        <v>33496</v>
      </c>
      <c r="H58" s="5">
        <v>86107</v>
      </c>
      <c r="I58" t="s">
        <v>1635</v>
      </c>
      <c r="J58" s="10">
        <v>3922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207</v>
      </c>
      <c r="D59" s="9">
        <v>101130192067</v>
      </c>
      <c r="E59" s="10">
        <v>2360</v>
      </c>
      <c r="F59">
        <v>73000</v>
      </c>
      <c r="G59" s="5">
        <v>18583.330000000002</v>
      </c>
      <c r="H59" s="5">
        <v>54416.67</v>
      </c>
      <c r="I59" t="s">
        <v>1635</v>
      </c>
      <c r="J59" s="10">
        <v>2360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717</v>
      </c>
      <c r="D60" s="9">
        <v>107112873012</v>
      </c>
      <c r="E60" s="10">
        <v>4959</v>
      </c>
      <c r="F60">
        <v>142410</v>
      </c>
      <c r="G60" s="5">
        <v>33464</v>
      </c>
      <c r="H60" s="5">
        <v>108946</v>
      </c>
      <c r="I60" t="s">
        <v>1635</v>
      </c>
      <c r="J60" s="10">
        <v>4959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761</v>
      </c>
      <c r="D61" s="9">
        <v>107112954373</v>
      </c>
      <c r="E61" s="10">
        <v>3550</v>
      </c>
      <c r="F61">
        <v>105700</v>
      </c>
      <c r="G61" s="5">
        <v>23300</v>
      </c>
      <c r="H61" s="5">
        <v>82400</v>
      </c>
      <c r="I61" t="s">
        <v>1635</v>
      </c>
      <c r="J61" s="10">
        <v>3550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533</v>
      </c>
      <c r="D62" s="9">
        <v>107112590746</v>
      </c>
      <c r="E62" s="10">
        <v>1250</v>
      </c>
      <c r="F62">
        <v>22478</v>
      </c>
      <c r="G62" s="5">
        <v>11250</v>
      </c>
      <c r="H62" s="5">
        <v>11228</v>
      </c>
      <c r="I62" t="s">
        <v>1635</v>
      </c>
      <c r="J62" s="10">
        <v>1250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34</v>
      </c>
      <c r="D63" s="9">
        <v>101128199395</v>
      </c>
      <c r="E63" s="10">
        <v>3709.8</v>
      </c>
      <c r="F63">
        <v>109806</v>
      </c>
      <c r="G63" s="5">
        <v>38817.33</v>
      </c>
      <c r="H63" s="5">
        <v>70988.67</v>
      </c>
      <c r="I63" t="s">
        <v>1635</v>
      </c>
      <c r="J63" s="10">
        <v>3709.8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246</v>
      </c>
      <c r="D64" s="9">
        <v>101130532169</v>
      </c>
      <c r="E64" s="10">
        <v>2756</v>
      </c>
      <c r="F64">
        <v>83985</v>
      </c>
      <c r="G64" s="5">
        <v>21198.67</v>
      </c>
      <c r="H64" s="5">
        <v>62786.33</v>
      </c>
      <c r="I64" t="s">
        <v>1635</v>
      </c>
      <c r="J64" s="10">
        <v>2756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364</v>
      </c>
      <c r="D65" s="9">
        <v>107112191225</v>
      </c>
      <c r="E65" s="10">
        <v>2795</v>
      </c>
      <c r="F65">
        <v>83042</v>
      </c>
      <c r="G65" s="5">
        <v>25155</v>
      </c>
      <c r="H65" s="5">
        <v>57887</v>
      </c>
      <c r="I65" t="s">
        <v>1635</v>
      </c>
      <c r="J65" s="10">
        <v>2795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519</v>
      </c>
      <c r="D66" s="9">
        <v>107112571761</v>
      </c>
      <c r="E66" s="10">
        <v>3630</v>
      </c>
      <c r="F66">
        <v>110000</v>
      </c>
      <c r="G66" s="5">
        <v>30230</v>
      </c>
      <c r="H66" s="5">
        <v>79770</v>
      </c>
      <c r="I66" t="s">
        <v>1635</v>
      </c>
      <c r="J66" s="10">
        <v>3630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634</v>
      </c>
      <c r="D67" s="9">
        <v>107112705537</v>
      </c>
      <c r="E67" s="10">
        <v>1399.92</v>
      </c>
      <c r="F67">
        <v>24606</v>
      </c>
      <c r="G67" s="5">
        <v>13999.2</v>
      </c>
      <c r="H67" s="5">
        <v>10606.8</v>
      </c>
      <c r="I67" t="s">
        <v>1635</v>
      </c>
      <c r="J67" s="10">
        <v>1399.92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44</v>
      </c>
      <c r="D68" s="9">
        <v>101128209044</v>
      </c>
      <c r="E68" s="10">
        <v>1456</v>
      </c>
      <c r="F68">
        <v>43600</v>
      </c>
      <c r="G68" s="5">
        <v>13104</v>
      </c>
      <c r="H68" s="5">
        <v>30496</v>
      </c>
      <c r="I68" t="s">
        <v>1635</v>
      </c>
      <c r="J68" s="10">
        <v>1456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211</v>
      </c>
      <c r="D69" s="9">
        <v>101130206941</v>
      </c>
      <c r="E69" s="10">
        <v>1900</v>
      </c>
      <c r="F69">
        <v>55200</v>
      </c>
      <c r="G69" s="5">
        <v>16790</v>
      </c>
      <c r="H69" s="5">
        <v>38410</v>
      </c>
      <c r="I69" t="s">
        <v>1635</v>
      </c>
      <c r="J69" s="10">
        <v>1900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776</v>
      </c>
      <c r="D70" s="9">
        <v>107112992648</v>
      </c>
      <c r="E70" s="10">
        <v>4422.6000000000004</v>
      </c>
      <c r="F70">
        <v>125989</v>
      </c>
      <c r="G70" s="5">
        <v>28849.599999999999</v>
      </c>
      <c r="H70" s="5">
        <v>97139.4</v>
      </c>
      <c r="I70" t="s">
        <v>1635</v>
      </c>
      <c r="J70" s="10">
        <v>4422.6000000000004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413</v>
      </c>
      <c r="D71" s="9">
        <v>107112316953</v>
      </c>
      <c r="E71" s="10">
        <v>1734</v>
      </c>
      <c r="F71">
        <v>50000</v>
      </c>
      <c r="G71" s="5">
        <v>17340</v>
      </c>
      <c r="H71" s="5">
        <v>32660</v>
      </c>
      <c r="I71" t="s">
        <v>1635</v>
      </c>
      <c r="J71" s="10">
        <v>1734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401</v>
      </c>
      <c r="D72" s="9">
        <v>107112290433</v>
      </c>
      <c r="E72" s="10">
        <v>3536</v>
      </c>
      <c r="F72">
        <v>121325</v>
      </c>
      <c r="G72" s="5">
        <v>31824</v>
      </c>
      <c r="H72" s="5">
        <v>89501</v>
      </c>
      <c r="I72" t="s">
        <v>1635</v>
      </c>
      <c r="J72" s="10">
        <v>3536</v>
      </c>
      <c r="K72" t="s">
        <v>1635</v>
      </c>
      <c r="L72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1D63-E175-6843-BBFE-2717E04174D2}">
  <dimension ref="A1:L151"/>
  <sheetViews>
    <sheetView workbookViewId="0">
      <selection activeCell="K3" sqref="K3:L17"/>
    </sheetView>
  </sheetViews>
  <sheetFormatPr baseColWidth="10" defaultRowHeight="14"/>
  <cols>
    <col min="2" max="2" width="29.33203125" bestFit="1" customWidth="1"/>
    <col min="4" max="4" width="15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575</v>
      </c>
      <c r="D2" s="9">
        <v>107112633046</v>
      </c>
      <c r="E2" s="10">
        <v>2475</v>
      </c>
      <c r="F2">
        <v>78888</v>
      </c>
      <c r="G2" s="5">
        <v>18450</v>
      </c>
      <c r="H2" s="5">
        <v>60438</v>
      </c>
      <c r="I2" t="s">
        <v>1635</v>
      </c>
      <c r="J2" s="10">
        <v>2475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127</v>
      </c>
      <c r="D3" s="9">
        <v>101129560839</v>
      </c>
      <c r="E3" s="10">
        <v>3000</v>
      </c>
      <c r="F3">
        <v>89318</v>
      </c>
      <c r="G3" s="5">
        <v>26750</v>
      </c>
      <c r="H3" s="5">
        <v>62568</v>
      </c>
      <c r="I3" t="s">
        <v>1635</v>
      </c>
      <c r="J3" s="10">
        <v>3000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661</v>
      </c>
      <c r="D4" s="9">
        <v>107112765285</v>
      </c>
      <c r="E4" s="10">
        <v>4005</v>
      </c>
      <c r="F4">
        <v>121500</v>
      </c>
      <c r="G4" s="5">
        <v>33840</v>
      </c>
      <c r="H4" s="5">
        <v>87660</v>
      </c>
      <c r="I4" t="s">
        <v>1635</v>
      </c>
      <c r="J4" s="10">
        <v>4005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497</v>
      </c>
      <c r="D5" s="9">
        <v>107112529588</v>
      </c>
      <c r="E5" s="10">
        <v>1679</v>
      </c>
      <c r="F5">
        <v>30363</v>
      </c>
      <c r="G5" s="5">
        <v>16790</v>
      </c>
      <c r="H5" s="5">
        <v>13573</v>
      </c>
      <c r="I5" t="s">
        <v>1635</v>
      </c>
      <c r="J5" s="10">
        <v>1679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463</v>
      </c>
      <c r="D6" s="9">
        <v>107112456127</v>
      </c>
      <c r="E6" s="10">
        <v>3692</v>
      </c>
      <c r="F6">
        <v>112197</v>
      </c>
      <c r="G6" s="5">
        <v>35308</v>
      </c>
      <c r="H6" s="5">
        <v>76889</v>
      </c>
      <c r="I6" t="s">
        <v>1635</v>
      </c>
      <c r="J6" s="10">
        <v>3692</v>
      </c>
      <c r="K6" t="s">
        <v>1635</v>
      </c>
      <c r="L6">
        <v>0</v>
      </c>
    </row>
    <row r="7" spans="1:12">
      <c r="A7">
        <v>1</v>
      </c>
      <c r="B7" t="s">
        <v>15</v>
      </c>
      <c r="C7" s="7" t="s">
        <v>1637</v>
      </c>
      <c r="D7" s="9">
        <v>107112633794</v>
      </c>
      <c r="E7" s="10">
        <v>5880</v>
      </c>
      <c r="F7">
        <v>179000</v>
      </c>
      <c r="G7" s="5">
        <v>48038</v>
      </c>
      <c r="H7" s="5">
        <v>130962</v>
      </c>
      <c r="I7" t="s">
        <v>1635</v>
      </c>
      <c r="J7" s="10">
        <v>5880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36</v>
      </c>
      <c r="D8" s="9">
        <v>101128199843</v>
      </c>
      <c r="E8" s="10">
        <v>3200</v>
      </c>
      <c r="F8">
        <v>93677</v>
      </c>
      <c r="G8" s="5">
        <v>22400</v>
      </c>
      <c r="H8" s="5">
        <v>71277</v>
      </c>
      <c r="I8" t="s">
        <v>1635</v>
      </c>
      <c r="J8" s="10">
        <v>3200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377</v>
      </c>
      <c r="D9" s="9">
        <v>107112217965</v>
      </c>
      <c r="E9" s="10">
        <v>2200</v>
      </c>
      <c r="F9">
        <v>66000</v>
      </c>
      <c r="G9" s="5">
        <v>21400</v>
      </c>
      <c r="H9" s="5">
        <v>44600</v>
      </c>
      <c r="I9" t="s">
        <v>1635</v>
      </c>
      <c r="J9" s="10">
        <v>2200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270</v>
      </c>
      <c r="D10" s="9">
        <v>101130796627</v>
      </c>
      <c r="E10" s="10">
        <v>4872</v>
      </c>
      <c r="F10">
        <v>121733</v>
      </c>
      <c r="G10" s="5">
        <v>42456</v>
      </c>
      <c r="H10" s="5">
        <v>79277</v>
      </c>
      <c r="I10" t="s">
        <v>1635</v>
      </c>
      <c r="J10" s="10">
        <v>4872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757</v>
      </c>
      <c r="D11" s="9">
        <v>107112950619</v>
      </c>
      <c r="E11" s="10">
        <v>4980</v>
      </c>
      <c r="F11">
        <v>143403</v>
      </c>
      <c r="G11" s="5">
        <v>37360</v>
      </c>
      <c r="H11" s="5">
        <v>106043</v>
      </c>
      <c r="I11" t="s">
        <v>1635</v>
      </c>
      <c r="J11" s="10">
        <v>4980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171</v>
      </c>
      <c r="D12" s="9">
        <v>101129963777</v>
      </c>
      <c r="E12" s="10">
        <v>5635</v>
      </c>
      <c r="F12">
        <v>169978</v>
      </c>
      <c r="G12" s="5">
        <v>49296.67</v>
      </c>
      <c r="H12" s="5">
        <v>120681.33</v>
      </c>
      <c r="I12" t="s">
        <v>1635</v>
      </c>
      <c r="J12" s="10">
        <v>5635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151</v>
      </c>
      <c r="D13" s="9">
        <v>101129734313</v>
      </c>
      <c r="E13" s="10">
        <v>4352</v>
      </c>
      <c r="F13">
        <v>79477</v>
      </c>
      <c r="G13" s="5">
        <v>35094</v>
      </c>
      <c r="H13" s="5">
        <v>44383</v>
      </c>
      <c r="I13" t="s">
        <v>1635</v>
      </c>
      <c r="J13" s="10">
        <v>4352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780</v>
      </c>
      <c r="D14" s="9">
        <v>107113004258</v>
      </c>
      <c r="E14" s="10">
        <v>4500</v>
      </c>
      <c r="F14">
        <v>106935</v>
      </c>
      <c r="G14" s="5">
        <v>38100</v>
      </c>
      <c r="H14" s="5">
        <v>68835</v>
      </c>
      <c r="I14" t="s">
        <v>1635</v>
      </c>
      <c r="J14" s="10">
        <v>4500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784</v>
      </c>
      <c r="D15" s="9">
        <v>107113008480</v>
      </c>
      <c r="E15" s="10">
        <v>3953</v>
      </c>
      <c r="F15">
        <v>123000</v>
      </c>
      <c r="G15" s="5">
        <v>30351</v>
      </c>
      <c r="H15" s="5">
        <v>92649</v>
      </c>
      <c r="I15" t="s">
        <v>1635</v>
      </c>
      <c r="J15" s="10">
        <v>3953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419</v>
      </c>
      <c r="D16" s="9">
        <v>107112328931</v>
      </c>
      <c r="E16" s="10">
        <v>476</v>
      </c>
      <c r="F16">
        <v>8410</v>
      </c>
      <c r="G16" s="5">
        <v>4760</v>
      </c>
      <c r="H16" s="5">
        <v>3650</v>
      </c>
      <c r="I16" t="s">
        <v>1635</v>
      </c>
      <c r="J16" s="10">
        <v>476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814</v>
      </c>
      <c r="D17" s="9">
        <v>107113106536</v>
      </c>
      <c r="E17" s="10">
        <v>1520</v>
      </c>
      <c r="F17">
        <v>27939</v>
      </c>
      <c r="G17" s="5">
        <v>12160</v>
      </c>
      <c r="H17" s="5">
        <v>15779</v>
      </c>
      <c r="I17" t="s">
        <v>1635</v>
      </c>
      <c r="J17" s="10">
        <v>1520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296</v>
      </c>
      <c r="D18" s="9">
        <v>101131064033</v>
      </c>
      <c r="E18" s="10">
        <v>2970</v>
      </c>
      <c r="F18">
        <v>82153</v>
      </c>
      <c r="G18" s="5">
        <v>23760</v>
      </c>
      <c r="H18" s="5">
        <v>58393</v>
      </c>
      <c r="I18" t="s">
        <v>1635</v>
      </c>
      <c r="J18" s="10">
        <v>2970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582</v>
      </c>
      <c r="D19" s="9">
        <v>107112640722</v>
      </c>
      <c r="E19" s="10">
        <v>1720</v>
      </c>
      <c r="F19">
        <v>67000</v>
      </c>
      <c r="G19" s="5">
        <v>19608</v>
      </c>
      <c r="H19" s="5">
        <v>47392</v>
      </c>
      <c r="I19" t="s">
        <v>1635</v>
      </c>
      <c r="J19" s="10">
        <v>1720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771</v>
      </c>
      <c r="D20" s="9">
        <v>107112988971</v>
      </c>
      <c r="E20" s="10">
        <v>5325</v>
      </c>
      <c r="F20">
        <v>158407</v>
      </c>
      <c r="G20" s="5">
        <v>40275</v>
      </c>
      <c r="H20" s="5">
        <v>118132</v>
      </c>
      <c r="I20" t="s">
        <v>1635</v>
      </c>
      <c r="J20" s="10">
        <v>5325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163</v>
      </c>
      <c r="D21" s="9">
        <v>101129909458</v>
      </c>
      <c r="E21" s="10">
        <v>2964</v>
      </c>
      <c r="F21">
        <v>97065</v>
      </c>
      <c r="G21" s="5">
        <v>23234.67</v>
      </c>
      <c r="H21" s="5">
        <v>73830.33</v>
      </c>
      <c r="I21" t="s">
        <v>1635</v>
      </c>
      <c r="J21" s="10">
        <v>2964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788</v>
      </c>
      <c r="D22" s="9">
        <v>107113013923</v>
      </c>
      <c r="E22" s="10">
        <v>1680</v>
      </c>
      <c r="F22">
        <v>87928</v>
      </c>
      <c r="G22" s="5">
        <v>19830</v>
      </c>
      <c r="H22" s="5">
        <v>68098</v>
      </c>
      <c r="I22" t="s">
        <v>1635</v>
      </c>
      <c r="J22" s="10">
        <v>1680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137</v>
      </c>
      <c r="D23" s="9">
        <v>101129645009</v>
      </c>
      <c r="E23" s="10">
        <v>4664</v>
      </c>
      <c r="F23">
        <v>140559</v>
      </c>
      <c r="G23" s="5">
        <v>40832</v>
      </c>
      <c r="H23" s="5">
        <v>99727</v>
      </c>
      <c r="I23" t="s">
        <v>1635</v>
      </c>
      <c r="J23" s="10">
        <v>4664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469</v>
      </c>
      <c r="D24" s="9">
        <v>107112464864</v>
      </c>
      <c r="E24" s="10">
        <v>2736</v>
      </c>
      <c r="F24">
        <v>89000</v>
      </c>
      <c r="G24" s="5">
        <v>17178</v>
      </c>
      <c r="H24" s="5">
        <v>71822</v>
      </c>
      <c r="I24" t="s">
        <v>1635</v>
      </c>
      <c r="J24" s="10">
        <v>2736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649</v>
      </c>
      <c r="D25" s="9">
        <v>107112740368</v>
      </c>
      <c r="E25" s="10">
        <v>3672</v>
      </c>
      <c r="F25">
        <v>106000</v>
      </c>
      <c r="G25" s="5">
        <v>27964</v>
      </c>
      <c r="H25" s="5">
        <v>78036</v>
      </c>
      <c r="I25" t="s">
        <v>1635</v>
      </c>
      <c r="J25" s="10">
        <v>3672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485</v>
      </c>
      <c r="D26" s="9">
        <v>107112498413</v>
      </c>
      <c r="E26" s="10">
        <v>3135</v>
      </c>
      <c r="F26">
        <v>93980</v>
      </c>
      <c r="G26" s="5">
        <v>26345</v>
      </c>
      <c r="H26" s="5">
        <v>67635</v>
      </c>
      <c r="I26" t="s">
        <v>1635</v>
      </c>
      <c r="J26" s="10">
        <v>3135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548</v>
      </c>
      <c r="D27" s="9">
        <v>107112608464</v>
      </c>
      <c r="E27" s="10">
        <v>2632</v>
      </c>
      <c r="F27">
        <v>78025</v>
      </c>
      <c r="G27" s="5">
        <v>22986</v>
      </c>
      <c r="H27" s="5">
        <v>55039</v>
      </c>
      <c r="I27" t="s">
        <v>1635</v>
      </c>
      <c r="J27" s="10">
        <v>2632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778</v>
      </c>
      <c r="D28" s="9">
        <v>107113002705</v>
      </c>
      <c r="E28" s="10">
        <v>1014</v>
      </c>
      <c r="F28">
        <v>17949</v>
      </c>
      <c r="G28" s="5">
        <v>9126</v>
      </c>
      <c r="H28" s="5">
        <v>8823</v>
      </c>
      <c r="I28" t="s">
        <v>1635</v>
      </c>
      <c r="J28" s="10">
        <v>1014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145</v>
      </c>
      <c r="D29" s="9">
        <v>101129692832</v>
      </c>
      <c r="E29" s="10">
        <v>2237.1999999999998</v>
      </c>
      <c r="F29">
        <v>78000</v>
      </c>
      <c r="G29" s="5">
        <v>22372</v>
      </c>
      <c r="H29" s="5">
        <v>55628</v>
      </c>
      <c r="I29" t="s">
        <v>1635</v>
      </c>
      <c r="J29" s="10">
        <v>2237.1999999999998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794</v>
      </c>
      <c r="D30" s="9">
        <v>107113026035</v>
      </c>
      <c r="E30" s="10">
        <v>3024</v>
      </c>
      <c r="F30">
        <v>86288</v>
      </c>
      <c r="G30" s="5">
        <v>22948</v>
      </c>
      <c r="H30" s="5">
        <v>63340</v>
      </c>
      <c r="I30" t="s">
        <v>1635</v>
      </c>
      <c r="J30" s="10">
        <v>3024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83</v>
      </c>
      <c r="D31" s="9">
        <v>101129319780</v>
      </c>
      <c r="E31" s="10">
        <v>2970</v>
      </c>
      <c r="F31">
        <v>92789</v>
      </c>
      <c r="G31" s="5">
        <v>29700</v>
      </c>
      <c r="H31" s="5">
        <v>63089</v>
      </c>
      <c r="I31" t="s">
        <v>1635</v>
      </c>
      <c r="J31" s="10">
        <v>2970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143</v>
      </c>
      <c r="D32" s="9">
        <v>101129689132</v>
      </c>
      <c r="E32" s="10">
        <v>5704</v>
      </c>
      <c r="F32">
        <v>108000</v>
      </c>
      <c r="G32" s="5">
        <v>49008.67</v>
      </c>
      <c r="H32" s="5">
        <v>58991.33</v>
      </c>
      <c r="I32" t="s">
        <v>1635</v>
      </c>
      <c r="J32" s="10">
        <v>5704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630</v>
      </c>
      <c r="D33" s="9">
        <v>107112701286</v>
      </c>
      <c r="E33" s="10">
        <v>3772</v>
      </c>
      <c r="F33">
        <v>107350</v>
      </c>
      <c r="G33" s="5">
        <v>32166</v>
      </c>
      <c r="H33" s="5">
        <v>75184</v>
      </c>
      <c r="I33" t="s">
        <v>1635</v>
      </c>
      <c r="J33" s="10">
        <v>3772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61</v>
      </c>
      <c r="D34" s="9">
        <v>101129075952</v>
      </c>
      <c r="E34" s="10">
        <v>2992</v>
      </c>
      <c r="F34">
        <v>93250</v>
      </c>
      <c r="G34" s="5">
        <v>29321.33</v>
      </c>
      <c r="H34" s="5">
        <v>63928.67</v>
      </c>
      <c r="I34" t="s">
        <v>1635</v>
      </c>
      <c r="J34" s="10">
        <v>2992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46</v>
      </c>
      <c r="D35" s="9">
        <v>101128228767</v>
      </c>
      <c r="E35" s="10">
        <v>1334</v>
      </c>
      <c r="F35">
        <v>39593</v>
      </c>
      <c r="G35" s="5">
        <v>10672</v>
      </c>
      <c r="H35" s="5">
        <v>28921</v>
      </c>
      <c r="I35" t="s">
        <v>1635</v>
      </c>
      <c r="J35" s="10">
        <v>1334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195</v>
      </c>
      <c r="D36" s="9">
        <v>101130125068</v>
      </c>
      <c r="E36" s="10">
        <v>2340</v>
      </c>
      <c r="F36">
        <v>69800</v>
      </c>
      <c r="G36" s="5">
        <v>21060</v>
      </c>
      <c r="H36" s="5">
        <v>48740</v>
      </c>
      <c r="I36" t="s">
        <v>1635</v>
      </c>
      <c r="J36" s="10">
        <v>2340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256</v>
      </c>
      <c r="D37" s="9">
        <v>101130634868</v>
      </c>
      <c r="E37" s="10">
        <v>3375</v>
      </c>
      <c r="F37">
        <v>105000</v>
      </c>
      <c r="G37" s="5">
        <v>27000</v>
      </c>
      <c r="H37" s="5">
        <v>78000</v>
      </c>
      <c r="I37" t="s">
        <v>1635</v>
      </c>
      <c r="J37" s="10">
        <v>3375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115</v>
      </c>
      <c r="D38" s="9">
        <v>101129492083</v>
      </c>
      <c r="E38" s="10">
        <v>4335</v>
      </c>
      <c r="F38">
        <v>80000</v>
      </c>
      <c r="G38" s="5">
        <v>33745</v>
      </c>
      <c r="H38" s="5">
        <v>46255</v>
      </c>
      <c r="I38" t="s">
        <v>1635</v>
      </c>
      <c r="J38" s="10">
        <v>4335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106</v>
      </c>
      <c r="D39" s="9">
        <v>101129442765</v>
      </c>
      <c r="E39" s="10">
        <v>2926</v>
      </c>
      <c r="F39">
        <v>91996</v>
      </c>
      <c r="G39" s="5">
        <v>29260</v>
      </c>
      <c r="H39" s="5">
        <v>62736</v>
      </c>
      <c r="I39" t="s">
        <v>1635</v>
      </c>
      <c r="J39" s="10">
        <v>2926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87</v>
      </c>
      <c r="D40" s="9">
        <v>101129327544</v>
      </c>
      <c r="E40" s="10">
        <v>2464</v>
      </c>
      <c r="F40">
        <v>76000</v>
      </c>
      <c r="G40" s="5">
        <v>22176</v>
      </c>
      <c r="H40" s="5">
        <v>53824</v>
      </c>
      <c r="I40" t="s">
        <v>1635</v>
      </c>
      <c r="J40" s="10">
        <v>2464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167</v>
      </c>
      <c r="D41" s="9">
        <v>101129927216</v>
      </c>
      <c r="E41" s="10">
        <v>4536</v>
      </c>
      <c r="F41">
        <v>86485</v>
      </c>
      <c r="G41" s="5">
        <v>43434</v>
      </c>
      <c r="H41" s="5">
        <v>43051</v>
      </c>
      <c r="I41" t="s">
        <v>1635</v>
      </c>
      <c r="J41" s="10">
        <v>4536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541</v>
      </c>
      <c r="D42" s="9">
        <v>107112600219</v>
      </c>
      <c r="E42" s="10">
        <v>4290</v>
      </c>
      <c r="F42">
        <v>130000</v>
      </c>
      <c r="G42" s="5">
        <v>36520</v>
      </c>
      <c r="H42" s="5">
        <v>93480</v>
      </c>
      <c r="I42" t="s">
        <v>1635</v>
      </c>
      <c r="J42" s="10">
        <v>4290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111</v>
      </c>
      <c r="D43" s="9">
        <v>101129472286</v>
      </c>
      <c r="E43" s="10">
        <v>2210</v>
      </c>
      <c r="F43">
        <v>78900</v>
      </c>
      <c r="G43" s="5">
        <v>19890</v>
      </c>
      <c r="H43" s="5">
        <v>59010</v>
      </c>
      <c r="I43" t="s">
        <v>1635</v>
      </c>
      <c r="J43" s="10">
        <v>2210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409</v>
      </c>
      <c r="D44" s="9">
        <v>107112306856</v>
      </c>
      <c r="E44" s="10">
        <v>2898</v>
      </c>
      <c r="F44">
        <v>88101</v>
      </c>
      <c r="G44" s="5">
        <v>26082</v>
      </c>
      <c r="H44" s="5">
        <v>62019</v>
      </c>
      <c r="I44" t="s">
        <v>1635</v>
      </c>
      <c r="J44" s="10">
        <v>2898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598</v>
      </c>
      <c r="D45" s="9">
        <v>107112656077</v>
      </c>
      <c r="E45" s="10">
        <v>4650</v>
      </c>
      <c r="F45">
        <v>138500</v>
      </c>
      <c r="G45" s="5">
        <v>39780</v>
      </c>
      <c r="H45" s="5">
        <v>98720</v>
      </c>
      <c r="I45" t="s">
        <v>1635</v>
      </c>
      <c r="J45" s="10">
        <v>4650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529</v>
      </c>
      <c r="D46" s="9">
        <v>107112590250</v>
      </c>
      <c r="E46" s="10">
        <v>2970</v>
      </c>
      <c r="F46">
        <v>84000</v>
      </c>
      <c r="G46" s="5">
        <v>23760</v>
      </c>
      <c r="H46" s="5">
        <v>60240</v>
      </c>
      <c r="I46" t="s">
        <v>1635</v>
      </c>
      <c r="J46" s="10">
        <v>2970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824</v>
      </c>
      <c r="D47" s="9">
        <v>107113387330</v>
      </c>
      <c r="E47" s="10">
        <v>2596</v>
      </c>
      <c r="F47">
        <v>75265</v>
      </c>
      <c r="G47" s="5">
        <v>19982</v>
      </c>
      <c r="H47" s="5">
        <v>55283</v>
      </c>
      <c r="I47" t="s">
        <v>1635</v>
      </c>
      <c r="J47" s="10">
        <v>2596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586</v>
      </c>
      <c r="D48" s="9">
        <v>107112645406</v>
      </c>
      <c r="E48" s="10">
        <v>5280</v>
      </c>
      <c r="F48">
        <v>160380</v>
      </c>
      <c r="G48" s="5">
        <v>44640</v>
      </c>
      <c r="H48" s="5">
        <v>115740</v>
      </c>
      <c r="I48" t="s">
        <v>1635</v>
      </c>
      <c r="J48" s="10">
        <v>5280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439</v>
      </c>
      <c r="D49" s="9">
        <v>107112376144</v>
      </c>
      <c r="E49" s="10">
        <v>1330</v>
      </c>
      <c r="F49">
        <v>20000</v>
      </c>
      <c r="G49" s="5">
        <v>10830</v>
      </c>
      <c r="H49" s="5">
        <v>9170</v>
      </c>
      <c r="I49" t="s">
        <v>1635</v>
      </c>
      <c r="J49" s="10">
        <v>1330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48</v>
      </c>
      <c r="D50" s="9">
        <v>101128371669</v>
      </c>
      <c r="E50" s="10">
        <v>4625</v>
      </c>
      <c r="F50">
        <v>166113</v>
      </c>
      <c r="G50" s="5">
        <v>32375</v>
      </c>
      <c r="H50" s="5">
        <v>133738</v>
      </c>
      <c r="I50" t="s">
        <v>1635</v>
      </c>
      <c r="J50" s="10">
        <v>4625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682</v>
      </c>
      <c r="D51" s="9">
        <v>107112803295</v>
      </c>
      <c r="E51" s="10">
        <v>1339</v>
      </c>
      <c r="F51">
        <v>22342</v>
      </c>
      <c r="G51" s="5">
        <v>13390</v>
      </c>
      <c r="H51" s="5">
        <v>8952</v>
      </c>
      <c r="I51" t="s">
        <v>1635</v>
      </c>
      <c r="J51" s="10">
        <v>1339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358</v>
      </c>
      <c r="D52" s="9">
        <v>107112154444</v>
      </c>
      <c r="E52" s="10">
        <v>3360</v>
      </c>
      <c r="F52">
        <v>121800</v>
      </c>
      <c r="G52" s="5">
        <v>31840</v>
      </c>
      <c r="H52" s="5">
        <v>89960</v>
      </c>
      <c r="I52" t="s">
        <v>1635</v>
      </c>
      <c r="J52" s="10">
        <v>3360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491</v>
      </c>
      <c r="D53" s="9">
        <v>107112509729</v>
      </c>
      <c r="E53" s="10">
        <v>4361</v>
      </c>
      <c r="F53">
        <v>132000</v>
      </c>
      <c r="G53" s="5">
        <v>38793</v>
      </c>
      <c r="H53" s="5">
        <v>93207</v>
      </c>
      <c r="I53" t="s">
        <v>1635</v>
      </c>
      <c r="J53" s="10">
        <v>4361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108</v>
      </c>
      <c r="D54" s="9">
        <v>101129452604</v>
      </c>
      <c r="E54" s="10">
        <v>2709</v>
      </c>
      <c r="F54">
        <v>85845</v>
      </c>
      <c r="G54" s="5">
        <v>26751</v>
      </c>
      <c r="H54" s="5">
        <v>59094</v>
      </c>
      <c r="I54" t="s">
        <v>1635</v>
      </c>
      <c r="J54" s="10">
        <v>2709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276</v>
      </c>
      <c r="D55" s="9">
        <v>101130853603</v>
      </c>
      <c r="E55" s="10">
        <v>2960</v>
      </c>
      <c r="F55">
        <v>82751</v>
      </c>
      <c r="G55" s="5">
        <v>26640</v>
      </c>
      <c r="H55" s="5">
        <v>56111</v>
      </c>
      <c r="I55" t="s">
        <v>1635</v>
      </c>
      <c r="J55" s="10">
        <v>2960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651</v>
      </c>
      <c r="D56" s="9">
        <v>107112745462</v>
      </c>
      <c r="E56" s="10">
        <v>4875</v>
      </c>
      <c r="F56">
        <v>148000</v>
      </c>
      <c r="G56" s="5">
        <v>41600</v>
      </c>
      <c r="H56" s="5">
        <v>106400</v>
      </c>
      <c r="I56" t="s">
        <v>1635</v>
      </c>
      <c r="J56" s="10">
        <v>4875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731</v>
      </c>
      <c r="D57" s="9">
        <v>107112892665</v>
      </c>
      <c r="E57" s="10">
        <v>1750</v>
      </c>
      <c r="F57">
        <v>35714</v>
      </c>
      <c r="G57" s="5">
        <v>14000</v>
      </c>
      <c r="H57" s="5">
        <v>21714</v>
      </c>
      <c r="I57" t="s">
        <v>1635</v>
      </c>
      <c r="J57" s="10">
        <v>1750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573</v>
      </c>
      <c r="D58" s="9">
        <v>107112629770</v>
      </c>
      <c r="E58" s="10">
        <v>1380</v>
      </c>
      <c r="F58">
        <v>25912</v>
      </c>
      <c r="G58" s="5">
        <v>11040</v>
      </c>
      <c r="H58" s="5">
        <v>14872</v>
      </c>
      <c r="I58" t="s">
        <v>1635</v>
      </c>
      <c r="J58" s="10">
        <v>1380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737</v>
      </c>
      <c r="D59" s="9">
        <v>107112897565</v>
      </c>
      <c r="E59" s="10">
        <v>2562</v>
      </c>
      <c r="F59">
        <v>78544</v>
      </c>
      <c r="G59" s="5">
        <v>20050</v>
      </c>
      <c r="H59" s="5">
        <v>58494</v>
      </c>
      <c r="I59" t="s">
        <v>1635</v>
      </c>
      <c r="J59" s="10">
        <v>2562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667</v>
      </c>
      <c r="D60" s="9">
        <v>107112777756</v>
      </c>
      <c r="E60" s="10">
        <v>2886</v>
      </c>
      <c r="F60">
        <v>84279</v>
      </c>
      <c r="G60" s="5">
        <v>16225</v>
      </c>
      <c r="H60" s="5">
        <v>68054</v>
      </c>
      <c r="I60" t="s">
        <v>1635</v>
      </c>
      <c r="J60" s="10">
        <v>2886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213</v>
      </c>
      <c r="D61" s="9">
        <v>101130213157</v>
      </c>
      <c r="E61" s="10">
        <v>2940</v>
      </c>
      <c r="F61">
        <v>86200</v>
      </c>
      <c r="G61" s="5">
        <v>26460</v>
      </c>
      <c r="H61" s="5">
        <v>59740</v>
      </c>
      <c r="I61" t="s">
        <v>1635</v>
      </c>
      <c r="J61" s="10">
        <v>2940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707</v>
      </c>
      <c r="D62" s="9">
        <v>107112845911</v>
      </c>
      <c r="E62" s="10">
        <v>3354</v>
      </c>
      <c r="F62">
        <v>103822</v>
      </c>
      <c r="G62" s="5">
        <v>28552</v>
      </c>
      <c r="H62" s="5">
        <v>75270</v>
      </c>
      <c r="I62" t="s">
        <v>1635</v>
      </c>
      <c r="J62" s="10">
        <v>3354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229</v>
      </c>
      <c r="D63" s="9">
        <v>101130388201</v>
      </c>
      <c r="E63" s="10">
        <v>4200</v>
      </c>
      <c r="F63">
        <v>77000</v>
      </c>
      <c r="G63" s="5">
        <v>35900</v>
      </c>
      <c r="H63" s="5">
        <v>41100</v>
      </c>
      <c r="I63" t="s">
        <v>1635</v>
      </c>
      <c r="J63" s="10">
        <v>4200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539</v>
      </c>
      <c r="D64" s="9">
        <v>107112598350</v>
      </c>
      <c r="E64" s="10">
        <v>2745</v>
      </c>
      <c r="F64">
        <v>82476</v>
      </c>
      <c r="G64" s="5">
        <v>23760</v>
      </c>
      <c r="H64" s="5">
        <v>58716</v>
      </c>
      <c r="I64" t="s">
        <v>1635</v>
      </c>
      <c r="J64" s="10">
        <v>2745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179</v>
      </c>
      <c r="D65" s="9">
        <v>101129999271</v>
      </c>
      <c r="E65" s="10">
        <v>3933</v>
      </c>
      <c r="F65">
        <v>125000</v>
      </c>
      <c r="G65" s="5">
        <v>37432</v>
      </c>
      <c r="H65" s="5">
        <v>87568</v>
      </c>
      <c r="I65" t="s">
        <v>1635</v>
      </c>
      <c r="J65" s="10">
        <v>3933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431</v>
      </c>
      <c r="D66" s="9">
        <v>107112346319</v>
      </c>
      <c r="E66" s="10">
        <v>4400</v>
      </c>
      <c r="F66">
        <v>159619</v>
      </c>
      <c r="G66" s="5">
        <v>37200</v>
      </c>
      <c r="H66" s="5">
        <v>122419</v>
      </c>
      <c r="I66" t="s">
        <v>1635</v>
      </c>
      <c r="J66" s="10">
        <v>4400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391</v>
      </c>
      <c r="D67" s="9">
        <v>107112269067</v>
      </c>
      <c r="E67" s="10">
        <v>4242.12</v>
      </c>
      <c r="F67">
        <v>124469</v>
      </c>
      <c r="G67" s="5">
        <v>41191.68</v>
      </c>
      <c r="H67" s="5">
        <v>83277.320000000007</v>
      </c>
      <c r="I67" t="s">
        <v>1635</v>
      </c>
      <c r="J67" s="10">
        <v>4242.12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429</v>
      </c>
      <c r="D68" s="9">
        <v>107112343424</v>
      </c>
      <c r="E68" s="10">
        <v>2400</v>
      </c>
      <c r="F68">
        <v>120000</v>
      </c>
      <c r="G68" s="5">
        <v>28124</v>
      </c>
      <c r="H68" s="5">
        <v>91876</v>
      </c>
      <c r="I68" t="s">
        <v>1635</v>
      </c>
      <c r="J68" s="10">
        <v>2400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579</v>
      </c>
      <c r="D69" s="9">
        <v>107112637443</v>
      </c>
      <c r="E69" s="10">
        <v>3240</v>
      </c>
      <c r="F69">
        <v>96000</v>
      </c>
      <c r="G69" s="5">
        <v>16200</v>
      </c>
      <c r="H69" s="5">
        <v>79800</v>
      </c>
      <c r="I69" t="s">
        <v>1635</v>
      </c>
      <c r="J69" s="10">
        <v>3240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677</v>
      </c>
      <c r="D70" s="9">
        <v>107112791347</v>
      </c>
      <c r="E70" s="10">
        <v>2576</v>
      </c>
      <c r="F70">
        <v>75768</v>
      </c>
      <c r="G70" s="5">
        <v>22498</v>
      </c>
      <c r="H70" s="5">
        <v>53270</v>
      </c>
      <c r="I70" t="s">
        <v>1635</v>
      </c>
      <c r="J70" s="10">
        <v>2576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493</v>
      </c>
      <c r="D71" s="9">
        <v>107112516665</v>
      </c>
      <c r="E71" s="10">
        <v>3538</v>
      </c>
      <c r="F71">
        <v>109196</v>
      </c>
      <c r="G71" s="5">
        <v>30624</v>
      </c>
      <c r="H71" s="5">
        <v>78572</v>
      </c>
      <c r="I71" t="s">
        <v>1635</v>
      </c>
      <c r="J71" s="10">
        <v>3538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173</v>
      </c>
      <c r="D72" s="9">
        <v>101129973517</v>
      </c>
      <c r="E72" s="10">
        <v>3024</v>
      </c>
      <c r="F72">
        <v>94861</v>
      </c>
      <c r="G72" s="5">
        <v>26012</v>
      </c>
      <c r="H72" s="5">
        <v>68849</v>
      </c>
      <c r="I72" t="s">
        <v>1635</v>
      </c>
      <c r="J72" s="10">
        <v>3024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282</v>
      </c>
      <c r="D73" s="9">
        <v>101130890220</v>
      </c>
      <c r="E73" s="10">
        <v>2432</v>
      </c>
      <c r="F73">
        <v>73000</v>
      </c>
      <c r="G73" s="5">
        <v>19456</v>
      </c>
      <c r="H73" s="5">
        <v>53544</v>
      </c>
      <c r="I73" t="s">
        <v>1635</v>
      </c>
      <c r="J73" s="10">
        <v>2432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569</v>
      </c>
      <c r="D74" s="9">
        <v>107112624485</v>
      </c>
      <c r="E74" s="10">
        <v>3139</v>
      </c>
      <c r="F74">
        <v>100000</v>
      </c>
      <c r="G74" s="5">
        <v>25651</v>
      </c>
      <c r="H74" s="5">
        <v>74349</v>
      </c>
      <c r="I74" t="s">
        <v>1635</v>
      </c>
      <c r="J74" s="10">
        <v>3139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165</v>
      </c>
      <c r="D75" s="9">
        <v>101129910830</v>
      </c>
      <c r="E75" s="10">
        <v>4235</v>
      </c>
      <c r="F75">
        <v>128998</v>
      </c>
      <c r="G75" s="5">
        <v>31753.33</v>
      </c>
      <c r="H75" s="5">
        <v>97244.67</v>
      </c>
      <c r="I75" t="s">
        <v>1635</v>
      </c>
      <c r="J75" s="10">
        <v>4235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268</v>
      </c>
      <c r="D76" s="9">
        <v>101130786900</v>
      </c>
      <c r="E76" s="10">
        <v>3990</v>
      </c>
      <c r="F76">
        <v>73000</v>
      </c>
      <c r="G76" s="5">
        <v>30613.33</v>
      </c>
      <c r="H76" s="5">
        <v>42386.67</v>
      </c>
      <c r="I76" t="s">
        <v>1635</v>
      </c>
      <c r="J76" s="10">
        <v>3990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615</v>
      </c>
      <c r="D77" s="9">
        <v>107112675513</v>
      </c>
      <c r="E77" s="10">
        <v>2250</v>
      </c>
      <c r="F77">
        <v>68787</v>
      </c>
      <c r="G77" s="5">
        <v>19800</v>
      </c>
      <c r="H77" s="5">
        <v>48987</v>
      </c>
      <c r="I77" t="s">
        <v>1635</v>
      </c>
      <c r="J77" s="10">
        <v>2250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286</v>
      </c>
      <c r="D78" s="9">
        <v>101130944629</v>
      </c>
      <c r="E78" s="10">
        <v>2835</v>
      </c>
      <c r="F78">
        <v>85900</v>
      </c>
      <c r="G78" s="5">
        <v>22680</v>
      </c>
      <c r="H78" s="5">
        <v>63220</v>
      </c>
      <c r="I78" t="s">
        <v>1635</v>
      </c>
      <c r="J78" s="10">
        <v>2835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346</v>
      </c>
      <c r="D79" s="9">
        <v>107112083148</v>
      </c>
      <c r="E79" s="10">
        <v>3420</v>
      </c>
      <c r="F79">
        <v>109415</v>
      </c>
      <c r="G79" s="5">
        <v>29660</v>
      </c>
      <c r="H79" s="5">
        <v>79755</v>
      </c>
      <c r="I79" t="s">
        <v>1635</v>
      </c>
      <c r="J79" s="10">
        <v>3420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236</v>
      </c>
      <c r="D80" s="9">
        <v>101130447153</v>
      </c>
      <c r="E80" s="10">
        <v>2430</v>
      </c>
      <c r="F80">
        <v>73000</v>
      </c>
      <c r="G80" s="5">
        <v>23695</v>
      </c>
      <c r="H80" s="5">
        <v>49305</v>
      </c>
      <c r="I80" t="s">
        <v>1635</v>
      </c>
      <c r="J80" s="10">
        <v>2430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157</v>
      </c>
      <c r="D81" s="9">
        <v>101129877070</v>
      </c>
      <c r="E81" s="10">
        <v>2970</v>
      </c>
      <c r="F81">
        <v>89244</v>
      </c>
      <c r="G81" s="5">
        <v>26730</v>
      </c>
      <c r="H81" s="5">
        <v>62514</v>
      </c>
      <c r="I81" t="s">
        <v>1635</v>
      </c>
      <c r="J81" s="10">
        <v>2970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747</v>
      </c>
      <c r="D82" s="9">
        <v>107112917464</v>
      </c>
      <c r="E82" s="10">
        <v>2610</v>
      </c>
      <c r="F82">
        <v>75000</v>
      </c>
      <c r="G82" s="5">
        <v>20145</v>
      </c>
      <c r="H82" s="5">
        <v>54855</v>
      </c>
      <c r="I82" t="s">
        <v>1635</v>
      </c>
      <c r="J82" s="10">
        <v>2610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304</v>
      </c>
      <c r="D83" s="9">
        <v>101131458617</v>
      </c>
      <c r="E83" s="10">
        <v>2470</v>
      </c>
      <c r="F83">
        <v>74000</v>
      </c>
      <c r="G83" s="5">
        <v>17290</v>
      </c>
      <c r="H83" s="5">
        <v>56710</v>
      </c>
      <c r="I83" t="s">
        <v>1635</v>
      </c>
      <c r="J83" s="10">
        <v>2470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642</v>
      </c>
      <c r="D84" s="9">
        <v>107112718957</v>
      </c>
      <c r="E84" s="10">
        <v>837</v>
      </c>
      <c r="F84">
        <v>15000</v>
      </c>
      <c r="G84" s="5">
        <v>6696</v>
      </c>
      <c r="H84" s="5">
        <v>8304</v>
      </c>
      <c r="I84" t="s">
        <v>1635</v>
      </c>
      <c r="J84" s="10">
        <v>837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71</v>
      </c>
      <c r="D85" s="9">
        <v>101129228935</v>
      </c>
      <c r="E85" s="10">
        <v>2415</v>
      </c>
      <c r="F85">
        <v>74625</v>
      </c>
      <c r="G85" s="5">
        <v>23747.5</v>
      </c>
      <c r="H85" s="5">
        <v>50877.5</v>
      </c>
      <c r="I85" t="s">
        <v>1635</v>
      </c>
      <c r="J85" s="10">
        <v>2415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765</v>
      </c>
      <c r="D86" s="9">
        <v>107112973302</v>
      </c>
      <c r="E86" s="10">
        <v>3960</v>
      </c>
      <c r="F86">
        <v>118145</v>
      </c>
      <c r="G86" s="5">
        <v>28974</v>
      </c>
      <c r="H86" s="5">
        <v>89171</v>
      </c>
      <c r="I86" t="s">
        <v>1635</v>
      </c>
      <c r="J86" s="10">
        <v>3960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375</v>
      </c>
      <c r="D87" s="9">
        <v>107112209965</v>
      </c>
      <c r="E87" s="10">
        <v>2652</v>
      </c>
      <c r="F87">
        <v>77033</v>
      </c>
      <c r="G87" s="5">
        <v>26520</v>
      </c>
      <c r="H87" s="5">
        <v>50513</v>
      </c>
      <c r="I87" t="s">
        <v>1635</v>
      </c>
      <c r="J87" s="10">
        <v>2652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481</v>
      </c>
      <c r="D88" s="9">
        <v>107112496680</v>
      </c>
      <c r="E88" s="10">
        <v>2440</v>
      </c>
      <c r="F88">
        <v>141000</v>
      </c>
      <c r="G88" s="5">
        <v>48700</v>
      </c>
      <c r="H88" s="5">
        <v>92300</v>
      </c>
      <c r="I88" t="s">
        <v>1635</v>
      </c>
      <c r="J88" s="10">
        <v>2440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123</v>
      </c>
      <c r="D89" s="9">
        <v>101129550929</v>
      </c>
      <c r="E89" s="10">
        <v>2700</v>
      </c>
      <c r="F89">
        <v>78148</v>
      </c>
      <c r="G89" s="5">
        <v>25875</v>
      </c>
      <c r="H89" s="5">
        <v>52273</v>
      </c>
      <c r="I89" t="s">
        <v>1635</v>
      </c>
      <c r="J89" s="10">
        <v>2700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640</v>
      </c>
      <c r="D90" s="9">
        <v>107112717053</v>
      </c>
      <c r="E90" s="10">
        <v>2520</v>
      </c>
      <c r="F90">
        <v>76300</v>
      </c>
      <c r="G90" s="5">
        <v>21960</v>
      </c>
      <c r="H90" s="5">
        <v>54340</v>
      </c>
      <c r="I90" t="s">
        <v>1635</v>
      </c>
      <c r="J90" s="10">
        <v>2520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201</v>
      </c>
      <c r="D91" s="9">
        <v>101130183387</v>
      </c>
      <c r="E91" s="10">
        <v>2814</v>
      </c>
      <c r="F91">
        <v>81975</v>
      </c>
      <c r="G91" s="5">
        <v>25068.67</v>
      </c>
      <c r="H91" s="5">
        <v>56906.33</v>
      </c>
      <c r="I91" t="s">
        <v>1635</v>
      </c>
      <c r="J91" s="10">
        <v>2814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665</v>
      </c>
      <c r="D92" s="9">
        <v>107112775650</v>
      </c>
      <c r="E92" s="10">
        <v>1749</v>
      </c>
      <c r="F92">
        <v>30538</v>
      </c>
      <c r="G92" s="5">
        <v>16137</v>
      </c>
      <c r="H92" s="5">
        <v>14401</v>
      </c>
      <c r="I92" t="s">
        <v>1635</v>
      </c>
      <c r="J92" s="10">
        <v>1749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131</v>
      </c>
      <c r="D93" s="9">
        <v>101129616917</v>
      </c>
      <c r="E93" s="10">
        <v>3250</v>
      </c>
      <c r="F93">
        <v>98883</v>
      </c>
      <c r="G93" s="5">
        <v>31850</v>
      </c>
      <c r="H93" s="5">
        <v>67033</v>
      </c>
      <c r="I93" t="s">
        <v>1635</v>
      </c>
      <c r="J93" s="10">
        <v>3250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244</v>
      </c>
      <c r="D94" s="9">
        <v>101130525509</v>
      </c>
      <c r="E94" s="10">
        <v>6952</v>
      </c>
      <c r="F94">
        <v>120000</v>
      </c>
      <c r="G94" s="5">
        <v>59286</v>
      </c>
      <c r="H94" s="5">
        <v>60714</v>
      </c>
      <c r="I94" t="s">
        <v>1635</v>
      </c>
      <c r="J94" s="10">
        <v>6952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187</v>
      </c>
      <c r="D95" s="9">
        <v>101130065851</v>
      </c>
      <c r="E95" s="10">
        <v>2263</v>
      </c>
      <c r="F95">
        <v>73000</v>
      </c>
      <c r="G95" s="5">
        <v>17632</v>
      </c>
      <c r="H95" s="5">
        <v>55368</v>
      </c>
      <c r="I95" t="s">
        <v>1635</v>
      </c>
      <c r="J95" s="10">
        <v>2263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457</v>
      </c>
      <c r="D96" s="9">
        <v>107112435822</v>
      </c>
      <c r="E96" s="10">
        <v>1763</v>
      </c>
      <c r="F96">
        <v>66238</v>
      </c>
      <c r="G96" s="5">
        <v>17407</v>
      </c>
      <c r="H96" s="5">
        <v>48831</v>
      </c>
      <c r="I96" t="s">
        <v>1635</v>
      </c>
      <c r="J96" s="10">
        <v>1763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447</v>
      </c>
      <c r="D97" s="9">
        <v>107112391867</v>
      </c>
      <c r="E97" s="10">
        <v>2385</v>
      </c>
      <c r="F97">
        <v>71000</v>
      </c>
      <c r="G97" s="5">
        <v>23635</v>
      </c>
      <c r="H97" s="5">
        <v>47365</v>
      </c>
      <c r="I97" t="s">
        <v>1635</v>
      </c>
      <c r="J97" s="10">
        <v>2385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445</v>
      </c>
      <c r="D98" s="9">
        <v>107112389753</v>
      </c>
      <c r="E98" s="10">
        <v>2520</v>
      </c>
      <c r="F98">
        <v>76666</v>
      </c>
      <c r="G98" s="5">
        <v>24360</v>
      </c>
      <c r="H98" s="5">
        <v>52306</v>
      </c>
      <c r="I98" t="s">
        <v>1635</v>
      </c>
      <c r="J98" s="10">
        <v>2520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592</v>
      </c>
      <c r="D99" s="9">
        <v>107112653144</v>
      </c>
      <c r="E99" s="10">
        <v>4466</v>
      </c>
      <c r="F99">
        <v>135000</v>
      </c>
      <c r="G99" s="5">
        <v>33332</v>
      </c>
      <c r="H99" s="5">
        <v>101668</v>
      </c>
      <c r="I99" t="s">
        <v>1635</v>
      </c>
      <c r="J99" s="10">
        <v>4466</v>
      </c>
      <c r="K99" t="s">
        <v>1635</v>
      </c>
      <c r="L99">
        <v>0</v>
      </c>
    </row>
    <row r="100" spans="1:12">
      <c r="A100">
        <v>1</v>
      </c>
      <c r="B100" t="s">
        <v>15</v>
      </c>
      <c r="C100" t="s">
        <v>503</v>
      </c>
      <c r="D100" s="9">
        <v>107112552514</v>
      </c>
      <c r="E100" s="10">
        <v>2912.7</v>
      </c>
      <c r="F100">
        <v>82911</v>
      </c>
      <c r="G100" s="5">
        <v>23301.600000000002</v>
      </c>
      <c r="H100" s="5">
        <v>59609.399999999994</v>
      </c>
      <c r="I100" t="s">
        <v>1635</v>
      </c>
      <c r="J100" s="10">
        <v>2912.7</v>
      </c>
      <c r="K100" t="s">
        <v>1635</v>
      </c>
      <c r="L100">
        <v>0</v>
      </c>
    </row>
    <row r="101" spans="1:12">
      <c r="A101">
        <v>1</v>
      </c>
      <c r="B101" t="s">
        <v>15</v>
      </c>
      <c r="C101" t="s">
        <v>798</v>
      </c>
      <c r="D101" s="9">
        <v>107113036643</v>
      </c>
      <c r="E101" s="10">
        <v>2205</v>
      </c>
      <c r="F101">
        <v>36744</v>
      </c>
      <c r="G101" s="5">
        <v>17640</v>
      </c>
      <c r="H101" s="5">
        <v>19104</v>
      </c>
      <c r="I101" t="s">
        <v>1635</v>
      </c>
      <c r="J101" s="10">
        <v>2205</v>
      </c>
      <c r="K101" t="s">
        <v>1635</v>
      </c>
      <c r="L101">
        <v>0</v>
      </c>
    </row>
    <row r="102" spans="1:12">
      <c r="A102">
        <v>1</v>
      </c>
      <c r="B102" t="s">
        <v>15</v>
      </c>
      <c r="C102" t="s">
        <v>370</v>
      </c>
      <c r="D102" s="9">
        <v>107112198165</v>
      </c>
      <c r="E102" s="10">
        <v>2597</v>
      </c>
      <c r="F102">
        <v>77700</v>
      </c>
      <c r="G102" s="5">
        <v>23373</v>
      </c>
      <c r="H102" s="5">
        <v>54327</v>
      </c>
      <c r="I102" t="s">
        <v>1635</v>
      </c>
      <c r="J102" s="10">
        <v>2597</v>
      </c>
      <c r="K102" t="s">
        <v>1635</v>
      </c>
      <c r="L102">
        <v>0</v>
      </c>
    </row>
    <row r="103" spans="1:12">
      <c r="A103">
        <v>1</v>
      </c>
      <c r="B103" t="s">
        <v>15</v>
      </c>
      <c r="C103" t="s">
        <v>290</v>
      </c>
      <c r="D103" s="9">
        <v>101130951610</v>
      </c>
      <c r="E103" s="10">
        <v>2520</v>
      </c>
      <c r="F103">
        <v>79600</v>
      </c>
      <c r="G103" s="5">
        <v>21960</v>
      </c>
      <c r="H103" s="5">
        <v>57640</v>
      </c>
      <c r="I103" t="s">
        <v>1635</v>
      </c>
      <c r="J103" s="10">
        <v>2520</v>
      </c>
      <c r="K103" t="s">
        <v>1635</v>
      </c>
      <c r="L103">
        <v>0</v>
      </c>
    </row>
    <row r="104" spans="1:12">
      <c r="A104">
        <v>1</v>
      </c>
      <c r="B104" t="s">
        <v>15</v>
      </c>
      <c r="C104" t="s">
        <v>505</v>
      </c>
      <c r="D104" s="9">
        <v>107112552822</v>
      </c>
      <c r="E104" s="10">
        <v>494</v>
      </c>
      <c r="F104">
        <v>8910</v>
      </c>
      <c r="G104" s="5">
        <v>4446</v>
      </c>
      <c r="H104" s="5">
        <v>4464</v>
      </c>
      <c r="I104" t="s">
        <v>1635</v>
      </c>
      <c r="J104" s="10">
        <v>494</v>
      </c>
      <c r="K104" t="s">
        <v>1635</v>
      </c>
      <c r="L104">
        <v>0</v>
      </c>
    </row>
    <row r="105" spans="1:12">
      <c r="A105">
        <v>1</v>
      </c>
      <c r="B105" t="s">
        <v>15</v>
      </c>
      <c r="C105" t="s">
        <v>804</v>
      </c>
      <c r="D105" s="9">
        <v>107113054965</v>
      </c>
      <c r="E105" s="10">
        <v>2745</v>
      </c>
      <c r="F105">
        <v>88000</v>
      </c>
      <c r="G105" s="5">
        <v>19077</v>
      </c>
      <c r="H105" s="5">
        <v>68923</v>
      </c>
      <c r="I105" t="s">
        <v>1635</v>
      </c>
      <c r="J105" s="10">
        <v>2745</v>
      </c>
      <c r="K105" t="s">
        <v>1635</v>
      </c>
      <c r="L105">
        <v>0</v>
      </c>
    </row>
    <row r="106" spans="1:12">
      <c r="A106">
        <v>1</v>
      </c>
      <c r="B106" t="s">
        <v>15</v>
      </c>
      <c r="C106" t="s">
        <v>209</v>
      </c>
      <c r="D106" s="9">
        <v>101130204849</v>
      </c>
      <c r="E106" s="10">
        <v>5760</v>
      </c>
      <c r="F106">
        <v>187000</v>
      </c>
      <c r="G106" s="5">
        <v>45436.67</v>
      </c>
      <c r="H106" s="5">
        <v>141563.33000000002</v>
      </c>
      <c r="I106" t="s">
        <v>1635</v>
      </c>
      <c r="J106" s="10">
        <v>5760</v>
      </c>
      <c r="K106" t="s">
        <v>1635</v>
      </c>
      <c r="L106">
        <v>0</v>
      </c>
    </row>
    <row r="107" spans="1:12">
      <c r="A107">
        <v>1</v>
      </c>
      <c r="B107" t="s">
        <v>15</v>
      </c>
      <c r="C107" t="s">
        <v>183</v>
      </c>
      <c r="D107" s="9">
        <v>101130021966</v>
      </c>
      <c r="E107" s="10">
        <v>2924</v>
      </c>
      <c r="F107">
        <v>87520</v>
      </c>
      <c r="G107" s="5">
        <v>28859.33</v>
      </c>
      <c r="H107" s="5">
        <v>58660.67</v>
      </c>
      <c r="I107" t="s">
        <v>1635</v>
      </c>
      <c r="J107" s="10">
        <v>2924</v>
      </c>
      <c r="K107" t="s">
        <v>1635</v>
      </c>
      <c r="L107">
        <v>0</v>
      </c>
    </row>
    <row r="108" spans="1:12">
      <c r="A108">
        <v>1</v>
      </c>
      <c r="B108" t="s">
        <v>15</v>
      </c>
      <c r="C108" t="s">
        <v>719</v>
      </c>
      <c r="D108" s="9">
        <v>107112880391</v>
      </c>
      <c r="E108" s="10">
        <v>3800</v>
      </c>
      <c r="F108">
        <v>112151</v>
      </c>
      <c r="G108" s="5">
        <v>28650</v>
      </c>
      <c r="H108" s="5">
        <v>83501</v>
      </c>
      <c r="I108" t="s">
        <v>1635</v>
      </c>
      <c r="J108" s="10">
        <v>3800</v>
      </c>
      <c r="K108" t="s">
        <v>1635</v>
      </c>
      <c r="L108">
        <v>0</v>
      </c>
    </row>
    <row r="109" spans="1:12">
      <c r="A109">
        <v>1</v>
      </c>
      <c r="B109" t="s">
        <v>15</v>
      </c>
      <c r="C109" t="s">
        <v>373</v>
      </c>
      <c r="D109" s="9">
        <v>107112209353</v>
      </c>
      <c r="E109" s="10">
        <v>7370</v>
      </c>
      <c r="F109">
        <v>220995</v>
      </c>
      <c r="G109" s="5">
        <v>66330</v>
      </c>
      <c r="H109" s="5">
        <v>154665</v>
      </c>
      <c r="I109" t="s">
        <v>1635</v>
      </c>
      <c r="J109" s="10">
        <v>7370</v>
      </c>
      <c r="K109" t="s">
        <v>1635</v>
      </c>
      <c r="L109">
        <v>0</v>
      </c>
    </row>
    <row r="110" spans="1:12">
      <c r="A110">
        <v>1</v>
      </c>
      <c r="B110" t="s">
        <v>15</v>
      </c>
      <c r="C110" t="s">
        <v>653</v>
      </c>
      <c r="D110" s="9">
        <v>107112750116</v>
      </c>
      <c r="E110" s="10">
        <v>2756</v>
      </c>
      <c r="F110">
        <v>82697</v>
      </c>
      <c r="G110" s="5">
        <v>23088</v>
      </c>
      <c r="H110" s="5">
        <v>59609</v>
      </c>
      <c r="I110" t="s">
        <v>1635</v>
      </c>
      <c r="J110" s="10">
        <v>2756</v>
      </c>
      <c r="K110" t="s">
        <v>1635</v>
      </c>
      <c r="L110">
        <v>0</v>
      </c>
    </row>
    <row r="111" spans="1:12">
      <c r="A111">
        <v>1</v>
      </c>
      <c r="B111" t="s">
        <v>15</v>
      </c>
      <c r="C111" t="s">
        <v>366</v>
      </c>
      <c r="D111" s="9">
        <v>107112197894</v>
      </c>
      <c r="E111" s="10">
        <v>3016</v>
      </c>
      <c r="F111">
        <v>104008</v>
      </c>
      <c r="G111" s="5">
        <v>32340</v>
      </c>
      <c r="H111" s="5">
        <v>71668</v>
      </c>
      <c r="I111" t="s">
        <v>1635</v>
      </c>
      <c r="J111" s="10">
        <v>3016</v>
      </c>
      <c r="K111" t="s">
        <v>1635</v>
      </c>
      <c r="L111">
        <v>0</v>
      </c>
    </row>
    <row r="112" spans="1:12">
      <c r="A112">
        <v>1</v>
      </c>
      <c r="B112" t="s">
        <v>15</v>
      </c>
      <c r="C112" t="s">
        <v>489</v>
      </c>
      <c r="D112" s="9">
        <v>107112504607</v>
      </c>
      <c r="E112" s="10">
        <v>1650</v>
      </c>
      <c r="F112">
        <v>28225</v>
      </c>
      <c r="G112" s="5">
        <v>14850</v>
      </c>
      <c r="H112" s="5">
        <v>13375</v>
      </c>
      <c r="I112" t="s">
        <v>1635</v>
      </c>
      <c r="J112" s="10">
        <v>1650</v>
      </c>
      <c r="K112" t="s">
        <v>1635</v>
      </c>
      <c r="L112">
        <v>0</v>
      </c>
    </row>
    <row r="113" spans="1:12">
      <c r="A113">
        <v>1</v>
      </c>
      <c r="B113" t="s">
        <v>15</v>
      </c>
      <c r="C113" t="s">
        <v>602</v>
      </c>
      <c r="D113" s="9">
        <v>107112660445</v>
      </c>
      <c r="E113" s="10">
        <v>2680</v>
      </c>
      <c r="F113">
        <v>95414</v>
      </c>
      <c r="G113" s="5">
        <v>22244</v>
      </c>
      <c r="H113" s="5">
        <v>73170</v>
      </c>
      <c r="I113" t="s">
        <v>1635</v>
      </c>
      <c r="J113" s="10">
        <v>2680</v>
      </c>
      <c r="K113" t="s">
        <v>1635</v>
      </c>
      <c r="L113">
        <v>0</v>
      </c>
    </row>
    <row r="114" spans="1:12">
      <c r="A114">
        <v>1</v>
      </c>
      <c r="B114" t="s">
        <v>15</v>
      </c>
      <c r="C114" t="s">
        <v>348</v>
      </c>
      <c r="D114" s="9">
        <v>107112083163</v>
      </c>
      <c r="E114" s="10">
        <v>3120</v>
      </c>
      <c r="F114">
        <v>99693</v>
      </c>
      <c r="G114" s="5">
        <v>23990</v>
      </c>
      <c r="H114" s="5">
        <v>75703</v>
      </c>
      <c r="I114" t="s">
        <v>1635</v>
      </c>
      <c r="J114" s="10">
        <v>3120</v>
      </c>
      <c r="K114" t="s">
        <v>1635</v>
      </c>
      <c r="L114">
        <v>0</v>
      </c>
    </row>
    <row r="115" spans="1:12">
      <c r="A115">
        <v>1</v>
      </c>
      <c r="B115" t="s">
        <v>15</v>
      </c>
      <c r="C115" t="s">
        <v>709</v>
      </c>
      <c r="D115" s="9">
        <v>107112858272</v>
      </c>
      <c r="E115" s="10">
        <v>4500</v>
      </c>
      <c r="F115">
        <v>134461</v>
      </c>
      <c r="G115" s="5">
        <v>38000</v>
      </c>
      <c r="H115" s="5">
        <v>96461</v>
      </c>
      <c r="I115" t="s">
        <v>1635</v>
      </c>
      <c r="J115" s="10">
        <v>4500</v>
      </c>
      <c r="K115" t="s">
        <v>1635</v>
      </c>
      <c r="L115">
        <v>0</v>
      </c>
    </row>
    <row r="116" spans="1:12">
      <c r="A116">
        <v>1</v>
      </c>
      <c r="B116" t="s">
        <v>15</v>
      </c>
      <c r="C116" t="s">
        <v>51</v>
      </c>
      <c r="D116" s="9">
        <v>101128568095</v>
      </c>
      <c r="E116" s="10">
        <v>3800</v>
      </c>
      <c r="F116">
        <v>149000</v>
      </c>
      <c r="G116" s="5">
        <v>35245</v>
      </c>
      <c r="H116" s="5">
        <v>113755</v>
      </c>
      <c r="I116" t="s">
        <v>1635</v>
      </c>
      <c r="J116" s="10">
        <v>3800</v>
      </c>
      <c r="K116" t="s">
        <v>1635</v>
      </c>
      <c r="L116">
        <v>0</v>
      </c>
    </row>
    <row r="117" spans="1:12">
      <c r="A117">
        <v>1</v>
      </c>
      <c r="B117" t="s">
        <v>15</v>
      </c>
      <c r="C117" t="s">
        <v>525</v>
      </c>
      <c r="D117" s="9">
        <v>107112587444</v>
      </c>
      <c r="E117" s="10">
        <v>1540</v>
      </c>
      <c r="F117">
        <v>27578</v>
      </c>
      <c r="G117" s="5">
        <v>15400</v>
      </c>
      <c r="H117" s="5">
        <v>12178</v>
      </c>
      <c r="I117" t="s">
        <v>1635</v>
      </c>
      <c r="J117" s="10">
        <v>1540</v>
      </c>
      <c r="K117" t="s">
        <v>1635</v>
      </c>
      <c r="L117">
        <v>0</v>
      </c>
    </row>
    <row r="118" spans="1:12">
      <c r="A118">
        <v>1</v>
      </c>
      <c r="B118" t="s">
        <v>15</v>
      </c>
      <c r="C118" t="s">
        <v>314</v>
      </c>
      <c r="D118" s="9">
        <v>107111475675</v>
      </c>
      <c r="E118" s="10">
        <v>3025</v>
      </c>
      <c r="F118">
        <v>106791.67</v>
      </c>
      <c r="G118" s="5">
        <v>37100</v>
      </c>
      <c r="H118" s="5">
        <v>69691.67</v>
      </c>
      <c r="I118" t="s">
        <v>1635</v>
      </c>
      <c r="J118" s="10">
        <v>3025</v>
      </c>
      <c r="K118" t="s">
        <v>1635</v>
      </c>
      <c r="L118">
        <v>0</v>
      </c>
    </row>
    <row r="119" spans="1:12">
      <c r="A119">
        <v>1</v>
      </c>
      <c r="B119" t="s">
        <v>15</v>
      </c>
      <c r="C119" t="s">
        <v>231</v>
      </c>
      <c r="D119" s="9">
        <v>101130394701</v>
      </c>
      <c r="E119" s="10">
        <v>3920</v>
      </c>
      <c r="F119">
        <v>75800</v>
      </c>
      <c r="G119" s="5">
        <v>29923.33</v>
      </c>
      <c r="H119" s="5">
        <v>45876.67</v>
      </c>
      <c r="I119" t="s">
        <v>1635</v>
      </c>
      <c r="J119" s="10">
        <v>3920</v>
      </c>
      <c r="K119" t="s">
        <v>1635</v>
      </c>
      <c r="L119">
        <v>0</v>
      </c>
    </row>
    <row r="120" spans="1:12">
      <c r="A120">
        <v>1</v>
      </c>
      <c r="B120" t="s">
        <v>15</v>
      </c>
      <c r="C120" t="s">
        <v>104</v>
      </c>
      <c r="D120" s="9">
        <v>101129422479</v>
      </c>
      <c r="E120" s="10">
        <v>4150</v>
      </c>
      <c r="F120">
        <v>75285</v>
      </c>
      <c r="G120" s="5">
        <v>37350</v>
      </c>
      <c r="H120" s="5">
        <v>37935</v>
      </c>
      <c r="I120" t="s">
        <v>1635</v>
      </c>
      <c r="J120" s="10">
        <v>4150</v>
      </c>
      <c r="K120" t="s">
        <v>1635</v>
      </c>
      <c r="L120">
        <v>0</v>
      </c>
    </row>
    <row r="121" spans="1:12">
      <c r="A121">
        <v>1</v>
      </c>
      <c r="B121" t="s">
        <v>15</v>
      </c>
      <c r="C121" t="s">
        <v>749</v>
      </c>
      <c r="D121" s="9">
        <v>107112925365</v>
      </c>
      <c r="E121" s="10">
        <v>2760</v>
      </c>
      <c r="F121">
        <v>81657</v>
      </c>
      <c r="G121" s="5">
        <v>21210</v>
      </c>
      <c r="H121" s="5">
        <v>60447</v>
      </c>
      <c r="I121" t="s">
        <v>1635</v>
      </c>
      <c r="J121" s="10">
        <v>2760</v>
      </c>
      <c r="K121" t="s">
        <v>1635</v>
      </c>
      <c r="L121">
        <v>0</v>
      </c>
    </row>
    <row r="122" spans="1:12">
      <c r="A122">
        <v>1</v>
      </c>
      <c r="B122" t="s">
        <v>15</v>
      </c>
      <c r="C122" t="s">
        <v>42</v>
      </c>
      <c r="D122" s="9">
        <v>101128209038</v>
      </c>
      <c r="E122" s="10">
        <v>2000</v>
      </c>
      <c r="F122">
        <v>55000</v>
      </c>
      <c r="G122" s="5">
        <v>18000</v>
      </c>
      <c r="H122" s="5">
        <v>37000</v>
      </c>
      <c r="I122" t="s">
        <v>1635</v>
      </c>
      <c r="J122" s="10">
        <v>2000</v>
      </c>
      <c r="K122" t="s">
        <v>1635</v>
      </c>
      <c r="L122">
        <v>0</v>
      </c>
    </row>
    <row r="123" spans="1:12">
      <c r="A123">
        <v>1</v>
      </c>
      <c r="B123" t="s">
        <v>15</v>
      </c>
      <c r="C123" t="s">
        <v>617</v>
      </c>
      <c r="D123" s="9">
        <v>107112677870</v>
      </c>
      <c r="E123" s="10">
        <v>2470</v>
      </c>
      <c r="F123">
        <v>73000</v>
      </c>
      <c r="G123" s="5">
        <v>19760</v>
      </c>
      <c r="H123" s="5">
        <v>53240</v>
      </c>
      <c r="I123" t="s">
        <v>1635</v>
      </c>
      <c r="J123" s="10">
        <v>2470</v>
      </c>
      <c r="K123" t="s">
        <v>1635</v>
      </c>
      <c r="L123">
        <v>0</v>
      </c>
    </row>
    <row r="124" spans="1:12">
      <c r="A124">
        <v>1</v>
      </c>
      <c r="B124" t="s">
        <v>15</v>
      </c>
      <c r="C124" t="s">
        <v>655</v>
      </c>
      <c r="D124" s="9">
        <v>107112752241</v>
      </c>
      <c r="E124" s="10">
        <v>3200</v>
      </c>
      <c r="F124">
        <v>97000</v>
      </c>
      <c r="G124" s="5">
        <v>24400</v>
      </c>
      <c r="H124" s="5">
        <v>72600</v>
      </c>
      <c r="I124" t="s">
        <v>1635</v>
      </c>
      <c r="J124" s="10">
        <v>3200</v>
      </c>
      <c r="K124" t="s">
        <v>1635</v>
      </c>
      <c r="L124">
        <v>0</v>
      </c>
    </row>
    <row r="125" spans="1:12">
      <c r="A125">
        <v>1</v>
      </c>
      <c r="B125" t="s">
        <v>15</v>
      </c>
      <c r="C125" t="s">
        <v>185</v>
      </c>
      <c r="D125" s="9">
        <v>101130063714</v>
      </c>
      <c r="E125" s="10">
        <v>5616</v>
      </c>
      <c r="F125">
        <v>106000</v>
      </c>
      <c r="G125" s="5">
        <v>49458</v>
      </c>
      <c r="H125" s="5">
        <v>56542</v>
      </c>
      <c r="I125" t="s">
        <v>1635</v>
      </c>
      <c r="J125" s="10">
        <v>5616</v>
      </c>
      <c r="K125" t="s">
        <v>1635</v>
      </c>
      <c r="L125">
        <v>0</v>
      </c>
    </row>
    <row r="126" spans="1:12">
      <c r="A126">
        <v>1</v>
      </c>
      <c r="B126" t="s">
        <v>15</v>
      </c>
      <c r="C126" t="s">
        <v>423</v>
      </c>
      <c r="D126" s="9">
        <v>107112331898</v>
      </c>
      <c r="E126" s="10">
        <v>2160</v>
      </c>
      <c r="F126">
        <v>75570</v>
      </c>
      <c r="G126" s="5">
        <v>21435</v>
      </c>
      <c r="H126" s="5">
        <v>54135</v>
      </c>
      <c r="I126" t="s">
        <v>1635</v>
      </c>
      <c r="J126" s="10">
        <v>2160</v>
      </c>
      <c r="K126" t="s">
        <v>1635</v>
      </c>
      <c r="L126">
        <v>0</v>
      </c>
    </row>
    <row r="127" spans="1:12">
      <c r="A127">
        <v>1</v>
      </c>
      <c r="B127" t="s">
        <v>15</v>
      </c>
      <c r="C127" t="s">
        <v>663</v>
      </c>
      <c r="D127" s="9">
        <v>107112765383</v>
      </c>
      <c r="E127" s="10">
        <v>1260</v>
      </c>
      <c r="F127">
        <v>23283</v>
      </c>
      <c r="G127" s="5">
        <v>11340</v>
      </c>
      <c r="H127" s="5">
        <v>11943</v>
      </c>
      <c r="I127" t="s">
        <v>1635</v>
      </c>
      <c r="J127" s="10">
        <v>1260</v>
      </c>
      <c r="K127" t="s">
        <v>1635</v>
      </c>
      <c r="L127">
        <v>0</v>
      </c>
    </row>
    <row r="128" spans="1:12">
      <c r="A128">
        <v>1</v>
      </c>
      <c r="B128" t="s">
        <v>15</v>
      </c>
      <c r="C128" t="s">
        <v>338</v>
      </c>
      <c r="D128" s="9">
        <v>107111993609</v>
      </c>
      <c r="E128" s="10">
        <v>2200</v>
      </c>
      <c r="F128">
        <v>92000</v>
      </c>
      <c r="G128" s="5">
        <v>27540</v>
      </c>
      <c r="H128" s="5">
        <v>64460</v>
      </c>
      <c r="I128" t="s">
        <v>1635</v>
      </c>
      <c r="J128" s="10">
        <v>2200</v>
      </c>
      <c r="K128" t="s">
        <v>1635</v>
      </c>
      <c r="L128">
        <v>0</v>
      </c>
    </row>
    <row r="129" spans="1:12">
      <c r="A129">
        <v>1</v>
      </c>
      <c r="B129" t="s">
        <v>15</v>
      </c>
      <c r="C129" t="s">
        <v>234</v>
      </c>
      <c r="D129" s="9">
        <v>101130434119</v>
      </c>
      <c r="E129" s="10">
        <v>2850</v>
      </c>
      <c r="F129">
        <v>85800</v>
      </c>
      <c r="G129" s="5">
        <v>25550</v>
      </c>
      <c r="H129" s="5">
        <v>60250</v>
      </c>
      <c r="I129" t="s">
        <v>1635</v>
      </c>
      <c r="J129" s="10">
        <v>2850</v>
      </c>
      <c r="K129" t="s">
        <v>1635</v>
      </c>
      <c r="L129">
        <v>0</v>
      </c>
    </row>
    <row r="130" spans="1:12">
      <c r="A130">
        <v>1</v>
      </c>
      <c r="B130" t="s">
        <v>15</v>
      </c>
      <c r="C130" t="s">
        <v>387</v>
      </c>
      <c r="D130" s="9">
        <v>107112250944</v>
      </c>
      <c r="E130" s="10">
        <v>2204</v>
      </c>
      <c r="F130">
        <v>78213</v>
      </c>
      <c r="G130" s="5">
        <v>21894</v>
      </c>
      <c r="H130" s="5">
        <v>56319</v>
      </c>
      <c r="I130" t="s">
        <v>1635</v>
      </c>
      <c r="J130" s="10">
        <v>2204</v>
      </c>
      <c r="K130" t="s">
        <v>1635</v>
      </c>
      <c r="L130">
        <v>0</v>
      </c>
    </row>
    <row r="131" spans="1:12">
      <c r="A131">
        <v>1</v>
      </c>
      <c r="B131" t="s">
        <v>15</v>
      </c>
      <c r="C131" t="s">
        <v>225</v>
      </c>
      <c r="D131" s="9">
        <v>101130380821</v>
      </c>
      <c r="E131" s="10">
        <v>4860</v>
      </c>
      <c r="F131">
        <v>92000</v>
      </c>
      <c r="G131" s="5">
        <v>41090</v>
      </c>
      <c r="H131" s="5">
        <v>50910</v>
      </c>
      <c r="I131" t="s">
        <v>1635</v>
      </c>
      <c r="J131" s="10">
        <v>4860</v>
      </c>
      <c r="K131" t="s">
        <v>1635</v>
      </c>
      <c r="L131">
        <v>0</v>
      </c>
    </row>
    <row r="132" spans="1:12">
      <c r="A132">
        <v>1</v>
      </c>
      <c r="B132" t="s">
        <v>15</v>
      </c>
      <c r="C132" t="s">
        <v>507</v>
      </c>
      <c r="D132" s="9">
        <v>107112553051</v>
      </c>
      <c r="E132" s="10">
        <v>3480</v>
      </c>
      <c r="F132">
        <v>105075</v>
      </c>
      <c r="G132" s="5">
        <v>29440</v>
      </c>
      <c r="H132" s="5">
        <v>75635</v>
      </c>
      <c r="I132" t="s">
        <v>1635</v>
      </c>
      <c r="J132" s="10">
        <v>3480</v>
      </c>
      <c r="K132" t="s">
        <v>1635</v>
      </c>
      <c r="L132">
        <v>0</v>
      </c>
    </row>
    <row r="133" spans="1:12">
      <c r="A133">
        <v>1</v>
      </c>
      <c r="B133" t="s">
        <v>15</v>
      </c>
      <c r="C133" t="s">
        <v>647</v>
      </c>
      <c r="D133" s="9">
        <v>107112728300</v>
      </c>
      <c r="E133" s="10">
        <v>966</v>
      </c>
      <c r="F133">
        <v>17689</v>
      </c>
      <c r="G133" s="5">
        <v>9614</v>
      </c>
      <c r="H133" s="5">
        <v>8075</v>
      </c>
      <c r="I133" t="s">
        <v>1635</v>
      </c>
      <c r="J133" s="10">
        <v>966</v>
      </c>
      <c r="K133" t="s">
        <v>1635</v>
      </c>
      <c r="L133">
        <v>0</v>
      </c>
    </row>
    <row r="134" spans="1:12">
      <c r="A134">
        <v>1</v>
      </c>
      <c r="B134" t="s">
        <v>15</v>
      </c>
      <c r="C134" t="s">
        <v>443</v>
      </c>
      <c r="D134" s="9">
        <v>107112384912</v>
      </c>
      <c r="E134" s="10">
        <v>2914</v>
      </c>
      <c r="F134">
        <v>84000</v>
      </c>
      <c r="G134" s="5">
        <v>25292</v>
      </c>
      <c r="H134" s="5">
        <v>58708</v>
      </c>
      <c r="I134" t="s">
        <v>1635</v>
      </c>
      <c r="J134" s="10">
        <v>2914</v>
      </c>
      <c r="K134" t="s">
        <v>1635</v>
      </c>
      <c r="L134">
        <v>0</v>
      </c>
    </row>
    <row r="135" spans="1:12">
      <c r="A135">
        <v>1</v>
      </c>
      <c r="B135" t="s">
        <v>15</v>
      </c>
      <c r="C135" t="s">
        <v>812</v>
      </c>
      <c r="D135" s="9">
        <v>107113105964</v>
      </c>
      <c r="E135" s="10">
        <v>3780</v>
      </c>
      <c r="F135">
        <v>98000</v>
      </c>
      <c r="G135" s="5">
        <v>28580</v>
      </c>
      <c r="H135" s="5">
        <v>69420</v>
      </c>
      <c r="I135" t="s">
        <v>1635</v>
      </c>
      <c r="J135" s="10">
        <v>3780</v>
      </c>
      <c r="K135" t="s">
        <v>1635</v>
      </c>
      <c r="L135">
        <v>0</v>
      </c>
    </row>
    <row r="136" spans="1:12">
      <c r="A136">
        <v>1</v>
      </c>
      <c r="B136" t="s">
        <v>15</v>
      </c>
      <c r="C136" t="s">
        <v>141</v>
      </c>
      <c r="D136" s="9">
        <v>101129685066</v>
      </c>
      <c r="E136" s="10">
        <v>5382</v>
      </c>
      <c r="F136">
        <v>98888</v>
      </c>
      <c r="G136" s="5">
        <v>45916</v>
      </c>
      <c r="H136" s="5">
        <v>52972</v>
      </c>
      <c r="I136" t="s">
        <v>1635</v>
      </c>
      <c r="J136" s="10">
        <v>5382</v>
      </c>
      <c r="K136" t="s">
        <v>1635</v>
      </c>
      <c r="L136">
        <v>0</v>
      </c>
    </row>
    <row r="137" spans="1:12">
      <c r="A137">
        <v>1</v>
      </c>
      <c r="B137" t="s">
        <v>15</v>
      </c>
      <c r="C137" t="s">
        <v>53</v>
      </c>
      <c r="D137" s="9">
        <v>101128601341</v>
      </c>
      <c r="E137" s="10">
        <v>3471</v>
      </c>
      <c r="F137">
        <v>103759</v>
      </c>
      <c r="G137" s="5">
        <v>38181</v>
      </c>
      <c r="H137" s="5">
        <v>65578</v>
      </c>
      <c r="I137" t="s">
        <v>1635</v>
      </c>
      <c r="J137" s="10">
        <v>3471</v>
      </c>
      <c r="K137" t="s">
        <v>1635</v>
      </c>
      <c r="L137">
        <v>0</v>
      </c>
    </row>
    <row r="138" spans="1:12">
      <c r="A138">
        <v>1</v>
      </c>
      <c r="B138" t="s">
        <v>15</v>
      </c>
      <c r="C138" t="s">
        <v>205</v>
      </c>
      <c r="D138" s="9">
        <v>101130189018</v>
      </c>
      <c r="E138" s="10">
        <v>5805</v>
      </c>
      <c r="F138">
        <v>172980</v>
      </c>
      <c r="G138" s="5">
        <v>44835</v>
      </c>
      <c r="H138" s="5">
        <v>128145</v>
      </c>
      <c r="I138" t="s">
        <v>1635</v>
      </c>
      <c r="J138" s="10">
        <v>5805</v>
      </c>
      <c r="K138" t="s">
        <v>1635</v>
      </c>
      <c r="L138">
        <v>0</v>
      </c>
    </row>
    <row r="139" spans="1:12">
      <c r="A139">
        <v>1</v>
      </c>
      <c r="B139" t="s">
        <v>15</v>
      </c>
      <c r="C139" t="s">
        <v>584</v>
      </c>
      <c r="D139" s="9">
        <v>107112642685</v>
      </c>
      <c r="E139" s="10">
        <v>3024</v>
      </c>
      <c r="F139">
        <v>86995</v>
      </c>
      <c r="G139" s="5">
        <v>25972</v>
      </c>
      <c r="H139" s="5">
        <v>61023</v>
      </c>
      <c r="I139" t="s">
        <v>1635</v>
      </c>
      <c r="J139" s="10">
        <v>3024</v>
      </c>
      <c r="K139" t="s">
        <v>1635</v>
      </c>
      <c r="L139">
        <v>0</v>
      </c>
    </row>
    <row r="140" spans="1:12">
      <c r="A140">
        <v>1</v>
      </c>
      <c r="B140" t="s">
        <v>15</v>
      </c>
      <c r="C140" t="s">
        <v>495</v>
      </c>
      <c r="D140" s="9">
        <v>107112524298</v>
      </c>
      <c r="E140" s="10">
        <v>1386</v>
      </c>
      <c r="F140">
        <v>24963</v>
      </c>
      <c r="G140" s="5">
        <v>12327</v>
      </c>
      <c r="H140" s="5">
        <v>12636</v>
      </c>
      <c r="I140" t="s">
        <v>1635</v>
      </c>
      <c r="J140" s="10">
        <v>1386</v>
      </c>
      <c r="K140" t="s">
        <v>1635</v>
      </c>
      <c r="L140">
        <v>0</v>
      </c>
    </row>
    <row r="141" spans="1:12">
      <c r="A141">
        <v>1</v>
      </c>
      <c r="B141" t="s">
        <v>15</v>
      </c>
      <c r="C141" t="s">
        <v>607</v>
      </c>
      <c r="D141" s="9">
        <v>107112664181</v>
      </c>
      <c r="E141" s="10">
        <v>3024</v>
      </c>
      <c r="F141">
        <v>97745</v>
      </c>
      <c r="G141" s="5">
        <v>23398</v>
      </c>
      <c r="H141" s="5">
        <v>74347</v>
      </c>
      <c r="I141" t="s">
        <v>1635</v>
      </c>
      <c r="J141" s="10">
        <v>3024</v>
      </c>
      <c r="K141" t="s">
        <v>1635</v>
      </c>
      <c r="L141">
        <v>0</v>
      </c>
    </row>
    <row r="142" spans="1:12">
      <c r="A142">
        <v>1</v>
      </c>
      <c r="B142" t="s">
        <v>15</v>
      </c>
      <c r="C142" t="s">
        <v>802</v>
      </c>
      <c r="D142" s="9">
        <v>107113051629</v>
      </c>
      <c r="E142" s="10">
        <v>3402</v>
      </c>
      <c r="F142">
        <v>100146</v>
      </c>
      <c r="G142" s="5">
        <v>26384</v>
      </c>
      <c r="H142" s="5">
        <v>73762</v>
      </c>
      <c r="I142" t="s">
        <v>1635</v>
      </c>
      <c r="J142" s="10">
        <v>3402</v>
      </c>
      <c r="K142" t="s">
        <v>1635</v>
      </c>
      <c r="L142">
        <v>0</v>
      </c>
    </row>
    <row r="143" spans="1:12">
      <c r="A143">
        <v>1</v>
      </c>
      <c r="B143" t="s">
        <v>15</v>
      </c>
      <c r="C143" t="s">
        <v>139</v>
      </c>
      <c r="D143" s="9">
        <v>101129684632</v>
      </c>
      <c r="E143" s="10">
        <v>5382</v>
      </c>
      <c r="F143">
        <v>98888</v>
      </c>
      <c r="G143" s="5">
        <v>45916</v>
      </c>
      <c r="H143" s="5">
        <v>52972</v>
      </c>
      <c r="I143" t="s">
        <v>1635</v>
      </c>
      <c r="J143" s="10">
        <v>5382</v>
      </c>
      <c r="K143" t="s">
        <v>1635</v>
      </c>
      <c r="L143">
        <v>0</v>
      </c>
    </row>
    <row r="144" spans="1:12">
      <c r="A144">
        <v>1</v>
      </c>
      <c r="B144" t="s">
        <v>15</v>
      </c>
      <c r="C144" t="s">
        <v>696</v>
      </c>
      <c r="D144" s="9">
        <v>107112824234</v>
      </c>
      <c r="E144" s="10">
        <v>3116</v>
      </c>
      <c r="F144">
        <v>94000</v>
      </c>
      <c r="G144" s="5">
        <v>26568</v>
      </c>
      <c r="H144" s="5">
        <v>67432</v>
      </c>
      <c r="I144" t="s">
        <v>1635</v>
      </c>
      <c r="J144" s="10">
        <v>3116</v>
      </c>
      <c r="K144" t="s">
        <v>1635</v>
      </c>
      <c r="L144">
        <v>0</v>
      </c>
    </row>
    <row r="145" spans="1:12">
      <c r="A145">
        <v>1</v>
      </c>
      <c r="B145" t="s">
        <v>15</v>
      </c>
      <c r="C145" t="s">
        <v>792</v>
      </c>
      <c r="D145" s="9">
        <v>107113022670</v>
      </c>
      <c r="E145" s="10">
        <v>4620</v>
      </c>
      <c r="F145">
        <v>137000</v>
      </c>
      <c r="G145" s="5">
        <v>30520</v>
      </c>
      <c r="H145" s="5">
        <v>106480</v>
      </c>
      <c r="I145" t="s">
        <v>1635</v>
      </c>
      <c r="J145" s="10">
        <v>4620</v>
      </c>
      <c r="K145" t="s">
        <v>1635</v>
      </c>
      <c r="L145">
        <v>0</v>
      </c>
    </row>
    <row r="146" spans="1:12">
      <c r="A146">
        <v>1</v>
      </c>
      <c r="B146" t="s">
        <v>15</v>
      </c>
      <c r="C146" t="s">
        <v>698</v>
      </c>
      <c r="D146" s="9">
        <v>107112827297</v>
      </c>
      <c r="E146" s="10">
        <v>4380</v>
      </c>
      <c r="F146">
        <v>129825</v>
      </c>
      <c r="G146" s="5">
        <v>33060</v>
      </c>
      <c r="H146" s="5">
        <v>96765</v>
      </c>
      <c r="I146" t="s">
        <v>1635</v>
      </c>
      <c r="J146" s="10">
        <v>4380</v>
      </c>
      <c r="K146" t="s">
        <v>1635</v>
      </c>
      <c r="L146">
        <v>0</v>
      </c>
    </row>
    <row r="147" spans="1:12">
      <c r="A147">
        <v>1</v>
      </c>
      <c r="B147" t="s">
        <v>15</v>
      </c>
      <c r="C147" t="s">
        <v>527</v>
      </c>
      <c r="D147" s="9">
        <v>107112587852</v>
      </c>
      <c r="E147" s="10">
        <v>4575</v>
      </c>
      <c r="F147">
        <v>135731</v>
      </c>
      <c r="G147" s="5">
        <v>39650</v>
      </c>
      <c r="H147" s="5">
        <v>96081</v>
      </c>
      <c r="I147" t="s">
        <v>1635</v>
      </c>
      <c r="J147" s="10">
        <v>4575</v>
      </c>
      <c r="K147" t="s">
        <v>1635</v>
      </c>
      <c r="L147">
        <v>0</v>
      </c>
    </row>
    <row r="148" spans="1:12">
      <c r="A148">
        <v>1</v>
      </c>
      <c r="B148" t="s">
        <v>15</v>
      </c>
      <c r="C148" t="s">
        <v>735</v>
      </c>
      <c r="D148" s="9">
        <v>107112893630</v>
      </c>
      <c r="E148" s="10">
        <v>3465</v>
      </c>
      <c r="F148">
        <v>100000</v>
      </c>
      <c r="G148" s="5">
        <v>26480</v>
      </c>
      <c r="H148" s="5">
        <v>73520</v>
      </c>
      <c r="I148" t="s">
        <v>1635</v>
      </c>
      <c r="J148" s="10">
        <v>3465</v>
      </c>
      <c r="K148" t="s">
        <v>1635</v>
      </c>
      <c r="L148">
        <v>0</v>
      </c>
    </row>
    <row r="149" spans="1:12">
      <c r="A149">
        <v>1</v>
      </c>
      <c r="B149" t="s">
        <v>15</v>
      </c>
      <c r="C149" t="s">
        <v>700</v>
      </c>
      <c r="D149" s="9">
        <v>107112828521</v>
      </c>
      <c r="E149" s="10">
        <v>3870</v>
      </c>
      <c r="F149">
        <v>115000</v>
      </c>
      <c r="G149" s="5">
        <v>28890</v>
      </c>
      <c r="H149" s="5">
        <v>86110</v>
      </c>
      <c r="I149" t="s">
        <v>1635</v>
      </c>
      <c r="J149" s="10">
        <v>3870</v>
      </c>
      <c r="K149" t="s">
        <v>1635</v>
      </c>
      <c r="L149">
        <v>0</v>
      </c>
    </row>
    <row r="150" spans="1:12">
      <c r="A150">
        <v>1</v>
      </c>
      <c r="B150" t="s">
        <v>15</v>
      </c>
      <c r="C150" t="s">
        <v>199</v>
      </c>
      <c r="D150" s="9">
        <v>101130133837</v>
      </c>
      <c r="E150" s="10">
        <v>4080</v>
      </c>
      <c r="F150">
        <v>79275</v>
      </c>
      <c r="G150" s="5">
        <v>35590</v>
      </c>
      <c r="H150" s="5">
        <v>43685</v>
      </c>
      <c r="I150" t="s">
        <v>1635</v>
      </c>
      <c r="J150" s="10">
        <v>4080</v>
      </c>
      <c r="K150" t="s">
        <v>1635</v>
      </c>
      <c r="L150">
        <v>0</v>
      </c>
    </row>
    <row r="151" spans="1:12">
      <c r="A151">
        <v>1</v>
      </c>
      <c r="B151" t="s">
        <v>15</v>
      </c>
      <c r="C151" t="s">
        <v>318</v>
      </c>
      <c r="D151" s="9">
        <v>107111707839</v>
      </c>
      <c r="E151" s="10">
        <v>3330</v>
      </c>
      <c r="F151">
        <v>80000</v>
      </c>
      <c r="G151" s="5">
        <v>31450</v>
      </c>
      <c r="H151" s="5">
        <v>48550</v>
      </c>
      <c r="I151" t="s">
        <v>1635</v>
      </c>
      <c r="J151" s="10">
        <v>3330</v>
      </c>
      <c r="K151" t="s">
        <v>1635</v>
      </c>
      <c r="L151"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ADE3-F46D-E741-83D7-8EC1FF049B25}">
  <dimension ref="A1:L51"/>
  <sheetViews>
    <sheetView workbookViewId="0">
      <selection activeCell="K9" sqref="K9:L17"/>
    </sheetView>
  </sheetViews>
  <sheetFormatPr baseColWidth="10" defaultRowHeight="14"/>
  <cols>
    <col min="2" max="2" width="29.33203125" bestFit="1" customWidth="1"/>
    <col min="3" max="3" width="15" bestFit="1" customWidth="1"/>
    <col min="4" max="4" width="15.33203125" bestFit="1" customWidth="1"/>
    <col min="5" max="6" width="17.1640625" bestFit="1" customWidth="1"/>
    <col min="7" max="8" width="15" bestFit="1" customWidth="1"/>
    <col min="9" max="9" width="13" bestFit="1" customWidth="1"/>
    <col min="10" max="10" width="17.1640625" bestFit="1" customWidth="1"/>
    <col min="11" max="12" width="1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644</v>
      </c>
      <c r="D2" s="9">
        <v>107112719541</v>
      </c>
      <c r="E2" s="10">
        <v>864</v>
      </c>
      <c r="F2">
        <v>15000</v>
      </c>
      <c r="G2" s="5">
        <v>6912</v>
      </c>
      <c r="H2" s="5">
        <v>8088</v>
      </c>
      <c r="I2" t="s">
        <v>1635</v>
      </c>
      <c r="J2" s="10">
        <v>864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681</v>
      </c>
      <c r="D3" s="9">
        <v>107112798785</v>
      </c>
      <c r="E3" s="10">
        <v>2496</v>
      </c>
      <c r="F3">
        <v>75452</v>
      </c>
      <c r="G3" s="5">
        <v>21888</v>
      </c>
      <c r="H3" s="5">
        <v>53564</v>
      </c>
      <c r="I3" t="s">
        <v>1635</v>
      </c>
      <c r="J3" s="10">
        <v>2496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372</v>
      </c>
      <c r="D4" s="9">
        <v>107112205936</v>
      </c>
      <c r="E4" s="10">
        <v>4015</v>
      </c>
      <c r="F4">
        <v>121169</v>
      </c>
      <c r="G4" s="5">
        <v>38335</v>
      </c>
      <c r="H4" s="5">
        <v>82834</v>
      </c>
      <c r="I4" t="s">
        <v>1635</v>
      </c>
      <c r="J4" s="10">
        <v>4015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451</v>
      </c>
      <c r="D5" s="9">
        <v>107112404846</v>
      </c>
      <c r="E5" s="10">
        <v>2960</v>
      </c>
      <c r="F5">
        <v>106836</v>
      </c>
      <c r="G5" s="5">
        <v>26600</v>
      </c>
      <c r="H5" s="5">
        <v>80236</v>
      </c>
      <c r="I5" t="s">
        <v>1635</v>
      </c>
      <c r="J5" s="10">
        <v>2960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473</v>
      </c>
      <c r="D6" s="9">
        <v>107112470213</v>
      </c>
      <c r="E6" s="10">
        <v>1330</v>
      </c>
      <c r="F6">
        <v>23863</v>
      </c>
      <c r="G6" s="5">
        <v>13840</v>
      </c>
      <c r="H6" s="5">
        <v>10023</v>
      </c>
      <c r="I6" t="s">
        <v>1635</v>
      </c>
      <c r="J6" s="10">
        <v>1330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622</v>
      </c>
      <c r="D7" s="9">
        <v>107112697786</v>
      </c>
      <c r="E7" s="10">
        <v>2784</v>
      </c>
      <c r="F7">
        <v>89000</v>
      </c>
      <c r="G7" s="5">
        <v>19456</v>
      </c>
      <c r="H7" s="5">
        <v>69544</v>
      </c>
      <c r="I7" t="s">
        <v>1635</v>
      </c>
      <c r="J7" s="10">
        <v>2784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606</v>
      </c>
      <c r="D8" s="9">
        <v>107112663876</v>
      </c>
      <c r="E8" s="10">
        <v>1140</v>
      </c>
      <c r="F8">
        <v>19087</v>
      </c>
      <c r="G8" s="5">
        <v>10800</v>
      </c>
      <c r="H8" s="5">
        <v>8287</v>
      </c>
      <c r="I8" t="s">
        <v>1635</v>
      </c>
      <c r="J8" s="10">
        <v>1140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149</v>
      </c>
      <c r="D9" s="9">
        <v>101129727695</v>
      </c>
      <c r="E9" s="10">
        <v>3445</v>
      </c>
      <c r="F9">
        <v>104637</v>
      </c>
      <c r="G9" s="5">
        <v>36833.33</v>
      </c>
      <c r="H9" s="5">
        <v>67803.67</v>
      </c>
      <c r="I9" t="s">
        <v>1635</v>
      </c>
      <c r="J9" s="10">
        <v>3445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129</v>
      </c>
      <c r="D10" s="9">
        <v>101129590806</v>
      </c>
      <c r="E10" s="10">
        <v>3080</v>
      </c>
      <c r="F10">
        <v>94515</v>
      </c>
      <c r="G10" s="5">
        <v>33684</v>
      </c>
      <c r="H10" s="5">
        <v>60831</v>
      </c>
      <c r="I10" t="s">
        <v>1635</v>
      </c>
      <c r="J10" s="10">
        <v>3080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763</v>
      </c>
      <c r="D11" s="9">
        <v>107112967766</v>
      </c>
      <c r="E11" s="10">
        <v>3402</v>
      </c>
      <c r="F11">
        <v>103000</v>
      </c>
      <c r="G11" s="5">
        <v>25974</v>
      </c>
      <c r="H11" s="5">
        <v>77026</v>
      </c>
      <c r="I11" t="s">
        <v>1635</v>
      </c>
      <c r="J11" s="10">
        <v>3402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102</v>
      </c>
      <c r="D12" s="9">
        <v>101129405710</v>
      </c>
      <c r="E12" s="10">
        <v>5460</v>
      </c>
      <c r="F12">
        <v>100000</v>
      </c>
      <c r="G12" s="5">
        <v>57150</v>
      </c>
      <c r="H12" s="5">
        <v>42850</v>
      </c>
      <c r="I12" t="s">
        <v>1635</v>
      </c>
      <c r="J12" s="10">
        <v>5460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38</v>
      </c>
      <c r="D13" s="9">
        <v>101128209031</v>
      </c>
      <c r="E13" s="10">
        <v>1840</v>
      </c>
      <c r="F13">
        <v>55000</v>
      </c>
      <c r="G13" s="5">
        <v>20240</v>
      </c>
      <c r="H13" s="5">
        <v>34760</v>
      </c>
      <c r="I13" t="s">
        <v>1635</v>
      </c>
      <c r="J13" s="10">
        <v>1840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543</v>
      </c>
      <c r="D14" s="9">
        <v>107112601974</v>
      </c>
      <c r="E14" s="10">
        <v>1428</v>
      </c>
      <c r="F14">
        <v>26555</v>
      </c>
      <c r="G14" s="5">
        <v>12852</v>
      </c>
      <c r="H14" s="5">
        <v>13703</v>
      </c>
      <c r="I14" t="s">
        <v>1635</v>
      </c>
      <c r="J14" s="10">
        <v>1428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238</v>
      </c>
      <c r="D15" s="9">
        <v>101130468708</v>
      </c>
      <c r="E15" s="10">
        <v>4060</v>
      </c>
      <c r="F15">
        <v>74625</v>
      </c>
      <c r="G15" s="5">
        <v>39106.67</v>
      </c>
      <c r="H15" s="5">
        <v>35518.33</v>
      </c>
      <c r="I15" t="s">
        <v>1635</v>
      </c>
      <c r="J15" s="10">
        <v>4060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628</v>
      </c>
      <c r="D16" s="9">
        <v>107112700798</v>
      </c>
      <c r="E16" s="10">
        <v>3640</v>
      </c>
      <c r="F16">
        <v>107767</v>
      </c>
      <c r="G16" s="5">
        <v>31200</v>
      </c>
      <c r="H16" s="5">
        <v>76567</v>
      </c>
      <c r="I16" t="s">
        <v>1635</v>
      </c>
      <c r="J16" s="10">
        <v>3640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169</v>
      </c>
      <c r="D17" s="9">
        <v>101129954626</v>
      </c>
      <c r="E17" s="10">
        <v>2805</v>
      </c>
      <c r="F17">
        <v>83860</v>
      </c>
      <c r="G17" s="5">
        <v>28050</v>
      </c>
      <c r="H17" s="5">
        <v>55810</v>
      </c>
      <c r="I17" t="s">
        <v>1635</v>
      </c>
      <c r="J17" s="10">
        <v>2805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461</v>
      </c>
      <c r="D18" s="9">
        <v>107112452906</v>
      </c>
      <c r="E18" s="10">
        <v>2700</v>
      </c>
      <c r="F18">
        <v>78259</v>
      </c>
      <c r="G18" s="5">
        <v>26560</v>
      </c>
      <c r="H18" s="5">
        <v>51699</v>
      </c>
      <c r="I18" t="s">
        <v>1635</v>
      </c>
      <c r="J18" s="10">
        <v>2700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613</v>
      </c>
      <c r="D19" s="9">
        <v>107112672786</v>
      </c>
      <c r="E19" s="10">
        <v>3278.5</v>
      </c>
      <c r="F19">
        <v>96397</v>
      </c>
      <c r="G19" s="5">
        <v>27938</v>
      </c>
      <c r="H19" s="5">
        <v>68459</v>
      </c>
      <c r="I19" t="s">
        <v>1635</v>
      </c>
      <c r="J19" s="10">
        <v>3278.5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437</v>
      </c>
      <c r="D20" s="9">
        <v>107112369860</v>
      </c>
      <c r="E20" s="10">
        <v>3525</v>
      </c>
      <c r="F20">
        <v>105878</v>
      </c>
      <c r="G20" s="5">
        <v>34725</v>
      </c>
      <c r="H20" s="5">
        <v>71153</v>
      </c>
      <c r="I20" t="s">
        <v>1635</v>
      </c>
      <c r="J20" s="10">
        <v>3525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240</v>
      </c>
      <c r="D21" s="9">
        <v>101130479024</v>
      </c>
      <c r="E21" s="10">
        <v>3080</v>
      </c>
      <c r="F21">
        <v>100000</v>
      </c>
      <c r="G21" s="5">
        <v>30800</v>
      </c>
      <c r="H21" s="5">
        <v>69200</v>
      </c>
      <c r="I21" t="s">
        <v>1635</v>
      </c>
      <c r="J21" s="10">
        <v>3080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782</v>
      </c>
      <c r="D22" s="9">
        <v>107113006545</v>
      </c>
      <c r="E22" s="10">
        <v>4400</v>
      </c>
      <c r="F22">
        <v>81000</v>
      </c>
      <c r="G22" s="5">
        <v>30350</v>
      </c>
      <c r="H22" s="5">
        <v>50650</v>
      </c>
      <c r="I22" t="s">
        <v>1635</v>
      </c>
      <c r="J22" s="10">
        <v>4400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515</v>
      </c>
      <c r="D23" s="9">
        <v>107112567640</v>
      </c>
      <c r="E23" s="10">
        <v>2800</v>
      </c>
      <c r="F23">
        <v>50038</v>
      </c>
      <c r="G23" s="5">
        <v>28000</v>
      </c>
      <c r="H23" s="5">
        <v>22038</v>
      </c>
      <c r="I23" t="s">
        <v>1635</v>
      </c>
      <c r="J23" s="10">
        <v>2800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306</v>
      </c>
      <c r="D24" s="9">
        <v>101131634595</v>
      </c>
      <c r="E24" s="10">
        <v>2728</v>
      </c>
      <c r="F24">
        <v>77921</v>
      </c>
      <c r="G24" s="5">
        <v>27132</v>
      </c>
      <c r="H24" s="5">
        <v>50789</v>
      </c>
      <c r="I24" t="s">
        <v>1635</v>
      </c>
      <c r="J24" s="10">
        <v>2728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800</v>
      </c>
      <c r="D25" s="9">
        <v>107113048741</v>
      </c>
      <c r="E25" s="10">
        <v>3960</v>
      </c>
      <c r="F25">
        <v>115000</v>
      </c>
      <c r="G25" s="5">
        <v>30220</v>
      </c>
      <c r="H25" s="5">
        <v>84780</v>
      </c>
      <c r="I25" t="s">
        <v>1635</v>
      </c>
      <c r="J25" s="10">
        <v>3960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773</v>
      </c>
      <c r="D26" s="9">
        <v>107112989677</v>
      </c>
      <c r="E26" s="10">
        <v>1290</v>
      </c>
      <c r="F26">
        <v>22711</v>
      </c>
      <c r="G26" s="5">
        <v>11610</v>
      </c>
      <c r="H26" s="5">
        <v>11101</v>
      </c>
      <c r="I26" t="s">
        <v>1635</v>
      </c>
      <c r="J26" s="10">
        <v>1290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308</v>
      </c>
      <c r="D27" s="9">
        <v>107106308722</v>
      </c>
      <c r="E27" s="10">
        <v>2808</v>
      </c>
      <c r="F27">
        <v>88414</v>
      </c>
      <c r="G27" s="5">
        <v>27352</v>
      </c>
      <c r="H27" s="5">
        <v>61062</v>
      </c>
      <c r="I27" t="s">
        <v>1635</v>
      </c>
      <c r="J27" s="10">
        <v>2808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706</v>
      </c>
      <c r="D28" s="9">
        <v>107112845576</v>
      </c>
      <c r="E28" s="10">
        <v>2784</v>
      </c>
      <c r="F28">
        <v>82721</v>
      </c>
      <c r="G28" s="5">
        <v>21408</v>
      </c>
      <c r="H28" s="5">
        <v>61313</v>
      </c>
      <c r="I28" t="s">
        <v>1635</v>
      </c>
      <c r="J28" s="10">
        <v>2784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75</v>
      </c>
      <c r="D29" s="9">
        <v>101129266919</v>
      </c>
      <c r="E29" s="10">
        <v>4108</v>
      </c>
      <c r="F29">
        <v>75868</v>
      </c>
      <c r="G29" s="5">
        <v>43160</v>
      </c>
      <c r="H29" s="5">
        <v>32708</v>
      </c>
      <c r="I29" t="s">
        <v>1635</v>
      </c>
      <c r="J29" s="10">
        <v>4108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117</v>
      </c>
      <c r="D30" s="9">
        <v>101129508743</v>
      </c>
      <c r="E30" s="10">
        <v>2520</v>
      </c>
      <c r="F30">
        <v>73000</v>
      </c>
      <c r="G30" s="5">
        <v>25200</v>
      </c>
      <c r="H30" s="5">
        <v>47800</v>
      </c>
      <c r="I30" t="s">
        <v>1635</v>
      </c>
      <c r="J30" s="10">
        <v>2520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294</v>
      </c>
      <c r="D31" s="9">
        <v>101131013018</v>
      </c>
      <c r="E31" s="10">
        <v>4824</v>
      </c>
      <c r="F31">
        <v>89000</v>
      </c>
      <c r="G31" s="5">
        <v>41352</v>
      </c>
      <c r="H31" s="5">
        <v>47648</v>
      </c>
      <c r="I31" t="s">
        <v>1635</v>
      </c>
      <c r="J31" s="10">
        <v>4824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810</v>
      </c>
      <c r="D32" s="9">
        <v>107113072594</v>
      </c>
      <c r="E32" s="10">
        <v>4503</v>
      </c>
      <c r="F32">
        <v>128888</v>
      </c>
      <c r="G32" s="5">
        <v>33901</v>
      </c>
      <c r="H32" s="5">
        <v>94987</v>
      </c>
      <c r="I32" t="s">
        <v>1635</v>
      </c>
      <c r="J32" s="10">
        <v>4503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252</v>
      </c>
      <c r="D33" s="9">
        <v>101130614595</v>
      </c>
      <c r="E33" s="10">
        <v>2409</v>
      </c>
      <c r="F33">
        <v>74625</v>
      </c>
      <c r="G33" s="5">
        <v>21681</v>
      </c>
      <c r="H33" s="5">
        <v>52944</v>
      </c>
      <c r="I33" t="s">
        <v>1635</v>
      </c>
      <c r="J33" s="10">
        <v>2409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221</v>
      </c>
      <c r="D34" s="9">
        <v>101130331302</v>
      </c>
      <c r="E34" s="10">
        <v>2420</v>
      </c>
      <c r="F34">
        <v>73000</v>
      </c>
      <c r="G34" s="5">
        <v>23796.67</v>
      </c>
      <c r="H34" s="5">
        <v>49203.33</v>
      </c>
      <c r="I34" t="s">
        <v>1635</v>
      </c>
      <c r="J34" s="10">
        <v>2420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131</v>
      </c>
      <c r="D35" s="9">
        <v>101129616917</v>
      </c>
      <c r="E35" s="10">
        <v>3250</v>
      </c>
      <c r="F35">
        <v>98883</v>
      </c>
      <c r="G35" s="5">
        <v>35100</v>
      </c>
      <c r="H35" s="5">
        <v>63783</v>
      </c>
      <c r="I35" t="s">
        <v>1635</v>
      </c>
      <c r="J35" s="10">
        <v>3250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609</v>
      </c>
      <c r="D36" s="9">
        <v>107112664269</v>
      </c>
      <c r="E36" s="10">
        <v>2541</v>
      </c>
      <c r="F36">
        <v>77000</v>
      </c>
      <c r="G36" s="5">
        <v>22539</v>
      </c>
      <c r="H36" s="5">
        <v>54461</v>
      </c>
      <c r="I36" t="s">
        <v>1635</v>
      </c>
      <c r="J36" s="10">
        <v>2541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55</v>
      </c>
      <c r="D37" s="9">
        <v>101128682630</v>
      </c>
      <c r="E37" s="10">
        <v>3045</v>
      </c>
      <c r="F37">
        <v>90955</v>
      </c>
      <c r="G37" s="5">
        <v>30450</v>
      </c>
      <c r="H37" s="5">
        <v>60505</v>
      </c>
      <c r="I37" t="s">
        <v>1635</v>
      </c>
      <c r="J37" s="10">
        <v>3045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266</v>
      </c>
      <c r="D38" s="9">
        <v>101130774312</v>
      </c>
      <c r="E38" s="10">
        <v>2300</v>
      </c>
      <c r="F38">
        <v>43500</v>
      </c>
      <c r="G38" s="5">
        <v>20290</v>
      </c>
      <c r="H38" s="5">
        <v>23210</v>
      </c>
      <c r="I38" t="s">
        <v>1635</v>
      </c>
      <c r="J38" s="10">
        <v>2300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77</v>
      </c>
      <c r="D39" s="9">
        <v>101129291267</v>
      </c>
      <c r="E39" s="10">
        <v>4165</v>
      </c>
      <c r="F39">
        <v>78585</v>
      </c>
      <c r="G39" s="5">
        <v>45765</v>
      </c>
      <c r="H39" s="5">
        <v>32820</v>
      </c>
      <c r="I39" t="s">
        <v>1635</v>
      </c>
      <c r="J39" s="10">
        <v>4165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278</v>
      </c>
      <c r="D40" s="9">
        <v>101130876309</v>
      </c>
      <c r="E40" s="10">
        <v>4608</v>
      </c>
      <c r="F40">
        <v>84625</v>
      </c>
      <c r="G40" s="5">
        <v>39504</v>
      </c>
      <c r="H40" s="5">
        <v>45121</v>
      </c>
      <c r="I40" t="s">
        <v>1635</v>
      </c>
      <c r="J40" s="10">
        <v>4608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32</v>
      </c>
      <c r="D41" s="9">
        <v>101128141006</v>
      </c>
      <c r="E41" s="10">
        <v>9263</v>
      </c>
      <c r="F41">
        <v>164000</v>
      </c>
      <c r="G41" s="5">
        <v>71121</v>
      </c>
      <c r="H41" s="5">
        <v>92879</v>
      </c>
      <c r="I41" t="s">
        <v>1635</v>
      </c>
      <c r="J41" s="10">
        <v>9263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471</v>
      </c>
      <c r="D42" s="9">
        <v>107112466550</v>
      </c>
      <c r="E42" s="10">
        <v>3870</v>
      </c>
      <c r="F42">
        <v>118000</v>
      </c>
      <c r="G42" s="5">
        <v>36630</v>
      </c>
      <c r="H42" s="5">
        <v>81370</v>
      </c>
      <c r="I42" t="s">
        <v>1635</v>
      </c>
      <c r="J42" s="10">
        <v>3870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675</v>
      </c>
      <c r="D43" s="9">
        <v>107112784537</v>
      </c>
      <c r="E43" s="10">
        <v>2037</v>
      </c>
      <c r="F43">
        <v>36749</v>
      </c>
      <c r="G43" s="5">
        <v>20391</v>
      </c>
      <c r="H43" s="5">
        <v>16358</v>
      </c>
      <c r="I43" t="s">
        <v>1635</v>
      </c>
      <c r="J43" s="10">
        <v>2037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248</v>
      </c>
      <c r="D44" s="9">
        <v>101130590769</v>
      </c>
      <c r="E44" s="10">
        <v>2940</v>
      </c>
      <c r="F44">
        <v>77000</v>
      </c>
      <c r="G44" s="5">
        <v>25050</v>
      </c>
      <c r="H44" s="5">
        <v>51950</v>
      </c>
      <c r="I44" t="s">
        <v>1635</v>
      </c>
      <c r="J44" s="10">
        <v>2940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755</v>
      </c>
      <c r="D45" s="9">
        <v>107112934799</v>
      </c>
      <c r="E45" s="10">
        <v>4100</v>
      </c>
      <c r="F45">
        <v>129820</v>
      </c>
      <c r="G45" s="5">
        <v>29002</v>
      </c>
      <c r="H45" s="5">
        <v>100818</v>
      </c>
      <c r="I45" t="s">
        <v>1635</v>
      </c>
      <c r="J45" s="10">
        <v>4100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537</v>
      </c>
      <c r="D46" s="9">
        <v>107112594084</v>
      </c>
      <c r="E46" s="10">
        <v>3472</v>
      </c>
      <c r="F46">
        <v>106500</v>
      </c>
      <c r="G46" s="5">
        <v>26734</v>
      </c>
      <c r="H46" s="5">
        <v>79766</v>
      </c>
      <c r="I46" t="s">
        <v>1635</v>
      </c>
      <c r="J46" s="10">
        <v>3472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24</v>
      </c>
      <c r="D47" s="9">
        <v>101127626459</v>
      </c>
      <c r="E47" s="10">
        <v>3355</v>
      </c>
      <c r="F47">
        <v>92990</v>
      </c>
      <c r="G47" s="5">
        <v>34430</v>
      </c>
      <c r="H47" s="5">
        <v>58560</v>
      </c>
      <c r="I47" t="s">
        <v>1635</v>
      </c>
      <c r="J47" s="10">
        <v>3355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690</v>
      </c>
      <c r="D48" s="9">
        <v>107112808068</v>
      </c>
      <c r="E48" s="10">
        <v>2970</v>
      </c>
      <c r="F48">
        <v>92468</v>
      </c>
      <c r="G48" s="5">
        <v>23430</v>
      </c>
      <c r="H48" s="5">
        <v>69038</v>
      </c>
      <c r="I48" t="s">
        <v>1635</v>
      </c>
      <c r="J48" s="10">
        <v>2970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284</v>
      </c>
      <c r="D49" s="9">
        <v>101130908844</v>
      </c>
      <c r="E49" s="10">
        <v>6020</v>
      </c>
      <c r="F49">
        <v>111290</v>
      </c>
      <c r="G49" s="5">
        <v>53526.67</v>
      </c>
      <c r="H49" s="5">
        <v>57763.33</v>
      </c>
      <c r="I49" t="s">
        <v>1635</v>
      </c>
      <c r="J49" s="10">
        <v>6020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197</v>
      </c>
      <c r="D50" s="9">
        <v>101130133766</v>
      </c>
      <c r="E50" s="10">
        <v>2730</v>
      </c>
      <c r="F50">
        <v>84220</v>
      </c>
      <c r="G50" s="5">
        <v>27253.33</v>
      </c>
      <c r="H50" s="5">
        <v>56966.67</v>
      </c>
      <c r="I50" t="s">
        <v>1635</v>
      </c>
      <c r="J50" s="10">
        <v>2730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330</v>
      </c>
      <c r="D51" s="9">
        <v>107111936214</v>
      </c>
      <c r="E51" s="10">
        <v>1920</v>
      </c>
      <c r="F51">
        <v>102530</v>
      </c>
      <c r="G51" s="5">
        <v>31671</v>
      </c>
      <c r="H51" s="5">
        <v>70859</v>
      </c>
      <c r="I51" t="s">
        <v>1635</v>
      </c>
      <c r="J51" s="10">
        <v>1920</v>
      </c>
      <c r="K51" t="s">
        <v>1635</v>
      </c>
      <c r="L51">
        <v>0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B8B4-E599-6743-A342-9298F13C450A}">
  <dimension ref="A1:L88"/>
  <sheetViews>
    <sheetView topLeftCell="A23" workbookViewId="0">
      <selection activeCell="J1" sqref="J1:J1048576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5" max="5" width="17.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227</v>
      </c>
      <c r="D2" s="9">
        <v>101130387057</v>
      </c>
      <c r="E2" s="10">
        <v>53456</v>
      </c>
      <c r="F2">
        <v>79976</v>
      </c>
      <c r="G2" s="5">
        <v>23868</v>
      </c>
      <c r="H2" s="5">
        <v>56108</v>
      </c>
      <c r="I2" t="s">
        <v>1635</v>
      </c>
      <c r="J2" s="10">
        <v>53456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215</v>
      </c>
      <c r="D3" s="9">
        <v>101130216363</v>
      </c>
      <c r="E3" s="10">
        <v>2640</v>
      </c>
      <c r="F3">
        <v>78314</v>
      </c>
      <c r="G3" s="5">
        <v>26400</v>
      </c>
      <c r="H3" s="5">
        <v>51914</v>
      </c>
      <c r="I3" t="s">
        <v>1635</v>
      </c>
      <c r="J3" s="10">
        <v>2640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659</v>
      </c>
      <c r="D4" s="9">
        <v>107112762784</v>
      </c>
      <c r="E4" s="10">
        <v>1360</v>
      </c>
      <c r="F4">
        <v>24696</v>
      </c>
      <c r="G4" s="5">
        <v>13600</v>
      </c>
      <c r="H4" s="5">
        <v>11096</v>
      </c>
      <c r="I4" t="s">
        <v>1635</v>
      </c>
      <c r="J4" s="10">
        <v>1360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22</v>
      </c>
      <c r="D5" s="9">
        <v>101127524235</v>
      </c>
      <c r="E5" s="10">
        <v>2383.33</v>
      </c>
      <c r="F5">
        <v>50000</v>
      </c>
      <c r="G5" s="5">
        <v>19286.660000000003</v>
      </c>
      <c r="H5" s="5">
        <v>30713.339999999997</v>
      </c>
      <c r="I5" t="s">
        <v>1635</v>
      </c>
      <c r="J5" s="10">
        <v>2383.33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191</v>
      </c>
      <c r="D6" s="9">
        <v>101130107192</v>
      </c>
      <c r="E6" s="10">
        <v>3933</v>
      </c>
      <c r="F6">
        <v>74625</v>
      </c>
      <c r="G6" s="5">
        <v>39330</v>
      </c>
      <c r="H6" s="5">
        <v>35295</v>
      </c>
      <c r="I6" t="s">
        <v>1635</v>
      </c>
      <c r="J6" s="10">
        <v>3933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147</v>
      </c>
      <c r="D7" s="9">
        <v>101129694480</v>
      </c>
      <c r="E7" s="10">
        <v>2752</v>
      </c>
      <c r="F7">
        <v>81225</v>
      </c>
      <c r="G7" s="5">
        <v>30130</v>
      </c>
      <c r="H7" s="5">
        <v>51095</v>
      </c>
      <c r="I7" t="s">
        <v>1635</v>
      </c>
      <c r="J7" s="10">
        <v>2752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217</v>
      </c>
      <c r="D8" s="9">
        <v>101130228216</v>
      </c>
      <c r="E8" s="10">
        <v>2990</v>
      </c>
      <c r="F8">
        <v>90000</v>
      </c>
      <c r="G8" s="5">
        <v>29674</v>
      </c>
      <c r="H8" s="5">
        <v>60326</v>
      </c>
      <c r="I8" t="s">
        <v>1635</v>
      </c>
      <c r="J8" s="10">
        <v>2990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262</v>
      </c>
      <c r="D9" s="9">
        <v>101130717373</v>
      </c>
      <c r="E9" s="10">
        <v>2592</v>
      </c>
      <c r="F9">
        <v>78645</v>
      </c>
      <c r="G9" s="5">
        <v>25920</v>
      </c>
      <c r="H9" s="5">
        <v>52725</v>
      </c>
      <c r="I9" t="s">
        <v>1635</v>
      </c>
      <c r="J9" s="10">
        <v>2592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334</v>
      </c>
      <c r="D10" s="9">
        <v>107111983093</v>
      </c>
      <c r="E10" s="10">
        <v>4002</v>
      </c>
      <c r="F10">
        <v>119788</v>
      </c>
      <c r="G10" s="5">
        <v>36619.78</v>
      </c>
      <c r="H10" s="5">
        <v>83168.22</v>
      </c>
      <c r="I10" t="s">
        <v>1635</v>
      </c>
      <c r="J10" s="10">
        <v>4002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193</v>
      </c>
      <c r="D11" s="9">
        <v>101130115346</v>
      </c>
      <c r="E11" s="10">
        <v>4725</v>
      </c>
      <c r="F11">
        <v>88848</v>
      </c>
      <c r="G11" s="5">
        <v>44835</v>
      </c>
      <c r="H11" s="5">
        <v>44013</v>
      </c>
      <c r="I11" t="s">
        <v>1635</v>
      </c>
      <c r="J11" s="10">
        <v>4725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611</v>
      </c>
      <c r="D12" s="9">
        <v>107112670693</v>
      </c>
      <c r="E12" s="10">
        <v>3034</v>
      </c>
      <c r="F12">
        <v>91593</v>
      </c>
      <c r="G12" s="5">
        <v>25912</v>
      </c>
      <c r="H12" s="5">
        <v>65681</v>
      </c>
      <c r="I12" t="s">
        <v>1635</v>
      </c>
      <c r="J12" s="10">
        <v>3034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741</v>
      </c>
      <c r="D13" s="9">
        <v>107112908287</v>
      </c>
      <c r="E13" s="10">
        <v>2982</v>
      </c>
      <c r="F13">
        <v>86000</v>
      </c>
      <c r="G13" s="5">
        <v>25636</v>
      </c>
      <c r="H13" s="5">
        <v>60364</v>
      </c>
      <c r="I13" t="s">
        <v>1635</v>
      </c>
      <c r="J13" s="10">
        <v>2982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704</v>
      </c>
      <c r="D14" s="9">
        <v>107112843925</v>
      </c>
      <c r="E14" s="10">
        <v>2520</v>
      </c>
      <c r="F14">
        <v>76656</v>
      </c>
      <c r="G14" s="5">
        <v>22095</v>
      </c>
      <c r="H14" s="5">
        <v>54561</v>
      </c>
      <c r="I14" t="s">
        <v>1635</v>
      </c>
      <c r="J14" s="10">
        <v>2520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161</v>
      </c>
      <c r="D15" s="9">
        <v>101129894230</v>
      </c>
      <c r="E15" s="10">
        <v>2862</v>
      </c>
      <c r="F15">
        <v>86000</v>
      </c>
      <c r="G15" s="5">
        <v>30740</v>
      </c>
      <c r="H15" s="5">
        <v>55260</v>
      </c>
      <c r="I15" t="s">
        <v>1635</v>
      </c>
      <c r="J15" s="10">
        <v>2862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254</v>
      </c>
      <c r="D16" s="9">
        <v>101130620233</v>
      </c>
      <c r="E16" s="10">
        <v>3840</v>
      </c>
      <c r="F16">
        <v>115413</v>
      </c>
      <c r="G16" s="5">
        <v>34560</v>
      </c>
      <c r="H16" s="5">
        <v>80853</v>
      </c>
      <c r="I16" t="s">
        <v>1635</v>
      </c>
      <c r="J16" s="10">
        <v>3840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790</v>
      </c>
      <c r="D17" s="9">
        <v>107113015577</v>
      </c>
      <c r="E17" s="10">
        <v>3780</v>
      </c>
      <c r="F17">
        <v>115818</v>
      </c>
      <c r="G17" s="5">
        <v>35040</v>
      </c>
      <c r="H17" s="5">
        <v>80778</v>
      </c>
      <c r="I17" t="s">
        <v>1635</v>
      </c>
      <c r="J17" s="10">
        <v>3780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465</v>
      </c>
      <c r="D18" s="9">
        <v>107112460003</v>
      </c>
      <c r="E18" s="10">
        <v>3705</v>
      </c>
      <c r="F18">
        <v>112715</v>
      </c>
      <c r="G18" s="5">
        <v>35945</v>
      </c>
      <c r="H18" s="5">
        <v>76770</v>
      </c>
      <c r="I18" t="s">
        <v>1635</v>
      </c>
      <c r="J18" s="10">
        <v>3705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298</v>
      </c>
      <c r="D19" s="9">
        <v>101131094358</v>
      </c>
      <c r="E19" s="10">
        <v>2856</v>
      </c>
      <c r="F19">
        <v>85872</v>
      </c>
      <c r="G19" s="5">
        <v>25341.33</v>
      </c>
      <c r="H19" s="5">
        <v>60530.67</v>
      </c>
      <c r="I19" t="s">
        <v>1635</v>
      </c>
      <c r="J19" s="10">
        <v>2856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449</v>
      </c>
      <c r="D20" s="9">
        <v>107112392532</v>
      </c>
      <c r="E20" s="10">
        <v>1920</v>
      </c>
      <c r="F20">
        <v>69900</v>
      </c>
      <c r="G20" s="5">
        <v>18880</v>
      </c>
      <c r="H20" s="5">
        <v>51020</v>
      </c>
      <c r="I20" t="s">
        <v>1635</v>
      </c>
      <c r="J20" s="10">
        <v>1920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302</v>
      </c>
      <c r="D21" s="9">
        <v>101131216709</v>
      </c>
      <c r="E21" s="10">
        <v>2850</v>
      </c>
      <c r="F21">
        <v>84946</v>
      </c>
      <c r="G21" s="5">
        <v>25550</v>
      </c>
      <c r="H21" s="5">
        <v>59396</v>
      </c>
      <c r="I21" t="s">
        <v>1635</v>
      </c>
      <c r="J21" s="10">
        <v>2850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85</v>
      </c>
      <c r="D22" s="9">
        <v>101129320554</v>
      </c>
      <c r="E22" s="10">
        <v>2160</v>
      </c>
      <c r="F22">
        <v>88849</v>
      </c>
      <c r="G22" s="5">
        <v>32670</v>
      </c>
      <c r="H22" s="5">
        <v>56179</v>
      </c>
      <c r="I22" t="s">
        <v>1635</v>
      </c>
      <c r="J22" s="10">
        <v>2160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596</v>
      </c>
      <c r="D23" s="9">
        <v>107112654601</v>
      </c>
      <c r="E23" s="10">
        <v>3567</v>
      </c>
      <c r="F23">
        <v>107595</v>
      </c>
      <c r="G23" s="5">
        <v>33793</v>
      </c>
      <c r="H23" s="5">
        <v>73802</v>
      </c>
      <c r="I23" t="s">
        <v>1635</v>
      </c>
      <c r="J23" s="10">
        <v>3567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767</v>
      </c>
      <c r="D24" s="9">
        <v>107112974183</v>
      </c>
      <c r="E24" s="10">
        <v>4576</v>
      </c>
      <c r="F24">
        <v>138000</v>
      </c>
      <c r="G24" s="5">
        <v>34112</v>
      </c>
      <c r="H24" s="5">
        <v>103888</v>
      </c>
      <c r="I24" t="s">
        <v>1635</v>
      </c>
      <c r="J24" s="10">
        <v>4576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113</v>
      </c>
      <c r="D25" s="9">
        <v>101129491687</v>
      </c>
      <c r="E25" s="10">
        <v>5280</v>
      </c>
      <c r="F25">
        <v>160091</v>
      </c>
      <c r="G25" s="5">
        <v>57600</v>
      </c>
      <c r="H25" s="5">
        <v>102491</v>
      </c>
      <c r="I25" t="s">
        <v>1635</v>
      </c>
      <c r="J25" s="10">
        <v>5280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417</v>
      </c>
      <c r="D26" s="9">
        <v>107112327557</v>
      </c>
      <c r="E26" s="10">
        <v>1500</v>
      </c>
      <c r="F26">
        <v>26749</v>
      </c>
      <c r="G26" s="5">
        <v>15000</v>
      </c>
      <c r="H26" s="5">
        <v>11749</v>
      </c>
      <c r="I26" t="s">
        <v>1635</v>
      </c>
      <c r="J26" s="10">
        <v>1500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808</v>
      </c>
      <c r="D27" s="9">
        <v>107113068233</v>
      </c>
      <c r="E27" s="10">
        <v>2772</v>
      </c>
      <c r="F27">
        <v>84000</v>
      </c>
      <c r="G27" s="5">
        <v>21084</v>
      </c>
      <c r="H27" s="5">
        <v>62916</v>
      </c>
      <c r="I27" t="s">
        <v>1635</v>
      </c>
      <c r="J27" s="10">
        <v>2772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379</v>
      </c>
      <c r="D28" s="9">
        <v>107112233335</v>
      </c>
      <c r="E28" s="10">
        <v>2000</v>
      </c>
      <c r="F28">
        <v>33828</v>
      </c>
      <c r="G28" s="5">
        <v>18000</v>
      </c>
      <c r="H28" s="5">
        <v>15828</v>
      </c>
      <c r="I28" t="s">
        <v>1635</v>
      </c>
      <c r="J28" s="10">
        <v>2000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280</v>
      </c>
      <c r="D29" s="9">
        <v>101130877911</v>
      </c>
      <c r="E29" s="10">
        <v>3780</v>
      </c>
      <c r="F29">
        <v>95000</v>
      </c>
      <c r="G29" s="5">
        <v>26756.67</v>
      </c>
      <c r="H29" s="5">
        <v>68243.33</v>
      </c>
      <c r="I29" t="s">
        <v>1635</v>
      </c>
      <c r="J29" s="10">
        <v>3780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479</v>
      </c>
      <c r="D30" s="9">
        <v>107112493987</v>
      </c>
      <c r="E30" s="10">
        <v>1118</v>
      </c>
      <c r="F30">
        <v>19456</v>
      </c>
      <c r="G30" s="5">
        <v>8944</v>
      </c>
      <c r="H30" s="5">
        <v>10512</v>
      </c>
      <c r="I30" t="s">
        <v>1635</v>
      </c>
      <c r="J30" s="10">
        <v>1118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40</v>
      </c>
      <c r="D31" s="9">
        <v>101128209033</v>
      </c>
      <c r="E31" s="10">
        <v>1840</v>
      </c>
      <c r="F31">
        <v>55000</v>
      </c>
      <c r="G31" s="5">
        <v>18400</v>
      </c>
      <c r="H31" s="5">
        <v>36600</v>
      </c>
      <c r="I31" t="s">
        <v>1635</v>
      </c>
      <c r="J31" s="10">
        <v>1840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702</v>
      </c>
      <c r="D32" s="9">
        <v>107112841182</v>
      </c>
      <c r="E32" s="10">
        <v>3486</v>
      </c>
      <c r="F32">
        <v>98800</v>
      </c>
      <c r="G32" s="5">
        <v>29668</v>
      </c>
      <c r="H32" s="5">
        <v>69132</v>
      </c>
      <c r="I32" t="s">
        <v>1635</v>
      </c>
      <c r="J32" s="10">
        <v>3486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395</v>
      </c>
      <c r="D33" s="9">
        <v>107112283513</v>
      </c>
      <c r="E33" s="10">
        <v>1512</v>
      </c>
      <c r="F33">
        <v>27000</v>
      </c>
      <c r="G33" s="5">
        <v>15120</v>
      </c>
      <c r="H33" s="5">
        <v>11880</v>
      </c>
      <c r="I33" t="s">
        <v>1635</v>
      </c>
      <c r="J33" s="10">
        <v>1512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81</v>
      </c>
      <c r="D34" s="9">
        <v>101129313456</v>
      </c>
      <c r="E34" s="10">
        <v>4732</v>
      </c>
      <c r="F34">
        <v>88947</v>
      </c>
      <c r="G34" s="5">
        <v>45893</v>
      </c>
      <c r="H34" s="5">
        <v>43054</v>
      </c>
      <c r="I34" t="s">
        <v>1635</v>
      </c>
      <c r="J34" s="10">
        <v>4732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620</v>
      </c>
      <c r="D35" s="9">
        <v>107112682577</v>
      </c>
      <c r="E35" s="10">
        <v>1350</v>
      </c>
      <c r="F35">
        <v>24498</v>
      </c>
      <c r="G35" s="5">
        <v>13500</v>
      </c>
      <c r="H35" s="5">
        <v>10998</v>
      </c>
      <c r="I35" t="s">
        <v>1635</v>
      </c>
      <c r="J35" s="10">
        <v>1350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407</v>
      </c>
      <c r="D36" s="9">
        <v>107112305371</v>
      </c>
      <c r="E36" s="10">
        <v>3375</v>
      </c>
      <c r="F36">
        <v>98000</v>
      </c>
      <c r="G36" s="5">
        <v>32680</v>
      </c>
      <c r="H36" s="5">
        <v>65320</v>
      </c>
      <c r="I36" t="s">
        <v>1635</v>
      </c>
      <c r="J36" s="10">
        <v>3375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73</v>
      </c>
      <c r="D37" s="9">
        <v>101129256334</v>
      </c>
      <c r="E37" s="10">
        <v>2400</v>
      </c>
      <c r="F37">
        <v>73000</v>
      </c>
      <c r="G37" s="5">
        <v>24000</v>
      </c>
      <c r="H37" s="5">
        <v>49000</v>
      </c>
      <c r="I37" t="s">
        <v>1635</v>
      </c>
      <c r="J37" s="10">
        <v>2400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679</v>
      </c>
      <c r="D38" s="9">
        <v>107112792457</v>
      </c>
      <c r="E38" s="10">
        <v>2759</v>
      </c>
      <c r="F38">
        <v>80999</v>
      </c>
      <c r="G38" s="5">
        <v>25496</v>
      </c>
      <c r="H38" s="5">
        <v>55503</v>
      </c>
      <c r="I38" t="s">
        <v>1635</v>
      </c>
      <c r="J38" s="10">
        <v>2759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501</v>
      </c>
      <c r="D39" s="9">
        <v>107112538502</v>
      </c>
      <c r="E39" s="10">
        <v>3300</v>
      </c>
      <c r="F39">
        <v>99900</v>
      </c>
      <c r="G39" s="5">
        <v>32100</v>
      </c>
      <c r="H39" s="5">
        <v>67800</v>
      </c>
      <c r="I39" t="s">
        <v>1635</v>
      </c>
      <c r="J39" s="10">
        <v>3300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344</v>
      </c>
      <c r="D40" s="9">
        <v>107112077174</v>
      </c>
      <c r="E40" s="10">
        <v>1930</v>
      </c>
      <c r="F40">
        <v>119000</v>
      </c>
      <c r="G40" s="5">
        <v>44230</v>
      </c>
      <c r="H40" s="5">
        <v>74770</v>
      </c>
      <c r="I40" t="s">
        <v>1635</v>
      </c>
      <c r="J40" s="10">
        <v>1930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393</v>
      </c>
      <c r="D41" s="9">
        <v>107112278618</v>
      </c>
      <c r="E41" s="10">
        <v>2585</v>
      </c>
      <c r="F41">
        <v>93000</v>
      </c>
      <c r="G41" s="5">
        <v>25465</v>
      </c>
      <c r="H41" s="5">
        <v>67535</v>
      </c>
      <c r="I41" t="s">
        <v>1635</v>
      </c>
      <c r="J41" s="10">
        <v>2585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360</v>
      </c>
      <c r="D42" s="9">
        <v>107112166522</v>
      </c>
      <c r="E42" s="10">
        <v>2793</v>
      </c>
      <c r="F42">
        <v>80000</v>
      </c>
      <c r="G42" s="5">
        <v>26615.599999999999</v>
      </c>
      <c r="H42" s="5">
        <v>53384.4</v>
      </c>
      <c r="I42" t="s">
        <v>1635</v>
      </c>
      <c r="J42" s="10">
        <v>2793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89</v>
      </c>
      <c r="D43" s="9">
        <v>101129329748</v>
      </c>
      <c r="E43" s="10">
        <v>2223.33</v>
      </c>
      <c r="F43">
        <v>86585</v>
      </c>
      <c r="G43" s="5">
        <v>29000</v>
      </c>
      <c r="H43" s="5">
        <v>57585</v>
      </c>
      <c r="I43" t="s">
        <v>1635</v>
      </c>
      <c r="J43" s="10">
        <v>2223.33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362</v>
      </c>
      <c r="D44" s="9">
        <v>107112171168</v>
      </c>
      <c r="E44" s="10">
        <v>1320</v>
      </c>
      <c r="F44">
        <v>59000</v>
      </c>
      <c r="G44" s="5">
        <v>21810</v>
      </c>
      <c r="H44" s="5">
        <v>37190</v>
      </c>
      <c r="I44" t="s">
        <v>1635</v>
      </c>
      <c r="J44" s="10">
        <v>1320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399</v>
      </c>
      <c r="D45" s="9">
        <v>107112290191</v>
      </c>
      <c r="E45" s="10">
        <v>2200</v>
      </c>
      <c r="F45">
        <v>91000</v>
      </c>
      <c r="G45" s="5">
        <v>30800</v>
      </c>
      <c r="H45" s="5">
        <v>60200</v>
      </c>
      <c r="I45" t="s">
        <v>1635</v>
      </c>
      <c r="J45" s="10">
        <v>2200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588</v>
      </c>
      <c r="D46" s="9">
        <v>107112652329</v>
      </c>
      <c r="E46" s="10">
        <v>6624</v>
      </c>
      <c r="F46">
        <v>192989</v>
      </c>
      <c r="G46" s="5">
        <v>52992</v>
      </c>
      <c r="H46" s="5">
        <v>139997</v>
      </c>
      <c r="I46" t="s">
        <v>1635</v>
      </c>
      <c r="J46" s="10">
        <v>6624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16</v>
      </c>
      <c r="D47" s="9">
        <v>101127075900</v>
      </c>
      <c r="E47" s="10">
        <v>5830</v>
      </c>
      <c r="F47">
        <v>97419</v>
      </c>
      <c r="G47" s="5">
        <v>56870</v>
      </c>
      <c r="H47" s="5">
        <v>40549</v>
      </c>
      <c r="I47" t="s">
        <v>1635</v>
      </c>
      <c r="J47" s="10">
        <v>5830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535</v>
      </c>
      <c r="D48" s="9">
        <v>107112592344</v>
      </c>
      <c r="E48" s="10">
        <v>3256</v>
      </c>
      <c r="F48">
        <v>98799</v>
      </c>
      <c r="G48" s="5">
        <v>30784</v>
      </c>
      <c r="H48" s="5">
        <v>68015</v>
      </c>
      <c r="I48" t="s">
        <v>1635</v>
      </c>
      <c r="J48" s="10">
        <v>3256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721</v>
      </c>
      <c r="D49" s="9">
        <v>107112884565</v>
      </c>
      <c r="E49" s="10">
        <v>4263</v>
      </c>
      <c r="F49">
        <v>122888</v>
      </c>
      <c r="G49" s="5">
        <v>32956</v>
      </c>
      <c r="H49" s="5">
        <v>89932</v>
      </c>
      <c r="I49" t="s">
        <v>1635</v>
      </c>
      <c r="J49" s="10">
        <v>4263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786</v>
      </c>
      <c r="D50" s="9">
        <v>107113013330</v>
      </c>
      <c r="E50" s="10">
        <v>2790</v>
      </c>
      <c r="F50">
        <v>85000</v>
      </c>
      <c r="G50" s="5">
        <v>21330</v>
      </c>
      <c r="H50" s="5">
        <v>63670</v>
      </c>
      <c r="I50" t="s">
        <v>1635</v>
      </c>
      <c r="J50" s="10">
        <v>2790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517</v>
      </c>
      <c r="D51" s="9">
        <v>107112568721</v>
      </c>
      <c r="E51" s="10">
        <v>2500</v>
      </c>
      <c r="F51">
        <v>44480</v>
      </c>
      <c r="G51" s="5">
        <v>22500</v>
      </c>
      <c r="H51" s="5">
        <v>21980</v>
      </c>
      <c r="I51" t="s">
        <v>1635</v>
      </c>
      <c r="J51" s="10">
        <v>2500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753</v>
      </c>
      <c r="D52" s="9">
        <v>107112929079</v>
      </c>
      <c r="E52" s="10">
        <v>7150</v>
      </c>
      <c r="F52">
        <v>212390</v>
      </c>
      <c r="G52" s="5">
        <v>54450</v>
      </c>
      <c r="H52" s="5">
        <v>157940</v>
      </c>
      <c r="I52" t="s">
        <v>1635</v>
      </c>
      <c r="J52" s="10">
        <v>7150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155</v>
      </c>
      <c r="D53" s="9">
        <v>101129869242</v>
      </c>
      <c r="E53" s="10">
        <v>5520</v>
      </c>
      <c r="F53">
        <v>170000</v>
      </c>
      <c r="G53" s="5">
        <v>54640</v>
      </c>
      <c r="H53" s="5">
        <v>115360</v>
      </c>
      <c r="I53" t="s">
        <v>1635</v>
      </c>
      <c r="J53" s="10">
        <v>5520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175</v>
      </c>
      <c r="D54" s="9">
        <v>101129984034</v>
      </c>
      <c r="E54" s="10">
        <v>2800</v>
      </c>
      <c r="F54">
        <v>84036</v>
      </c>
      <c r="G54" s="5">
        <v>27033.33</v>
      </c>
      <c r="H54" s="5">
        <v>57002.67</v>
      </c>
      <c r="I54" t="s">
        <v>1635</v>
      </c>
      <c r="J54" s="10">
        <v>2800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332</v>
      </c>
      <c r="D55" s="9">
        <v>107111940009</v>
      </c>
      <c r="E55" s="10">
        <v>3840</v>
      </c>
      <c r="F55">
        <v>130500</v>
      </c>
      <c r="G55" s="5">
        <v>36070</v>
      </c>
      <c r="H55" s="5">
        <v>94430</v>
      </c>
      <c r="I55" t="s">
        <v>1635</v>
      </c>
      <c r="J55" s="10">
        <v>3840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159</v>
      </c>
      <c r="D56" s="9">
        <v>101129877193</v>
      </c>
      <c r="E56" s="10">
        <v>5428</v>
      </c>
      <c r="F56">
        <v>100000</v>
      </c>
      <c r="G56" s="5">
        <v>53275.33</v>
      </c>
      <c r="H56" s="5">
        <v>46724.67</v>
      </c>
      <c r="I56" t="s">
        <v>1635</v>
      </c>
      <c r="J56" s="10">
        <v>5428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352</v>
      </c>
      <c r="D57" s="9">
        <v>107112102202</v>
      </c>
      <c r="E57" s="10">
        <v>3250</v>
      </c>
      <c r="F57">
        <v>97686</v>
      </c>
      <c r="G57" s="5">
        <v>30000</v>
      </c>
      <c r="H57" s="5">
        <v>67686</v>
      </c>
      <c r="I57" t="s">
        <v>1635</v>
      </c>
      <c r="J57" s="10">
        <v>3250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820</v>
      </c>
      <c r="D58" s="9">
        <v>107113147060</v>
      </c>
      <c r="E58" s="10">
        <v>1920</v>
      </c>
      <c r="F58">
        <v>34750</v>
      </c>
      <c r="G58" s="5">
        <v>17280</v>
      </c>
      <c r="H58" s="5">
        <v>17470</v>
      </c>
      <c r="I58" t="s">
        <v>1635</v>
      </c>
      <c r="J58" s="10">
        <v>1920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153</v>
      </c>
      <c r="D59" s="9">
        <v>101129828082</v>
      </c>
      <c r="E59" s="10">
        <v>3306</v>
      </c>
      <c r="F59">
        <v>100000</v>
      </c>
      <c r="G59" s="5">
        <v>29754</v>
      </c>
      <c r="H59" s="5">
        <v>70246</v>
      </c>
      <c r="I59" t="s">
        <v>1635</v>
      </c>
      <c r="J59" s="10">
        <v>3306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203</v>
      </c>
      <c r="D60" s="9">
        <v>101130185627</v>
      </c>
      <c r="E60" s="10">
        <v>2460</v>
      </c>
      <c r="F60">
        <v>74625</v>
      </c>
      <c r="G60" s="5">
        <v>24340</v>
      </c>
      <c r="H60" s="5">
        <v>50285</v>
      </c>
      <c r="I60" t="s">
        <v>1635</v>
      </c>
      <c r="J60" s="10">
        <v>2460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671</v>
      </c>
      <c r="D61" s="9">
        <v>107112782472</v>
      </c>
      <c r="E61" s="10">
        <v>1680</v>
      </c>
      <c r="F61">
        <v>100000</v>
      </c>
      <c r="G61" s="5">
        <v>33600</v>
      </c>
      <c r="H61" s="5">
        <v>66400</v>
      </c>
      <c r="I61" t="s">
        <v>1635</v>
      </c>
      <c r="J61" s="10">
        <v>1680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397</v>
      </c>
      <c r="D62" s="9">
        <v>107112283712</v>
      </c>
      <c r="E62" s="10">
        <v>2800</v>
      </c>
      <c r="F62">
        <v>84713</v>
      </c>
      <c r="G62" s="5">
        <v>26800</v>
      </c>
      <c r="H62" s="5">
        <v>57913</v>
      </c>
      <c r="I62" t="s">
        <v>1635</v>
      </c>
      <c r="J62" s="10">
        <v>2800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580</v>
      </c>
      <c r="D63" s="9">
        <v>107112640254</v>
      </c>
      <c r="E63" s="10">
        <v>1254</v>
      </c>
      <c r="F63">
        <v>37493</v>
      </c>
      <c r="G63" s="5">
        <v>12540</v>
      </c>
      <c r="H63" s="5">
        <v>24953</v>
      </c>
      <c r="I63" t="s">
        <v>1635</v>
      </c>
      <c r="J63" s="10">
        <v>1254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300</v>
      </c>
      <c r="D64" s="9">
        <v>101131160445</v>
      </c>
      <c r="E64" s="10">
        <v>2520</v>
      </c>
      <c r="F64">
        <v>75800</v>
      </c>
      <c r="G64" s="5">
        <v>22460</v>
      </c>
      <c r="H64" s="5">
        <v>53340</v>
      </c>
      <c r="I64" t="s">
        <v>1635</v>
      </c>
      <c r="J64" s="10">
        <v>2520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733</v>
      </c>
      <c r="D65" s="9">
        <v>107112893589</v>
      </c>
      <c r="E65" s="10">
        <v>3465</v>
      </c>
      <c r="F65">
        <v>100000</v>
      </c>
      <c r="G65" s="5">
        <v>28055</v>
      </c>
      <c r="H65" s="5">
        <v>71945</v>
      </c>
      <c r="I65" t="s">
        <v>1635</v>
      </c>
      <c r="J65" s="10">
        <v>3465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435</v>
      </c>
      <c r="D66" s="9">
        <v>107112361831</v>
      </c>
      <c r="E66" s="10">
        <v>12967</v>
      </c>
      <c r="F66">
        <v>22053</v>
      </c>
      <c r="G66" s="5">
        <v>8260</v>
      </c>
      <c r="H66" s="5">
        <v>13793</v>
      </c>
      <c r="I66" t="s">
        <v>1635</v>
      </c>
      <c r="J66" s="10">
        <v>12967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260</v>
      </c>
      <c r="D67" s="9">
        <v>101130708066</v>
      </c>
      <c r="E67" s="10">
        <v>2660</v>
      </c>
      <c r="F67">
        <v>78299</v>
      </c>
      <c r="G67" s="5">
        <v>23940</v>
      </c>
      <c r="H67" s="5">
        <v>54359</v>
      </c>
      <c r="I67" t="s">
        <v>1635</v>
      </c>
      <c r="J67" s="10">
        <v>2660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759</v>
      </c>
      <c r="D68" s="9">
        <v>107112951037</v>
      </c>
      <c r="E68" s="10">
        <v>3075</v>
      </c>
      <c r="F68">
        <v>89698</v>
      </c>
      <c r="G68" s="5">
        <v>24600</v>
      </c>
      <c r="H68" s="5">
        <v>65098</v>
      </c>
      <c r="I68" t="s">
        <v>1635</v>
      </c>
      <c r="J68" s="10">
        <v>3075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63</v>
      </c>
      <c r="D69" s="9">
        <v>101129088736</v>
      </c>
      <c r="E69" s="10">
        <v>4200</v>
      </c>
      <c r="F69">
        <v>76400</v>
      </c>
      <c r="G69" s="5">
        <v>42000</v>
      </c>
      <c r="H69" s="5">
        <v>34400</v>
      </c>
      <c r="I69" t="s">
        <v>1635</v>
      </c>
      <c r="J69" s="10">
        <v>4200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521</v>
      </c>
      <c r="D70" s="9">
        <v>107112575884</v>
      </c>
      <c r="E70" s="10">
        <v>1302</v>
      </c>
      <c r="F70">
        <v>23001</v>
      </c>
      <c r="G70" s="5">
        <v>13020</v>
      </c>
      <c r="H70" s="5">
        <v>9981</v>
      </c>
      <c r="I70" t="s">
        <v>1635</v>
      </c>
      <c r="J70" s="10">
        <v>1302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242</v>
      </c>
      <c r="D71" s="9">
        <v>101130519941</v>
      </c>
      <c r="E71" s="10">
        <v>2886</v>
      </c>
      <c r="F71">
        <v>84677</v>
      </c>
      <c r="G71" s="5">
        <v>25974</v>
      </c>
      <c r="H71" s="5">
        <v>58703</v>
      </c>
      <c r="I71" t="s">
        <v>1635</v>
      </c>
      <c r="J71" s="10">
        <v>2886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79</v>
      </c>
      <c r="D72" s="9">
        <v>101129311618</v>
      </c>
      <c r="E72" s="10">
        <v>4134</v>
      </c>
      <c r="F72">
        <v>78000</v>
      </c>
      <c r="G72" s="5">
        <v>44230</v>
      </c>
      <c r="H72" s="5">
        <v>33770</v>
      </c>
      <c r="I72" t="s">
        <v>1635</v>
      </c>
      <c r="J72" s="10">
        <v>4134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546</v>
      </c>
      <c r="D73" s="9">
        <v>107112605463</v>
      </c>
      <c r="E73" s="10">
        <v>1638</v>
      </c>
      <c r="F73">
        <v>27862</v>
      </c>
      <c r="G73" s="5">
        <v>15827</v>
      </c>
      <c r="H73" s="5">
        <v>12035</v>
      </c>
      <c r="I73" t="s">
        <v>1635</v>
      </c>
      <c r="J73" s="10">
        <v>1638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288</v>
      </c>
      <c r="D74" s="9">
        <v>101130950078</v>
      </c>
      <c r="E74" s="10">
        <v>4216</v>
      </c>
      <c r="F74">
        <v>85000</v>
      </c>
      <c r="G74" s="5">
        <v>33635</v>
      </c>
      <c r="H74" s="5">
        <v>51365</v>
      </c>
      <c r="I74" t="s">
        <v>1635</v>
      </c>
      <c r="J74" s="10">
        <v>4216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619</v>
      </c>
      <c r="D75" s="9">
        <v>107112679830</v>
      </c>
      <c r="E75" s="10">
        <v>4005</v>
      </c>
      <c r="F75">
        <v>129626</v>
      </c>
      <c r="G75" s="5">
        <v>30798</v>
      </c>
      <c r="H75" s="5">
        <v>98828</v>
      </c>
      <c r="I75" t="s">
        <v>1635</v>
      </c>
      <c r="J75" s="10">
        <v>4005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20</v>
      </c>
      <c r="D76" s="9">
        <v>101127339909</v>
      </c>
      <c r="E76" s="10">
        <v>6480</v>
      </c>
      <c r="F76">
        <v>94060</v>
      </c>
      <c r="G76" s="5">
        <v>64355</v>
      </c>
      <c r="H76" s="5">
        <v>29705</v>
      </c>
      <c r="I76" t="s">
        <v>1635</v>
      </c>
      <c r="J76" s="10">
        <v>6480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100</v>
      </c>
      <c r="D77" s="9">
        <v>101129399496</v>
      </c>
      <c r="E77" s="10">
        <v>3116</v>
      </c>
      <c r="F77">
        <v>92555</v>
      </c>
      <c r="G77" s="5">
        <v>33996.67</v>
      </c>
      <c r="H77" s="5">
        <v>58558.33</v>
      </c>
      <c r="I77" t="s">
        <v>1635</v>
      </c>
      <c r="J77" s="10">
        <v>3116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316</v>
      </c>
      <c r="D78" s="9">
        <v>107111539618</v>
      </c>
      <c r="E78" s="10">
        <v>2790</v>
      </c>
      <c r="F78">
        <v>77507.5</v>
      </c>
      <c r="G78" s="5">
        <v>27022.5</v>
      </c>
      <c r="H78" s="5">
        <v>50485</v>
      </c>
      <c r="I78" t="s">
        <v>1635</v>
      </c>
      <c r="J78" s="10">
        <v>2790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806</v>
      </c>
      <c r="D79" s="9">
        <v>107113057210</v>
      </c>
      <c r="E79" s="10">
        <v>2025</v>
      </c>
      <c r="F79">
        <v>70000</v>
      </c>
      <c r="G79" s="5">
        <v>18350</v>
      </c>
      <c r="H79" s="5">
        <v>51650</v>
      </c>
      <c r="I79" t="s">
        <v>1635</v>
      </c>
      <c r="J79" s="10">
        <v>2025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96</v>
      </c>
      <c r="D80" s="9">
        <v>101129354717</v>
      </c>
      <c r="E80" s="10">
        <v>2800</v>
      </c>
      <c r="F80">
        <v>105000</v>
      </c>
      <c r="G80" s="5">
        <v>65940</v>
      </c>
      <c r="H80" s="5">
        <v>39060</v>
      </c>
      <c r="I80" t="s">
        <v>1635</v>
      </c>
      <c r="J80" s="10">
        <v>2800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511</v>
      </c>
      <c r="D81" s="9">
        <v>107112557175</v>
      </c>
      <c r="E81" s="10">
        <v>2967</v>
      </c>
      <c r="F81">
        <v>90192</v>
      </c>
      <c r="G81" s="5">
        <v>28423</v>
      </c>
      <c r="H81" s="5">
        <v>61769</v>
      </c>
      <c r="I81" t="s">
        <v>1635</v>
      </c>
      <c r="J81" s="10">
        <v>2967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177</v>
      </c>
      <c r="D82" s="9">
        <v>101129984712</v>
      </c>
      <c r="E82" s="10">
        <v>3055</v>
      </c>
      <c r="F82">
        <v>73660</v>
      </c>
      <c r="G82" s="5">
        <v>33150</v>
      </c>
      <c r="H82" s="5">
        <v>40510</v>
      </c>
      <c r="I82" t="s">
        <v>1635</v>
      </c>
      <c r="J82" s="10">
        <v>3055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67</v>
      </c>
      <c r="D83" s="9">
        <v>101129170432</v>
      </c>
      <c r="E83" s="10">
        <v>4089</v>
      </c>
      <c r="F83">
        <v>120631</v>
      </c>
      <c r="G83" s="5">
        <v>40890</v>
      </c>
      <c r="H83" s="5">
        <v>79741</v>
      </c>
      <c r="I83" t="s">
        <v>1635</v>
      </c>
      <c r="J83" s="10">
        <v>4089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562</v>
      </c>
      <c r="D84" s="9">
        <v>107112621527</v>
      </c>
      <c r="E84" s="10">
        <v>3780</v>
      </c>
      <c r="F84">
        <v>119770</v>
      </c>
      <c r="G84" s="5">
        <v>32175</v>
      </c>
      <c r="H84" s="5">
        <v>87595</v>
      </c>
      <c r="I84" t="s">
        <v>1635</v>
      </c>
      <c r="J84" s="10">
        <v>3780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389</v>
      </c>
      <c r="D85" s="9">
        <v>107112261154</v>
      </c>
      <c r="E85" s="10">
        <v>2397</v>
      </c>
      <c r="F85">
        <v>86683</v>
      </c>
      <c r="G85" s="5">
        <v>23594</v>
      </c>
      <c r="H85" s="5">
        <v>63089</v>
      </c>
      <c r="I85" t="s">
        <v>1635</v>
      </c>
      <c r="J85" s="10">
        <v>2397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711</v>
      </c>
      <c r="D86" s="9">
        <v>107112860399</v>
      </c>
      <c r="E86" s="10">
        <v>3432</v>
      </c>
      <c r="F86">
        <v>99877</v>
      </c>
      <c r="G86" s="5">
        <v>29316</v>
      </c>
      <c r="H86" s="5">
        <v>70561</v>
      </c>
      <c r="I86" t="s">
        <v>1635</v>
      </c>
      <c r="J86" s="10">
        <v>3432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776</v>
      </c>
      <c r="D87" s="9">
        <v>107112992648</v>
      </c>
      <c r="E87" s="10">
        <v>1584</v>
      </c>
      <c r="F87">
        <v>125989</v>
      </c>
      <c r="G87" s="5">
        <v>33272.199999999997</v>
      </c>
      <c r="H87" s="5">
        <v>92716.800000000003</v>
      </c>
      <c r="I87" t="s">
        <v>1635</v>
      </c>
      <c r="J87" s="10">
        <v>1584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93</v>
      </c>
      <c r="D88" s="9">
        <v>101129349328</v>
      </c>
      <c r="E88" s="10">
        <v>2400</v>
      </c>
      <c r="F88">
        <v>80000</v>
      </c>
      <c r="G88" s="5">
        <v>29700</v>
      </c>
      <c r="H88" s="5">
        <v>50300</v>
      </c>
      <c r="I88" t="s">
        <v>1635</v>
      </c>
      <c r="J88" s="10">
        <v>2400</v>
      </c>
      <c r="K88" t="s">
        <v>1635</v>
      </c>
      <c r="L88">
        <v>0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E9D3-6ECC-0B4D-A535-73D19D1D01AA}">
  <dimension ref="A1:M113"/>
  <sheetViews>
    <sheetView topLeftCell="A79" workbookViewId="0">
      <selection activeCell="J110" sqref="J1:J1048576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6" max="6" width="17.1640625" bestFit="1" customWidth="1"/>
    <col min="7" max="8" width="15" bestFit="1" customWidth="1"/>
    <col min="9" max="9" width="13" bestFit="1" customWidth="1"/>
    <col min="10" max="10" width="17.1640625" bestFit="1" customWidth="1"/>
    <col min="11" max="12" width="13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>
        <v>1</v>
      </c>
      <c r="B2" t="s">
        <v>15</v>
      </c>
      <c r="C2" t="s">
        <v>18</v>
      </c>
      <c r="D2" s="9">
        <v>101127311840</v>
      </c>
      <c r="E2" s="10">
        <v>1132.33</v>
      </c>
      <c r="F2">
        <v>49162</v>
      </c>
      <c r="G2" s="5">
        <v>9453.64</v>
      </c>
      <c r="H2" s="5">
        <v>39708.36</v>
      </c>
      <c r="I2" t="s">
        <v>1635</v>
      </c>
      <c r="J2" s="10">
        <v>1132.33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550</v>
      </c>
      <c r="D3" s="9">
        <v>107112610087</v>
      </c>
      <c r="E3" s="10">
        <v>1178</v>
      </c>
      <c r="F3">
        <v>20715</v>
      </c>
      <c r="G3" s="5">
        <v>10602</v>
      </c>
      <c r="H3" s="5">
        <v>10113</v>
      </c>
      <c r="I3" t="s">
        <v>1635</v>
      </c>
      <c r="J3" s="10">
        <v>1178</v>
      </c>
      <c r="K3" t="s">
        <v>1635</v>
      </c>
      <c r="L3">
        <v>0</v>
      </c>
    </row>
    <row r="4" spans="1:12">
      <c r="A4">
        <v>1</v>
      </c>
      <c r="B4" t="s">
        <v>15</v>
      </c>
      <c r="C4" s="7" t="s">
        <v>1638</v>
      </c>
      <c r="D4" s="9">
        <v>107112497805</v>
      </c>
      <c r="E4" s="10">
        <v>4120</v>
      </c>
      <c r="F4">
        <v>137380</v>
      </c>
      <c r="G4" s="5">
        <v>37923</v>
      </c>
      <c r="H4" s="5">
        <v>99457</v>
      </c>
      <c r="I4" t="s">
        <v>1635</v>
      </c>
      <c r="J4" s="10">
        <v>4120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312</v>
      </c>
      <c r="D5" s="9">
        <v>107111390157</v>
      </c>
      <c r="E5" s="10">
        <v>1782</v>
      </c>
      <c r="F5">
        <v>52000</v>
      </c>
      <c r="G5" s="5">
        <v>23166</v>
      </c>
      <c r="H5" s="5">
        <v>28834</v>
      </c>
      <c r="I5" t="s">
        <v>1635</v>
      </c>
      <c r="J5" s="10">
        <v>1782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270</v>
      </c>
      <c r="D6" s="9">
        <v>101130796627</v>
      </c>
      <c r="E6" s="10">
        <v>1656</v>
      </c>
      <c r="F6">
        <v>121733</v>
      </c>
      <c r="G6" s="5">
        <v>47328</v>
      </c>
      <c r="H6" s="5">
        <v>74405</v>
      </c>
      <c r="I6" t="s">
        <v>1635</v>
      </c>
      <c r="J6" s="10">
        <v>1656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673</v>
      </c>
      <c r="D7" s="9">
        <v>107112784036</v>
      </c>
      <c r="E7" s="10">
        <v>5292</v>
      </c>
      <c r="F7">
        <v>161888</v>
      </c>
      <c r="G7" s="5">
        <v>40864</v>
      </c>
      <c r="H7" s="5">
        <v>121024</v>
      </c>
      <c r="I7" t="s">
        <v>1635</v>
      </c>
      <c r="J7" s="10">
        <v>5292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686</v>
      </c>
      <c r="D8" s="9">
        <v>107112806153</v>
      </c>
      <c r="E8" s="10">
        <v>1488</v>
      </c>
      <c r="F8">
        <v>26555</v>
      </c>
      <c r="G8" s="5">
        <v>13392</v>
      </c>
      <c r="H8" s="5">
        <v>13163</v>
      </c>
      <c r="I8" t="s">
        <v>1635</v>
      </c>
      <c r="J8" s="10">
        <v>1488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441</v>
      </c>
      <c r="D9" s="9">
        <v>107112379629</v>
      </c>
      <c r="E9" s="10">
        <v>2100</v>
      </c>
      <c r="F9">
        <v>79554</v>
      </c>
      <c r="G9" s="5">
        <v>25160</v>
      </c>
      <c r="H9" s="5">
        <v>54394</v>
      </c>
      <c r="I9" t="s">
        <v>1635</v>
      </c>
      <c r="J9" s="10">
        <v>2100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475</v>
      </c>
      <c r="D10" s="9">
        <v>107112476987</v>
      </c>
      <c r="E10" s="10">
        <v>1566</v>
      </c>
      <c r="F10">
        <v>29297</v>
      </c>
      <c r="G10" s="5">
        <v>16008</v>
      </c>
      <c r="H10" s="5">
        <v>13289</v>
      </c>
      <c r="I10" t="s">
        <v>1635</v>
      </c>
      <c r="J10" s="10">
        <v>1566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250</v>
      </c>
      <c r="D11" s="9">
        <v>101130607995</v>
      </c>
      <c r="E11" s="10">
        <v>3000</v>
      </c>
      <c r="F11">
        <v>120000</v>
      </c>
      <c r="G11" s="5">
        <v>37590</v>
      </c>
      <c r="H11" s="5">
        <v>82410</v>
      </c>
      <c r="I11" t="s">
        <v>1635</v>
      </c>
      <c r="J11" s="10">
        <v>3000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751</v>
      </c>
      <c r="D12" s="9">
        <v>107112926715</v>
      </c>
      <c r="E12" s="10">
        <v>3285</v>
      </c>
      <c r="F12">
        <v>95000</v>
      </c>
      <c r="G12" s="5">
        <v>28180</v>
      </c>
      <c r="H12" s="5">
        <v>66820</v>
      </c>
      <c r="I12" t="s">
        <v>1635</v>
      </c>
      <c r="J12" s="10">
        <v>3285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217</v>
      </c>
      <c r="D13" s="9">
        <v>101130228216</v>
      </c>
      <c r="E13" s="10">
        <v>191.39</v>
      </c>
      <c r="F13">
        <v>90000</v>
      </c>
      <c r="G13" s="5">
        <v>32664</v>
      </c>
      <c r="H13" s="5">
        <v>57336</v>
      </c>
      <c r="I13" t="s">
        <v>1635</v>
      </c>
      <c r="J13" s="10">
        <v>191.39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784</v>
      </c>
      <c r="D14" s="9">
        <v>107113008480</v>
      </c>
      <c r="E14" s="10">
        <v>3953</v>
      </c>
      <c r="F14">
        <v>123000</v>
      </c>
      <c r="G14" s="5">
        <v>34304</v>
      </c>
      <c r="H14" s="5">
        <v>88696</v>
      </c>
      <c r="I14" t="s">
        <v>1635</v>
      </c>
      <c r="J14" s="10">
        <v>3953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594</v>
      </c>
      <c r="D15" s="9">
        <v>107112653316</v>
      </c>
      <c r="E15" s="10">
        <v>1680</v>
      </c>
      <c r="F15">
        <v>84510</v>
      </c>
      <c r="G15" s="5">
        <v>26628</v>
      </c>
      <c r="H15" s="5">
        <v>57882</v>
      </c>
      <c r="I15" t="s">
        <v>1635</v>
      </c>
      <c r="J15" s="10">
        <v>1680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322</v>
      </c>
      <c r="D16" s="9">
        <v>107111763962</v>
      </c>
      <c r="E16" s="10">
        <v>1105</v>
      </c>
      <c r="F16">
        <v>19454</v>
      </c>
      <c r="G16" s="5">
        <v>11050</v>
      </c>
      <c r="H16" s="5">
        <v>8404</v>
      </c>
      <c r="I16" t="s">
        <v>1635</v>
      </c>
      <c r="J16" s="10">
        <v>1105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544</v>
      </c>
      <c r="D17" s="9">
        <v>107112602426</v>
      </c>
      <c r="E17" s="10">
        <v>3339</v>
      </c>
      <c r="F17">
        <v>101368</v>
      </c>
      <c r="G17" s="5">
        <v>32171</v>
      </c>
      <c r="H17" s="5">
        <v>69197</v>
      </c>
      <c r="I17" t="s">
        <v>1635</v>
      </c>
      <c r="J17" s="10">
        <v>3339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552</v>
      </c>
      <c r="D18" s="9">
        <v>107112610123</v>
      </c>
      <c r="E18" s="10">
        <v>1428</v>
      </c>
      <c r="F18">
        <v>25490</v>
      </c>
      <c r="G18" s="5">
        <v>13020</v>
      </c>
      <c r="H18" s="5">
        <v>12470</v>
      </c>
      <c r="I18" t="s">
        <v>1635</v>
      </c>
      <c r="J18" s="10">
        <v>1428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95</v>
      </c>
      <c r="D19" s="9">
        <v>101129349340</v>
      </c>
      <c r="E19" s="10">
        <v>2400</v>
      </c>
      <c r="F19">
        <v>80000</v>
      </c>
      <c r="G19" s="5">
        <v>27000</v>
      </c>
      <c r="H19" s="5">
        <v>53000</v>
      </c>
      <c r="I19" t="s">
        <v>1635</v>
      </c>
      <c r="J19" s="10">
        <v>2400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342</v>
      </c>
      <c r="D20" s="9">
        <v>107112069545</v>
      </c>
      <c r="E20" s="10">
        <v>5760</v>
      </c>
      <c r="F20">
        <v>173888</v>
      </c>
      <c r="G20" s="5">
        <v>55440</v>
      </c>
      <c r="H20" s="5">
        <v>118448</v>
      </c>
      <c r="I20" t="s">
        <v>1635</v>
      </c>
      <c r="J20" s="10">
        <v>5760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181</v>
      </c>
      <c r="D21" s="9">
        <v>101130017111</v>
      </c>
      <c r="E21" s="10">
        <v>4600</v>
      </c>
      <c r="F21">
        <v>84886</v>
      </c>
      <c r="G21" s="5">
        <v>40800</v>
      </c>
      <c r="H21" s="5">
        <v>44086</v>
      </c>
      <c r="I21" t="s">
        <v>1635</v>
      </c>
      <c r="J21" s="10">
        <v>4600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499</v>
      </c>
      <c r="D22" s="9">
        <v>107112535561</v>
      </c>
      <c r="E22" s="10">
        <v>2450</v>
      </c>
      <c r="F22">
        <v>101346</v>
      </c>
      <c r="G22" s="5">
        <v>22972</v>
      </c>
      <c r="H22" s="5">
        <v>78374</v>
      </c>
      <c r="I22" t="s">
        <v>1635</v>
      </c>
      <c r="J22" s="10">
        <v>2450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600</v>
      </c>
      <c r="D23" s="9">
        <v>107112657404</v>
      </c>
      <c r="E23" s="10">
        <v>4524</v>
      </c>
      <c r="F23">
        <v>136666</v>
      </c>
      <c r="G23" s="5">
        <v>42796</v>
      </c>
      <c r="H23" s="5">
        <v>93870</v>
      </c>
      <c r="I23" t="s">
        <v>1635</v>
      </c>
      <c r="J23" s="10">
        <v>4524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385</v>
      </c>
      <c r="D24" s="9">
        <v>107112246859</v>
      </c>
      <c r="E24" s="10">
        <v>1880</v>
      </c>
      <c r="F24">
        <v>87624</v>
      </c>
      <c r="G24" s="5">
        <v>31020</v>
      </c>
      <c r="H24" s="5">
        <v>56604</v>
      </c>
      <c r="I24" t="s">
        <v>1635</v>
      </c>
      <c r="J24" s="10">
        <v>1880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50</v>
      </c>
      <c r="D25" s="9">
        <v>101128409796</v>
      </c>
      <c r="E25" s="10">
        <v>4853.33</v>
      </c>
      <c r="F25">
        <v>98000</v>
      </c>
      <c r="G25" s="5">
        <v>38826.639999999999</v>
      </c>
      <c r="H25" s="5">
        <v>59173.36</v>
      </c>
      <c r="I25" t="s">
        <v>1635</v>
      </c>
      <c r="J25" s="10">
        <v>4853.33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638</v>
      </c>
      <c r="D26" s="9">
        <v>107112708646</v>
      </c>
      <c r="E26" s="10">
        <v>1273</v>
      </c>
      <c r="F26">
        <v>22732</v>
      </c>
      <c r="G26" s="5">
        <v>12730</v>
      </c>
      <c r="H26" s="5">
        <v>10002</v>
      </c>
      <c r="I26" t="s">
        <v>1635</v>
      </c>
      <c r="J26" s="10">
        <v>1273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421</v>
      </c>
      <c r="D27" s="9">
        <v>107112331524</v>
      </c>
      <c r="E27" s="10">
        <v>4100</v>
      </c>
      <c r="F27">
        <v>70000</v>
      </c>
      <c r="G27" s="5">
        <v>40609</v>
      </c>
      <c r="H27" s="5">
        <v>29391</v>
      </c>
      <c r="I27" t="s">
        <v>1635</v>
      </c>
      <c r="J27" s="10">
        <v>4100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219</v>
      </c>
      <c r="D28" s="9">
        <v>101130314638</v>
      </c>
      <c r="E28" s="10">
        <v>3914</v>
      </c>
      <c r="F28">
        <v>73000</v>
      </c>
      <c r="G28" s="5">
        <v>35226</v>
      </c>
      <c r="H28" s="5">
        <v>37774</v>
      </c>
      <c r="I28" t="s">
        <v>1635</v>
      </c>
      <c r="J28" s="10">
        <v>3914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713</v>
      </c>
      <c r="D29" s="9">
        <v>107112863914</v>
      </c>
      <c r="E29" s="10">
        <v>3564</v>
      </c>
      <c r="F29">
        <v>105000</v>
      </c>
      <c r="G29" s="5">
        <v>31202</v>
      </c>
      <c r="H29" s="5">
        <v>73798</v>
      </c>
      <c r="I29" t="s">
        <v>1635</v>
      </c>
      <c r="J29" s="10">
        <v>3564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328</v>
      </c>
      <c r="D30" s="9">
        <v>107111929603</v>
      </c>
      <c r="E30" s="10">
        <v>2210</v>
      </c>
      <c r="F30">
        <v>114888</v>
      </c>
      <c r="G30" s="5">
        <v>40010</v>
      </c>
      <c r="H30" s="5">
        <v>74878</v>
      </c>
      <c r="I30" t="s">
        <v>1635</v>
      </c>
      <c r="J30" s="10">
        <v>2210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632</v>
      </c>
      <c r="D31" s="9">
        <v>107112702614</v>
      </c>
      <c r="E31" s="10">
        <v>2928</v>
      </c>
      <c r="F31">
        <v>85000</v>
      </c>
      <c r="G31" s="5">
        <v>28372</v>
      </c>
      <c r="H31" s="5">
        <v>56628</v>
      </c>
      <c r="I31" t="s">
        <v>1635</v>
      </c>
      <c r="J31" s="10">
        <v>2928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467</v>
      </c>
      <c r="D32" s="9">
        <v>107112462651</v>
      </c>
      <c r="E32" s="10">
        <v>1320</v>
      </c>
      <c r="F32">
        <v>22853</v>
      </c>
      <c r="G32" s="5">
        <v>13200</v>
      </c>
      <c r="H32" s="5">
        <v>9653</v>
      </c>
      <c r="I32" t="s">
        <v>1635</v>
      </c>
      <c r="J32" s="10">
        <v>1320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59</v>
      </c>
      <c r="D33" s="9">
        <v>101128692234</v>
      </c>
      <c r="E33" s="10">
        <v>4897</v>
      </c>
      <c r="F33">
        <v>87339</v>
      </c>
      <c r="G33" s="5">
        <v>43116.99</v>
      </c>
      <c r="H33" s="5">
        <v>44222.01</v>
      </c>
      <c r="I33" t="s">
        <v>1635</v>
      </c>
      <c r="J33" s="10">
        <v>4897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379</v>
      </c>
      <c r="D34" s="9">
        <v>107112233335</v>
      </c>
      <c r="E34" s="10">
        <v>600</v>
      </c>
      <c r="F34">
        <v>33828</v>
      </c>
      <c r="G34" s="5">
        <v>20000</v>
      </c>
      <c r="H34" s="5">
        <v>13828</v>
      </c>
      <c r="I34" t="s">
        <v>1635</v>
      </c>
      <c r="J34" s="10">
        <v>600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727</v>
      </c>
      <c r="D35" s="9">
        <v>107112887212</v>
      </c>
      <c r="E35" s="10">
        <v>4316</v>
      </c>
      <c r="F35">
        <v>128253</v>
      </c>
      <c r="G35" s="5">
        <v>36608</v>
      </c>
      <c r="H35" s="5">
        <v>91645</v>
      </c>
      <c r="I35" t="s">
        <v>1635</v>
      </c>
      <c r="J35" s="10">
        <v>4316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320</v>
      </c>
      <c r="D36" s="9">
        <v>107111727169</v>
      </c>
      <c r="E36" s="10">
        <v>7533.33</v>
      </c>
      <c r="F36">
        <v>85000</v>
      </c>
      <c r="G36" s="5">
        <v>19950</v>
      </c>
      <c r="H36" s="5">
        <v>65050</v>
      </c>
      <c r="I36" t="s">
        <v>1635</v>
      </c>
      <c r="J36" s="10">
        <v>7533.33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340</v>
      </c>
      <c r="D37" s="9">
        <v>107112028534</v>
      </c>
      <c r="E37" s="10">
        <v>3835</v>
      </c>
      <c r="F37">
        <v>118000</v>
      </c>
      <c r="G37" s="5">
        <v>36965</v>
      </c>
      <c r="H37" s="5">
        <v>81035</v>
      </c>
      <c r="I37" t="s">
        <v>1635</v>
      </c>
      <c r="J37" s="10">
        <v>3835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816</v>
      </c>
      <c r="D38" s="9">
        <v>107113116925</v>
      </c>
      <c r="E38" s="10">
        <v>2254</v>
      </c>
      <c r="F38">
        <v>39074</v>
      </c>
      <c r="G38" s="5">
        <v>19922</v>
      </c>
      <c r="H38" s="5">
        <v>19152</v>
      </c>
      <c r="I38" t="s">
        <v>1635</v>
      </c>
      <c r="J38" s="10">
        <v>2254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91</v>
      </c>
      <c r="D39" s="9">
        <v>101129348286</v>
      </c>
      <c r="E39" s="10">
        <v>1800</v>
      </c>
      <c r="F39">
        <v>73000</v>
      </c>
      <c r="G39" s="5">
        <v>27225</v>
      </c>
      <c r="H39" s="5">
        <v>45775</v>
      </c>
      <c r="I39" t="s">
        <v>1635</v>
      </c>
      <c r="J39" s="10">
        <v>1800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715</v>
      </c>
      <c r="D40" s="9">
        <v>107112869884</v>
      </c>
      <c r="E40" s="10">
        <v>2925</v>
      </c>
      <c r="F40">
        <v>85000</v>
      </c>
      <c r="G40" s="5">
        <v>25250</v>
      </c>
      <c r="H40" s="5">
        <v>59750</v>
      </c>
      <c r="I40" t="s">
        <v>1635</v>
      </c>
      <c r="J40" s="10">
        <v>2925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30</v>
      </c>
      <c r="D41" s="9">
        <v>101127962550</v>
      </c>
      <c r="E41" s="10">
        <v>2835</v>
      </c>
      <c r="F41">
        <v>84000</v>
      </c>
      <c r="G41" s="5">
        <v>22680</v>
      </c>
      <c r="H41" s="5">
        <v>61320</v>
      </c>
      <c r="I41" t="s">
        <v>1635</v>
      </c>
      <c r="J41" s="10">
        <v>2835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368</v>
      </c>
      <c r="D42" s="9">
        <v>107112197937</v>
      </c>
      <c r="E42" s="10">
        <v>1700</v>
      </c>
      <c r="F42">
        <v>28553</v>
      </c>
      <c r="G42" s="5">
        <v>17850</v>
      </c>
      <c r="H42" s="5">
        <v>10703</v>
      </c>
      <c r="I42" t="s">
        <v>1635</v>
      </c>
      <c r="J42" s="10">
        <v>1700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310</v>
      </c>
      <c r="D43" s="9">
        <v>107106888322</v>
      </c>
      <c r="E43" s="10">
        <v>2754</v>
      </c>
      <c r="F43">
        <v>98000</v>
      </c>
      <c r="G43" s="5">
        <v>24852</v>
      </c>
      <c r="H43" s="5">
        <v>73148</v>
      </c>
      <c r="I43" t="s">
        <v>1635</v>
      </c>
      <c r="J43" s="10">
        <v>2754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292</v>
      </c>
      <c r="D44" s="9">
        <v>101130959533</v>
      </c>
      <c r="E44" s="10">
        <v>6750</v>
      </c>
      <c r="F44">
        <v>78580</v>
      </c>
      <c r="G44" s="5">
        <v>15750</v>
      </c>
      <c r="H44" s="5">
        <v>62830</v>
      </c>
      <c r="I44" t="s">
        <v>1635</v>
      </c>
      <c r="J44" s="10">
        <v>6750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723</v>
      </c>
      <c r="D45" s="9">
        <v>107112885798</v>
      </c>
      <c r="E45" s="10">
        <v>3531</v>
      </c>
      <c r="F45">
        <v>100000</v>
      </c>
      <c r="G45" s="5">
        <v>24232.5</v>
      </c>
      <c r="H45" s="5">
        <v>75767.5</v>
      </c>
      <c r="I45" t="s">
        <v>1635</v>
      </c>
      <c r="J45" s="10">
        <v>3531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636</v>
      </c>
      <c r="D46" s="9">
        <v>107112707011</v>
      </c>
      <c r="E46" s="10">
        <v>1300</v>
      </c>
      <c r="F46">
        <v>23000</v>
      </c>
      <c r="G46" s="5">
        <v>10400</v>
      </c>
      <c r="H46" s="5">
        <v>12600</v>
      </c>
      <c r="I46" t="s">
        <v>1635</v>
      </c>
      <c r="J46" s="10">
        <v>1300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98</v>
      </c>
      <c r="D47" s="9">
        <v>101129380243</v>
      </c>
      <c r="E47" s="10">
        <v>4977</v>
      </c>
      <c r="F47">
        <v>95275</v>
      </c>
      <c r="G47" s="5">
        <v>48855</v>
      </c>
      <c r="H47" s="5">
        <v>46420</v>
      </c>
      <c r="I47" t="s">
        <v>1635</v>
      </c>
      <c r="J47" s="10">
        <v>4977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769</v>
      </c>
      <c r="D48" s="9">
        <v>107112983263</v>
      </c>
      <c r="E48" s="10">
        <v>3420</v>
      </c>
      <c r="F48">
        <v>100900</v>
      </c>
      <c r="G48" s="5">
        <v>28930</v>
      </c>
      <c r="H48" s="5">
        <v>71970</v>
      </c>
      <c r="I48" t="s">
        <v>1635</v>
      </c>
      <c r="J48" s="10">
        <v>3420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354</v>
      </c>
      <c r="D49" s="9">
        <v>107112103736</v>
      </c>
      <c r="E49" s="10">
        <v>2890</v>
      </c>
      <c r="F49">
        <v>117000</v>
      </c>
      <c r="G49" s="5">
        <v>42650</v>
      </c>
      <c r="H49" s="5">
        <v>74350</v>
      </c>
      <c r="I49" t="s">
        <v>1635</v>
      </c>
      <c r="J49" s="10">
        <v>2890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65</v>
      </c>
      <c r="D50" s="9">
        <v>101129113001</v>
      </c>
      <c r="E50" s="10">
        <v>3800</v>
      </c>
      <c r="F50">
        <v>106200</v>
      </c>
      <c r="G50" s="5">
        <v>34200</v>
      </c>
      <c r="H50" s="5">
        <v>72000</v>
      </c>
      <c r="I50" t="s">
        <v>1635</v>
      </c>
      <c r="J50" s="10">
        <v>3800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425</v>
      </c>
      <c r="D51" s="9">
        <v>107112333315</v>
      </c>
      <c r="E51" s="10">
        <v>8142</v>
      </c>
      <c r="F51">
        <v>89000</v>
      </c>
      <c r="G51" s="5">
        <v>18124</v>
      </c>
      <c r="H51" s="5">
        <v>70876</v>
      </c>
      <c r="I51" t="s">
        <v>1635</v>
      </c>
      <c r="J51" s="10">
        <v>8142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579</v>
      </c>
      <c r="D52" s="9">
        <v>107112637443</v>
      </c>
      <c r="E52" s="10">
        <v>3240</v>
      </c>
      <c r="F52">
        <v>96000</v>
      </c>
      <c r="G52" s="5">
        <v>19440</v>
      </c>
      <c r="H52" s="5">
        <v>76560</v>
      </c>
      <c r="I52" t="s">
        <v>1635</v>
      </c>
      <c r="J52" s="10">
        <v>3240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564</v>
      </c>
      <c r="D53" s="9">
        <v>107112621534</v>
      </c>
      <c r="E53" s="10">
        <v>1560</v>
      </c>
      <c r="F53">
        <v>27722</v>
      </c>
      <c r="G53" s="5">
        <v>15600</v>
      </c>
      <c r="H53" s="5">
        <v>12122</v>
      </c>
      <c r="I53" t="s">
        <v>1635</v>
      </c>
      <c r="J53" s="10">
        <v>1560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822</v>
      </c>
      <c r="D54" s="9">
        <v>107113171713</v>
      </c>
      <c r="E54" s="10">
        <v>2546</v>
      </c>
      <c r="F54">
        <v>77000</v>
      </c>
      <c r="G54" s="5">
        <v>20862</v>
      </c>
      <c r="H54" s="5">
        <v>56138</v>
      </c>
      <c r="I54" t="s">
        <v>1635</v>
      </c>
      <c r="J54" s="10">
        <v>2546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692</v>
      </c>
      <c r="D55" s="9">
        <v>107112813849</v>
      </c>
      <c r="E55" s="10">
        <v>675</v>
      </c>
      <c r="F55">
        <v>16502</v>
      </c>
      <c r="G55" s="5">
        <v>6075</v>
      </c>
      <c r="H55" s="5">
        <v>10427</v>
      </c>
      <c r="I55" t="s">
        <v>1635</v>
      </c>
      <c r="J55" s="10">
        <v>675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604</v>
      </c>
      <c r="D56" s="9">
        <v>107112660962</v>
      </c>
      <c r="E56" s="10">
        <v>1380</v>
      </c>
      <c r="F56">
        <v>26555</v>
      </c>
      <c r="G56" s="5">
        <v>12420</v>
      </c>
      <c r="H56" s="5">
        <v>14135</v>
      </c>
      <c r="I56" t="s">
        <v>1635</v>
      </c>
      <c r="J56" s="10">
        <v>1380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324</v>
      </c>
      <c r="D57" s="9">
        <v>107111811184</v>
      </c>
      <c r="E57" s="10">
        <v>2250</v>
      </c>
      <c r="F57">
        <v>69260</v>
      </c>
      <c r="G57" s="5">
        <v>19500</v>
      </c>
      <c r="H57" s="5">
        <v>49760</v>
      </c>
      <c r="I57" t="s">
        <v>1635</v>
      </c>
      <c r="J57" s="10">
        <v>2250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350</v>
      </c>
      <c r="D58" s="9">
        <v>107112083173</v>
      </c>
      <c r="E58" s="10">
        <v>2940</v>
      </c>
      <c r="F58">
        <v>90777</v>
      </c>
      <c r="G58" s="5">
        <v>28860</v>
      </c>
      <c r="H58" s="5">
        <v>61917</v>
      </c>
      <c r="I58" t="s">
        <v>1635</v>
      </c>
      <c r="J58" s="10">
        <v>2940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336</v>
      </c>
      <c r="D59" s="9">
        <v>107111984820</v>
      </c>
      <c r="E59" s="10">
        <v>2400</v>
      </c>
      <c r="F59">
        <v>44000</v>
      </c>
      <c r="G59" s="5">
        <v>28800</v>
      </c>
      <c r="H59" s="5">
        <v>15200</v>
      </c>
      <c r="I59" t="s">
        <v>1635</v>
      </c>
      <c r="J59" s="10">
        <v>2400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433</v>
      </c>
      <c r="D60" s="9">
        <v>107112353366</v>
      </c>
      <c r="E60" s="10">
        <v>2460</v>
      </c>
      <c r="F60">
        <v>76000</v>
      </c>
      <c r="G60" s="5">
        <v>27206</v>
      </c>
      <c r="H60" s="5">
        <v>48794</v>
      </c>
      <c r="I60" t="s">
        <v>1635</v>
      </c>
      <c r="J60" s="10">
        <v>2460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110</v>
      </c>
      <c r="D61" s="9">
        <v>101129460405</v>
      </c>
      <c r="E61" s="10">
        <v>3901</v>
      </c>
      <c r="F61">
        <v>73000</v>
      </c>
      <c r="G61" s="5">
        <v>38329</v>
      </c>
      <c r="H61" s="5">
        <v>34671</v>
      </c>
      <c r="I61" t="s">
        <v>1635</v>
      </c>
      <c r="J61" s="10">
        <v>3901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69</v>
      </c>
      <c r="D62" s="9">
        <v>101129185442</v>
      </c>
      <c r="E62" s="10">
        <v>2800</v>
      </c>
      <c r="F62">
        <v>95231</v>
      </c>
      <c r="G62" s="5">
        <v>25100</v>
      </c>
      <c r="H62" s="5">
        <v>70131</v>
      </c>
      <c r="I62" t="s">
        <v>1635</v>
      </c>
      <c r="J62" s="10">
        <v>2800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523</v>
      </c>
      <c r="D63" s="9">
        <v>107112576388</v>
      </c>
      <c r="E63" s="10">
        <v>1755</v>
      </c>
      <c r="F63">
        <v>31400</v>
      </c>
      <c r="G63" s="5">
        <v>17550</v>
      </c>
      <c r="H63" s="5">
        <v>13850</v>
      </c>
      <c r="I63" t="s">
        <v>1635</v>
      </c>
      <c r="J63" s="10">
        <v>1755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481</v>
      </c>
      <c r="D64" s="9">
        <v>107112496680</v>
      </c>
      <c r="E64" s="10">
        <v>4636</v>
      </c>
      <c r="F64">
        <v>141000</v>
      </c>
      <c r="G64" s="5">
        <v>51140</v>
      </c>
      <c r="H64" s="5">
        <v>89860</v>
      </c>
      <c r="I64" t="s">
        <v>1635</v>
      </c>
      <c r="J64" s="10">
        <v>4636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729</v>
      </c>
      <c r="D65" s="9">
        <v>107112891513</v>
      </c>
      <c r="E65" s="10">
        <v>3168</v>
      </c>
      <c r="F65">
        <v>90580</v>
      </c>
      <c r="G65" s="5">
        <v>27364</v>
      </c>
      <c r="H65" s="5">
        <v>63216</v>
      </c>
      <c r="I65" t="s">
        <v>1635</v>
      </c>
      <c r="J65" s="10">
        <v>3168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405</v>
      </c>
      <c r="D66" s="9">
        <v>107112299316</v>
      </c>
      <c r="E66" s="10">
        <v>1560</v>
      </c>
      <c r="F66">
        <v>89337</v>
      </c>
      <c r="G66" s="5">
        <v>30750</v>
      </c>
      <c r="H66" s="5">
        <v>58587</v>
      </c>
      <c r="I66" t="s">
        <v>1635</v>
      </c>
      <c r="J66" s="10">
        <v>1560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455</v>
      </c>
      <c r="D67" s="9">
        <v>107112422101</v>
      </c>
      <c r="E67" s="10">
        <v>2665</v>
      </c>
      <c r="F67">
        <v>96000</v>
      </c>
      <c r="G67" s="5">
        <v>23920</v>
      </c>
      <c r="H67" s="5">
        <v>72080</v>
      </c>
      <c r="I67" t="s">
        <v>1635</v>
      </c>
      <c r="J67" s="10">
        <v>2665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326</v>
      </c>
      <c r="D68" s="9">
        <v>107111820785</v>
      </c>
      <c r="E68" s="10">
        <v>4026</v>
      </c>
      <c r="F68">
        <v>122717</v>
      </c>
      <c r="G68" s="5">
        <v>38866.67</v>
      </c>
      <c r="H68" s="5">
        <v>83850.33</v>
      </c>
      <c r="I68" t="s">
        <v>1635</v>
      </c>
      <c r="J68" s="10">
        <v>4026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125</v>
      </c>
      <c r="D69" s="9">
        <v>101129554327</v>
      </c>
      <c r="E69" s="10">
        <v>2660</v>
      </c>
      <c r="F69">
        <v>84023</v>
      </c>
      <c r="G69" s="5">
        <v>29981.34</v>
      </c>
      <c r="H69" s="5">
        <v>54041.66</v>
      </c>
      <c r="I69" t="s">
        <v>1635</v>
      </c>
      <c r="J69" s="10">
        <v>2660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383</v>
      </c>
      <c r="D70" s="9">
        <v>107112242539</v>
      </c>
      <c r="E70" s="10">
        <v>1540</v>
      </c>
      <c r="F70">
        <v>44340</v>
      </c>
      <c r="G70" s="5">
        <v>13965</v>
      </c>
      <c r="H70" s="5">
        <v>30375</v>
      </c>
      <c r="I70" t="s">
        <v>1635</v>
      </c>
      <c r="J70" s="10">
        <v>1540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571</v>
      </c>
      <c r="D71" s="9">
        <v>107112626074</v>
      </c>
      <c r="E71" s="10">
        <v>2271.5</v>
      </c>
      <c r="F71">
        <v>68100</v>
      </c>
      <c r="G71" s="5">
        <v>22003.5</v>
      </c>
      <c r="H71" s="5">
        <v>46096.5</v>
      </c>
      <c r="I71" t="s">
        <v>1635</v>
      </c>
      <c r="J71" s="10">
        <v>2271.5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554</v>
      </c>
      <c r="D72" s="9">
        <v>107112610645</v>
      </c>
      <c r="E72" s="10">
        <v>5358</v>
      </c>
      <c r="F72">
        <v>163831</v>
      </c>
      <c r="G72" s="5">
        <v>51932</v>
      </c>
      <c r="H72" s="5">
        <v>111899</v>
      </c>
      <c r="I72" t="s">
        <v>1635</v>
      </c>
      <c r="J72" s="10">
        <v>5358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28</v>
      </c>
      <c r="D73" s="9">
        <v>101127876784</v>
      </c>
      <c r="E73" s="10">
        <v>4160</v>
      </c>
      <c r="F73">
        <v>74642</v>
      </c>
      <c r="G73" s="5">
        <v>36213.33</v>
      </c>
      <c r="H73" s="5">
        <v>38428.67</v>
      </c>
      <c r="I73" t="s">
        <v>1635</v>
      </c>
      <c r="J73" s="10">
        <v>4160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688</v>
      </c>
      <c r="D74" s="9">
        <v>107112807713</v>
      </c>
      <c r="E74" s="10">
        <v>2937</v>
      </c>
      <c r="F74">
        <v>88800</v>
      </c>
      <c r="G74" s="5">
        <v>24816</v>
      </c>
      <c r="H74" s="5">
        <v>63984</v>
      </c>
      <c r="I74" t="s">
        <v>1635</v>
      </c>
      <c r="J74" s="10">
        <v>2937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26</v>
      </c>
      <c r="D75" s="9">
        <v>101127687701</v>
      </c>
      <c r="E75" s="10">
        <v>2314</v>
      </c>
      <c r="F75">
        <v>61372</v>
      </c>
      <c r="G75" s="5">
        <v>24806.67</v>
      </c>
      <c r="H75" s="5">
        <v>36565.33</v>
      </c>
      <c r="I75" t="s">
        <v>1635</v>
      </c>
      <c r="J75" s="10">
        <v>2314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453</v>
      </c>
      <c r="D76" s="9">
        <v>107112417266</v>
      </c>
      <c r="E76" s="10">
        <v>1155</v>
      </c>
      <c r="F76">
        <v>20000</v>
      </c>
      <c r="G76" s="5">
        <v>9240</v>
      </c>
      <c r="H76" s="5">
        <v>10760</v>
      </c>
      <c r="I76" t="s">
        <v>1635</v>
      </c>
      <c r="J76" s="10">
        <v>1155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135</v>
      </c>
      <c r="D77" s="9">
        <v>101129629405</v>
      </c>
      <c r="E77" s="10">
        <v>5244</v>
      </c>
      <c r="F77">
        <v>98888</v>
      </c>
      <c r="G77" s="5">
        <v>49882.67</v>
      </c>
      <c r="H77" s="5">
        <v>49005.33</v>
      </c>
      <c r="I77" t="s">
        <v>1635</v>
      </c>
      <c r="J77" s="10">
        <v>5244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427</v>
      </c>
      <c r="D78" s="9">
        <v>107112336393</v>
      </c>
      <c r="E78" s="10">
        <v>4200</v>
      </c>
      <c r="F78">
        <v>151204</v>
      </c>
      <c r="G78" s="5">
        <v>40600</v>
      </c>
      <c r="H78" s="5">
        <v>110604</v>
      </c>
      <c r="I78" t="s">
        <v>1635</v>
      </c>
      <c r="J78" s="10">
        <v>4200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590</v>
      </c>
      <c r="D79" s="9">
        <v>107112652640</v>
      </c>
      <c r="E79" s="10">
        <v>1491</v>
      </c>
      <c r="F79">
        <v>27758</v>
      </c>
      <c r="G79" s="5">
        <v>14910</v>
      </c>
      <c r="H79" s="5">
        <v>12848</v>
      </c>
      <c r="I79" t="s">
        <v>1635</v>
      </c>
      <c r="J79" s="10">
        <v>1491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133</v>
      </c>
      <c r="D80" s="9">
        <v>101129626038</v>
      </c>
      <c r="E80" s="10">
        <v>2566.67</v>
      </c>
      <c r="F80">
        <v>93833</v>
      </c>
      <c r="G80" s="5">
        <v>34066.67</v>
      </c>
      <c r="H80" s="5">
        <v>59766.33</v>
      </c>
      <c r="I80" t="s">
        <v>1635</v>
      </c>
      <c r="J80" s="10">
        <v>2566.67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694</v>
      </c>
      <c r="D81" s="9">
        <v>107112817606</v>
      </c>
      <c r="E81" s="10">
        <v>1320</v>
      </c>
      <c r="F81">
        <v>26600</v>
      </c>
      <c r="G81" s="5">
        <v>13200</v>
      </c>
      <c r="H81" s="5">
        <v>13400</v>
      </c>
      <c r="I81" t="s">
        <v>1635</v>
      </c>
      <c r="J81" s="10">
        <v>1320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121</v>
      </c>
      <c r="D82" s="9">
        <v>101129543144</v>
      </c>
      <c r="E82" s="10">
        <v>3995</v>
      </c>
      <c r="F82">
        <v>73818</v>
      </c>
      <c r="G82" s="5">
        <v>39071.67</v>
      </c>
      <c r="H82" s="5">
        <v>34746.33</v>
      </c>
      <c r="I82" t="s">
        <v>1635</v>
      </c>
      <c r="J82" s="10">
        <v>3995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489</v>
      </c>
      <c r="D83" s="9">
        <v>107112504607</v>
      </c>
      <c r="E83" s="10">
        <v>1650</v>
      </c>
      <c r="F83">
        <v>28225</v>
      </c>
      <c r="G83" s="5">
        <v>16500</v>
      </c>
      <c r="H83" s="5">
        <v>11725</v>
      </c>
      <c r="I83" t="s">
        <v>1635</v>
      </c>
      <c r="J83" s="10">
        <v>1650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258</v>
      </c>
      <c r="D84" s="9">
        <v>101130673207</v>
      </c>
      <c r="E84" s="10">
        <v>4307</v>
      </c>
      <c r="F84">
        <v>79553</v>
      </c>
      <c r="G84" s="5">
        <v>37132.67</v>
      </c>
      <c r="H84" s="5">
        <v>42420.33</v>
      </c>
      <c r="I84" t="s">
        <v>1635</v>
      </c>
      <c r="J84" s="10">
        <v>4307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411</v>
      </c>
      <c r="D85" s="9">
        <v>107112309363</v>
      </c>
      <c r="E85" s="10">
        <v>1072</v>
      </c>
      <c r="F85">
        <v>9216</v>
      </c>
      <c r="G85" s="5">
        <v>4324</v>
      </c>
      <c r="H85" s="5">
        <v>4892</v>
      </c>
      <c r="I85" t="s">
        <v>1635</v>
      </c>
      <c r="J85" s="10">
        <v>1072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669</v>
      </c>
      <c r="D86" s="9">
        <v>107112779353</v>
      </c>
      <c r="E86" s="10">
        <v>3834</v>
      </c>
      <c r="F86">
        <v>111671</v>
      </c>
      <c r="G86" s="5">
        <v>36766</v>
      </c>
      <c r="H86" s="5">
        <v>74905</v>
      </c>
      <c r="I86" t="s">
        <v>1635</v>
      </c>
      <c r="J86" s="10">
        <v>3834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743</v>
      </c>
      <c r="D87" s="9">
        <v>107112913803</v>
      </c>
      <c r="E87" s="10">
        <v>3150</v>
      </c>
      <c r="F87">
        <v>45000</v>
      </c>
      <c r="G87" s="5">
        <v>10785</v>
      </c>
      <c r="H87" s="5">
        <v>34215</v>
      </c>
      <c r="I87" t="s">
        <v>1635</v>
      </c>
      <c r="J87" s="10">
        <v>3150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774</v>
      </c>
      <c r="D88" s="9">
        <v>107112989755</v>
      </c>
      <c r="E88" s="10">
        <v>2592</v>
      </c>
      <c r="F88">
        <v>77000</v>
      </c>
      <c r="G88" s="5">
        <v>22698</v>
      </c>
      <c r="H88" s="5">
        <v>54302</v>
      </c>
      <c r="I88" t="s">
        <v>1635</v>
      </c>
      <c r="J88" s="10">
        <v>2592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646</v>
      </c>
      <c r="D89" s="9">
        <v>107112720146</v>
      </c>
      <c r="E89" s="10">
        <v>2940</v>
      </c>
      <c r="F89">
        <v>83705</v>
      </c>
      <c r="G89" s="5">
        <v>25003</v>
      </c>
      <c r="H89" s="5">
        <v>58702</v>
      </c>
      <c r="I89" t="s">
        <v>1635</v>
      </c>
      <c r="J89" s="10">
        <v>2940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684</v>
      </c>
      <c r="D90" s="9">
        <v>107112803579</v>
      </c>
      <c r="E90" s="10">
        <v>2225</v>
      </c>
      <c r="F90">
        <v>67500</v>
      </c>
      <c r="G90" s="5">
        <v>16575</v>
      </c>
      <c r="H90" s="5">
        <v>50925</v>
      </c>
      <c r="I90" t="s">
        <v>1635</v>
      </c>
      <c r="J90" s="10">
        <v>2225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487</v>
      </c>
      <c r="D91" s="9">
        <v>107112499423</v>
      </c>
      <c r="E91" s="10">
        <v>2635.2</v>
      </c>
      <c r="F91">
        <v>77000</v>
      </c>
      <c r="G91" s="5">
        <v>25604.800000000003</v>
      </c>
      <c r="H91" s="5">
        <v>51395.199999999997</v>
      </c>
      <c r="I91" t="s">
        <v>1635</v>
      </c>
      <c r="J91" s="10">
        <v>2635.2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566</v>
      </c>
      <c r="D92" s="9">
        <v>107112621983</v>
      </c>
      <c r="E92" s="10">
        <v>11466</v>
      </c>
      <c r="F92">
        <v>110923</v>
      </c>
      <c r="G92" s="5">
        <v>22932</v>
      </c>
      <c r="H92" s="5">
        <v>87991</v>
      </c>
      <c r="I92" t="s">
        <v>1635</v>
      </c>
      <c r="J92" s="10">
        <v>11466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513</v>
      </c>
      <c r="D93" s="9">
        <v>107112562410</v>
      </c>
      <c r="E93" s="10">
        <v>2565</v>
      </c>
      <c r="F93">
        <v>78200</v>
      </c>
      <c r="G93" s="5">
        <v>24885</v>
      </c>
      <c r="H93" s="5">
        <v>53315</v>
      </c>
      <c r="I93" t="s">
        <v>1635</v>
      </c>
      <c r="J93" s="10">
        <v>2565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225</v>
      </c>
      <c r="D94" s="9">
        <v>101130380821</v>
      </c>
      <c r="E94" s="10">
        <v>4860</v>
      </c>
      <c r="F94">
        <v>92000</v>
      </c>
      <c r="G94" s="5">
        <v>45950</v>
      </c>
      <c r="H94" s="5">
        <v>46050</v>
      </c>
      <c r="I94" t="s">
        <v>1635</v>
      </c>
      <c r="J94" s="10">
        <v>4860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233</v>
      </c>
      <c r="D95" s="9">
        <v>101130428817</v>
      </c>
      <c r="E95" s="10">
        <v>4320</v>
      </c>
      <c r="F95">
        <v>80000</v>
      </c>
      <c r="G95" s="5">
        <v>36480</v>
      </c>
      <c r="H95" s="5">
        <v>43520</v>
      </c>
      <c r="I95" t="s">
        <v>1635</v>
      </c>
      <c r="J95" s="10">
        <v>4320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509</v>
      </c>
      <c r="D96" s="9">
        <v>107112556607</v>
      </c>
      <c r="E96" s="10">
        <v>3922</v>
      </c>
      <c r="F96">
        <v>119603</v>
      </c>
      <c r="G96" s="5">
        <v>37418</v>
      </c>
      <c r="H96" s="5">
        <v>82185</v>
      </c>
      <c r="I96" t="s">
        <v>1635</v>
      </c>
      <c r="J96" s="10">
        <v>3922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207</v>
      </c>
      <c r="D97" s="9">
        <v>101130192067</v>
      </c>
      <c r="E97" s="10">
        <v>2360</v>
      </c>
      <c r="F97">
        <v>73000</v>
      </c>
      <c r="G97" s="5">
        <v>20943.330000000002</v>
      </c>
      <c r="H97" s="5">
        <v>52056.67</v>
      </c>
      <c r="I97" t="s">
        <v>1635</v>
      </c>
      <c r="J97" s="10">
        <v>2360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717</v>
      </c>
      <c r="D98" s="9">
        <v>107112873012</v>
      </c>
      <c r="E98" s="10">
        <v>4959</v>
      </c>
      <c r="F98">
        <v>142410</v>
      </c>
      <c r="G98" s="5">
        <v>38423</v>
      </c>
      <c r="H98" s="5">
        <v>103987</v>
      </c>
      <c r="I98" t="s">
        <v>1635</v>
      </c>
      <c r="J98" s="10">
        <v>4959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761</v>
      </c>
      <c r="D99" s="9">
        <v>107112954373</v>
      </c>
      <c r="E99" s="10">
        <v>3550</v>
      </c>
      <c r="F99">
        <v>105700</v>
      </c>
      <c r="G99" s="5">
        <v>26850</v>
      </c>
      <c r="H99" s="5">
        <v>78850</v>
      </c>
      <c r="I99" t="s">
        <v>1635</v>
      </c>
      <c r="J99" s="10">
        <v>3550</v>
      </c>
      <c r="K99" t="s">
        <v>1635</v>
      </c>
      <c r="L99">
        <v>0</v>
      </c>
    </row>
    <row r="100" spans="1:12">
      <c r="A100">
        <v>1</v>
      </c>
      <c r="B100" t="s">
        <v>15</v>
      </c>
      <c r="C100" t="s">
        <v>533</v>
      </c>
      <c r="D100" s="9">
        <v>107112590746</v>
      </c>
      <c r="E100" s="10">
        <v>1250</v>
      </c>
      <c r="F100">
        <v>22478</v>
      </c>
      <c r="G100" s="5">
        <v>12500</v>
      </c>
      <c r="H100" s="5">
        <v>9978</v>
      </c>
      <c r="I100" t="s">
        <v>1635</v>
      </c>
      <c r="J100" s="10">
        <v>1250</v>
      </c>
      <c r="K100" t="s">
        <v>1635</v>
      </c>
      <c r="L100">
        <v>0</v>
      </c>
    </row>
    <row r="101" spans="1:12">
      <c r="A101">
        <v>1</v>
      </c>
      <c r="B101" t="s">
        <v>15</v>
      </c>
      <c r="C101" t="s">
        <v>34</v>
      </c>
      <c r="D101" s="9">
        <v>101128199395</v>
      </c>
      <c r="E101" s="10">
        <v>3709.8</v>
      </c>
      <c r="F101">
        <v>109806</v>
      </c>
      <c r="G101" s="5">
        <v>42527.130000000005</v>
      </c>
      <c r="H101" s="5">
        <v>67278.87</v>
      </c>
      <c r="I101" t="s">
        <v>1635</v>
      </c>
      <c r="J101" s="10">
        <v>3709.8</v>
      </c>
      <c r="K101" t="s">
        <v>1635</v>
      </c>
      <c r="L101">
        <v>0</v>
      </c>
    </row>
    <row r="102" spans="1:12">
      <c r="A102">
        <v>1</v>
      </c>
      <c r="B102" t="s">
        <v>15</v>
      </c>
      <c r="C102" t="s">
        <v>519</v>
      </c>
      <c r="D102" s="9">
        <v>107112571761</v>
      </c>
      <c r="E102" s="10">
        <v>3630</v>
      </c>
      <c r="F102">
        <v>110000</v>
      </c>
      <c r="G102" s="5">
        <v>33860</v>
      </c>
      <c r="H102" s="5">
        <v>76140</v>
      </c>
      <c r="I102" t="s">
        <v>1635</v>
      </c>
      <c r="J102" s="10">
        <v>3630</v>
      </c>
      <c r="K102" t="s">
        <v>1635</v>
      </c>
      <c r="L102">
        <v>0</v>
      </c>
    </row>
    <row r="103" spans="1:12">
      <c r="A103">
        <v>1</v>
      </c>
      <c r="B103" t="s">
        <v>15</v>
      </c>
      <c r="C103" t="s">
        <v>57</v>
      </c>
      <c r="D103" s="9">
        <v>101128689163</v>
      </c>
      <c r="E103" s="10">
        <v>4000</v>
      </c>
      <c r="F103">
        <v>160000</v>
      </c>
      <c r="G103" s="5">
        <v>54000</v>
      </c>
      <c r="H103" s="5">
        <v>106000</v>
      </c>
      <c r="I103" t="s">
        <v>1635</v>
      </c>
      <c r="J103" s="10">
        <v>4000</v>
      </c>
      <c r="K103" t="s">
        <v>1635</v>
      </c>
      <c r="L103">
        <v>0</v>
      </c>
    </row>
    <row r="104" spans="1:12">
      <c r="A104">
        <v>1</v>
      </c>
      <c r="B104" t="s">
        <v>15</v>
      </c>
      <c r="C104" t="s">
        <v>634</v>
      </c>
      <c r="D104" s="9">
        <v>107112705537</v>
      </c>
      <c r="E104" s="10">
        <v>1399.92</v>
      </c>
      <c r="F104">
        <v>24606</v>
      </c>
      <c r="G104" s="5">
        <v>15399.12</v>
      </c>
      <c r="H104" s="5">
        <v>9206.8799999999992</v>
      </c>
      <c r="I104" t="s">
        <v>1635</v>
      </c>
      <c r="J104" s="10">
        <v>1399.92</v>
      </c>
      <c r="K104" t="s">
        <v>1635</v>
      </c>
      <c r="L104">
        <v>0</v>
      </c>
    </row>
    <row r="105" spans="1:12">
      <c r="A105">
        <v>1</v>
      </c>
      <c r="B105" t="s">
        <v>15</v>
      </c>
      <c r="C105" t="s">
        <v>44</v>
      </c>
      <c r="D105" s="9">
        <v>101128209044</v>
      </c>
      <c r="E105" s="10">
        <v>1456</v>
      </c>
      <c r="F105">
        <v>43600</v>
      </c>
      <c r="G105" s="5">
        <v>14560</v>
      </c>
      <c r="H105" s="5">
        <v>29040</v>
      </c>
      <c r="I105" t="s">
        <v>1635</v>
      </c>
      <c r="J105" s="10">
        <v>1456</v>
      </c>
      <c r="K105" t="s">
        <v>1635</v>
      </c>
      <c r="L105">
        <v>0</v>
      </c>
    </row>
    <row r="106" spans="1:12">
      <c r="A106">
        <v>1</v>
      </c>
      <c r="B106" t="s">
        <v>15</v>
      </c>
      <c r="C106" t="s">
        <v>177</v>
      </c>
      <c r="D106" s="9">
        <v>101129984712</v>
      </c>
      <c r="E106" s="10">
        <v>105</v>
      </c>
      <c r="F106">
        <v>73660</v>
      </c>
      <c r="G106" s="5">
        <v>36205</v>
      </c>
      <c r="H106" s="5">
        <v>37455</v>
      </c>
      <c r="I106" t="s">
        <v>1635</v>
      </c>
      <c r="J106" s="10">
        <v>105</v>
      </c>
      <c r="K106" t="s">
        <v>1635</v>
      </c>
      <c r="L106">
        <v>0</v>
      </c>
    </row>
    <row r="107" spans="1:12">
      <c r="A107">
        <v>1</v>
      </c>
      <c r="B107" t="s">
        <v>15</v>
      </c>
      <c r="C107" t="s">
        <v>274</v>
      </c>
      <c r="D107" s="9">
        <v>101130834372</v>
      </c>
      <c r="E107" s="10">
        <v>66000</v>
      </c>
      <c r="F107">
        <v>73000</v>
      </c>
      <c r="G107" s="5">
        <v>7000</v>
      </c>
      <c r="H107" s="5">
        <v>66000</v>
      </c>
      <c r="I107" t="s">
        <v>1635</v>
      </c>
      <c r="J107" s="10">
        <v>66000</v>
      </c>
      <c r="K107" t="s">
        <v>1635</v>
      </c>
      <c r="L107">
        <v>0</v>
      </c>
    </row>
    <row r="108" spans="1:12">
      <c r="A108">
        <v>1</v>
      </c>
      <c r="B108" t="s">
        <v>15</v>
      </c>
      <c r="C108" t="s">
        <v>211</v>
      </c>
      <c r="D108" s="9">
        <v>101130206941</v>
      </c>
      <c r="E108" s="10">
        <v>1900</v>
      </c>
      <c r="F108">
        <v>55200</v>
      </c>
      <c r="G108" s="5">
        <v>18690</v>
      </c>
      <c r="H108" s="5">
        <v>36510</v>
      </c>
      <c r="I108" t="s">
        <v>1635</v>
      </c>
      <c r="J108" s="10">
        <v>1900</v>
      </c>
      <c r="K108" t="s">
        <v>1635</v>
      </c>
      <c r="L108">
        <v>0</v>
      </c>
    </row>
    <row r="109" spans="1:12">
      <c r="A109">
        <v>1</v>
      </c>
      <c r="B109" t="s">
        <v>15</v>
      </c>
      <c r="C109" t="s">
        <v>531</v>
      </c>
      <c r="D109" s="9">
        <v>107112590731</v>
      </c>
      <c r="E109" s="10">
        <v>3912</v>
      </c>
      <c r="F109">
        <v>114896</v>
      </c>
      <c r="G109" s="5">
        <v>30719</v>
      </c>
      <c r="H109" s="5">
        <v>84177</v>
      </c>
      <c r="I109" t="s">
        <v>1635</v>
      </c>
      <c r="J109" s="10">
        <v>3912</v>
      </c>
      <c r="K109" t="s">
        <v>1635</v>
      </c>
      <c r="L109">
        <v>0</v>
      </c>
    </row>
    <row r="110" spans="1:12">
      <c r="A110">
        <v>1</v>
      </c>
      <c r="B110" t="s">
        <v>15</v>
      </c>
      <c r="C110" t="s">
        <v>264</v>
      </c>
      <c r="D110" s="9">
        <v>101130763989</v>
      </c>
      <c r="E110" s="10">
        <v>3850</v>
      </c>
      <c r="F110">
        <v>115960</v>
      </c>
      <c r="G110" s="5">
        <v>30800</v>
      </c>
      <c r="H110" s="5">
        <v>85160</v>
      </c>
      <c r="I110" t="s">
        <v>1635</v>
      </c>
      <c r="J110" s="10">
        <v>3850</v>
      </c>
      <c r="K110" t="s">
        <v>1635</v>
      </c>
      <c r="L110">
        <v>0</v>
      </c>
    </row>
    <row r="111" spans="1:12">
      <c r="A111">
        <v>1</v>
      </c>
      <c r="B111" t="s">
        <v>15</v>
      </c>
      <c r="C111" t="s">
        <v>223</v>
      </c>
      <c r="D111" s="9">
        <v>101130375783</v>
      </c>
      <c r="E111" s="10">
        <v>2800</v>
      </c>
      <c r="F111">
        <v>83560</v>
      </c>
      <c r="G111" s="5">
        <v>22400</v>
      </c>
      <c r="H111" s="5">
        <v>61160</v>
      </c>
      <c r="I111" t="s">
        <v>1635</v>
      </c>
      <c r="J111" s="10">
        <v>2800</v>
      </c>
      <c r="K111" t="s">
        <v>1635</v>
      </c>
      <c r="L111">
        <v>0</v>
      </c>
    </row>
    <row r="112" spans="1:12">
      <c r="A112">
        <v>1</v>
      </c>
      <c r="B112" t="s">
        <v>15</v>
      </c>
      <c r="C112" t="s">
        <v>413</v>
      </c>
      <c r="D112" s="9">
        <v>107112316953</v>
      </c>
      <c r="E112" s="10">
        <v>1734</v>
      </c>
      <c r="F112">
        <v>50000</v>
      </c>
      <c r="G112" s="5">
        <v>19074</v>
      </c>
      <c r="H112" s="5">
        <v>30926</v>
      </c>
      <c r="I112" t="s">
        <v>1635</v>
      </c>
      <c r="J112" s="10">
        <v>1734</v>
      </c>
      <c r="K112" t="s">
        <v>1635</v>
      </c>
      <c r="L112">
        <v>0</v>
      </c>
    </row>
    <row r="113" spans="1:13">
      <c r="A113">
        <v>1</v>
      </c>
      <c r="B113" t="s">
        <v>15</v>
      </c>
      <c r="C113" t="s">
        <v>657</v>
      </c>
      <c r="D113" s="14">
        <v>107114866922</v>
      </c>
      <c r="E113" s="15">
        <v>12000</v>
      </c>
      <c r="F113">
        <v>119100</v>
      </c>
      <c r="G113" s="5">
        <v>17496</v>
      </c>
      <c r="H113" s="5">
        <v>101604</v>
      </c>
      <c r="I113" t="s">
        <v>1635</v>
      </c>
      <c r="J113" s="15">
        <v>12000</v>
      </c>
      <c r="K113" t="s">
        <v>1635</v>
      </c>
      <c r="L113">
        <v>0</v>
      </c>
      <c r="M113" s="7" t="s">
        <v>1661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74A5-5969-2B49-96B9-85EEAFC75117}">
  <dimension ref="A1:L113"/>
  <sheetViews>
    <sheetView workbookViewId="0">
      <selection activeCell="K2" sqref="K2:L13"/>
    </sheetView>
  </sheetViews>
  <sheetFormatPr baseColWidth="10" defaultRowHeight="14"/>
  <cols>
    <col min="2" max="2" width="29.33203125" bestFit="1" customWidth="1"/>
    <col min="3" max="3" width="18.6640625" bestFit="1" customWidth="1"/>
    <col min="4" max="4" width="15.33203125" bestFit="1" customWidth="1"/>
    <col min="5" max="6" width="17.1640625" bestFit="1" customWidth="1"/>
    <col min="7" max="8" width="15" bestFit="1" customWidth="1"/>
    <col min="9" max="9" width="13" bestFit="1" customWidth="1"/>
    <col min="10" max="10" width="17.1640625" bestFit="1" customWidth="1"/>
    <col min="11" max="11" width="13" bestFit="1" customWidth="1"/>
  </cols>
  <sheetData>
    <row r="1" spans="1:12" s="16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</row>
    <row r="2" spans="1:12">
      <c r="A2">
        <v>1</v>
      </c>
      <c r="B2" t="s">
        <v>15</v>
      </c>
      <c r="C2" t="s">
        <v>575</v>
      </c>
      <c r="D2" s="9">
        <v>107112633046</v>
      </c>
      <c r="E2" s="17">
        <v>2475</v>
      </c>
      <c r="F2">
        <v>78888</v>
      </c>
      <c r="G2" s="5">
        <v>20925</v>
      </c>
      <c r="H2" s="5">
        <v>57963</v>
      </c>
      <c r="I2" t="s">
        <v>1635</v>
      </c>
      <c r="J2" s="17">
        <v>2475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127</v>
      </c>
      <c r="D3" s="9">
        <v>101129560839</v>
      </c>
      <c r="E3" s="17">
        <v>3000</v>
      </c>
      <c r="F3">
        <v>89318</v>
      </c>
      <c r="G3" s="5">
        <v>29750</v>
      </c>
      <c r="H3" s="5">
        <v>59568</v>
      </c>
      <c r="I3" t="s">
        <v>1635</v>
      </c>
      <c r="J3" s="17">
        <v>3000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661</v>
      </c>
      <c r="D4" s="9">
        <v>107112765285</v>
      </c>
      <c r="E4" s="17">
        <v>4005</v>
      </c>
      <c r="F4">
        <v>121500</v>
      </c>
      <c r="G4" s="5">
        <v>37845</v>
      </c>
      <c r="H4" s="5">
        <v>83655</v>
      </c>
      <c r="I4" t="s">
        <v>1635</v>
      </c>
      <c r="J4" s="17">
        <v>4005</v>
      </c>
      <c r="K4" t="s">
        <v>1635</v>
      </c>
      <c r="L4">
        <v>0</v>
      </c>
    </row>
    <row r="5" spans="1:12">
      <c r="A5">
        <v>1</v>
      </c>
      <c r="B5" t="s">
        <v>15</v>
      </c>
      <c r="C5" s="7" t="s">
        <v>1637</v>
      </c>
      <c r="D5" s="9">
        <v>107112633794</v>
      </c>
      <c r="E5" s="17">
        <v>5880</v>
      </c>
      <c r="F5">
        <v>179000</v>
      </c>
      <c r="G5" s="5">
        <v>53918</v>
      </c>
      <c r="H5" s="5">
        <v>125082</v>
      </c>
      <c r="I5" t="s">
        <v>1635</v>
      </c>
      <c r="J5" s="17">
        <v>5880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36</v>
      </c>
      <c r="D6" s="9">
        <v>101128199843</v>
      </c>
      <c r="E6" s="17">
        <v>3200</v>
      </c>
      <c r="F6">
        <v>93677</v>
      </c>
      <c r="G6" s="5">
        <v>25600</v>
      </c>
      <c r="H6" s="5">
        <v>68077</v>
      </c>
      <c r="I6" t="s">
        <v>1635</v>
      </c>
      <c r="J6" s="17">
        <v>3200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377</v>
      </c>
      <c r="D7" s="9">
        <v>107112217965</v>
      </c>
      <c r="E7" s="17">
        <v>2200</v>
      </c>
      <c r="F7">
        <v>66000</v>
      </c>
      <c r="G7" s="5">
        <v>23600</v>
      </c>
      <c r="H7" s="5">
        <v>42400</v>
      </c>
      <c r="I7" t="s">
        <v>1635</v>
      </c>
      <c r="J7" s="17">
        <v>2200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757</v>
      </c>
      <c r="D8" s="9">
        <v>107112950619</v>
      </c>
      <c r="E8" s="17">
        <v>4980</v>
      </c>
      <c r="F8">
        <v>143403</v>
      </c>
      <c r="G8" s="5">
        <v>42340</v>
      </c>
      <c r="H8" s="5">
        <v>101063</v>
      </c>
      <c r="I8" t="s">
        <v>1635</v>
      </c>
      <c r="J8" s="17">
        <v>4980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171</v>
      </c>
      <c r="D9" s="9">
        <v>101129963777</v>
      </c>
      <c r="E9" s="17">
        <v>5635</v>
      </c>
      <c r="F9">
        <v>169978</v>
      </c>
      <c r="G9" s="5">
        <v>54931.67</v>
      </c>
      <c r="H9" s="5">
        <v>115046.33</v>
      </c>
      <c r="I9" t="s">
        <v>1635</v>
      </c>
      <c r="J9" s="17">
        <v>5635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151</v>
      </c>
      <c r="D10" s="9">
        <v>101129734313</v>
      </c>
      <c r="E10" s="17">
        <v>4352</v>
      </c>
      <c r="F10">
        <v>79477</v>
      </c>
      <c r="G10" s="5">
        <v>39446</v>
      </c>
      <c r="H10" s="5">
        <v>40031</v>
      </c>
      <c r="I10" t="s">
        <v>1635</v>
      </c>
      <c r="J10" s="17">
        <v>4352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560</v>
      </c>
      <c r="D11" s="9">
        <v>107112619000</v>
      </c>
      <c r="E11" s="17">
        <v>2000</v>
      </c>
      <c r="F11">
        <v>87000</v>
      </c>
      <c r="G11" s="5">
        <v>24300</v>
      </c>
      <c r="H11" s="5">
        <v>62700</v>
      </c>
      <c r="I11" t="s">
        <v>1635</v>
      </c>
      <c r="J11" s="17">
        <v>2000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419</v>
      </c>
      <c r="D12" s="9">
        <v>107112328931</v>
      </c>
      <c r="E12" s="17">
        <v>476</v>
      </c>
      <c r="F12">
        <v>8410</v>
      </c>
      <c r="G12" s="5">
        <v>5236</v>
      </c>
      <c r="H12" s="5">
        <v>3174</v>
      </c>
      <c r="I12" t="s">
        <v>1635</v>
      </c>
      <c r="J12" s="17">
        <v>476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814</v>
      </c>
      <c r="D13" s="9">
        <v>107113106536</v>
      </c>
      <c r="E13" s="17">
        <v>1520</v>
      </c>
      <c r="F13">
        <v>27939</v>
      </c>
      <c r="G13" s="5">
        <v>13680</v>
      </c>
      <c r="H13" s="5">
        <v>14259</v>
      </c>
      <c r="I13" t="s">
        <v>1635</v>
      </c>
      <c r="J13" s="17">
        <v>1520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296</v>
      </c>
      <c r="D14" s="9">
        <v>101131064033</v>
      </c>
      <c r="E14" s="17">
        <v>2970</v>
      </c>
      <c r="F14">
        <v>82153</v>
      </c>
      <c r="G14" s="5">
        <v>26730</v>
      </c>
      <c r="H14" s="5">
        <v>55423</v>
      </c>
      <c r="I14" t="s">
        <v>1635</v>
      </c>
      <c r="J14" s="17">
        <v>2970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582</v>
      </c>
      <c r="D15" s="9">
        <v>107112640722</v>
      </c>
      <c r="E15" s="17">
        <v>2236</v>
      </c>
      <c r="F15">
        <v>67000</v>
      </c>
      <c r="G15" s="5">
        <v>21328</v>
      </c>
      <c r="H15" s="5">
        <v>45672</v>
      </c>
      <c r="I15" t="s">
        <v>1635</v>
      </c>
      <c r="J15" s="17">
        <v>2236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771</v>
      </c>
      <c r="D16" s="9">
        <v>107112988971</v>
      </c>
      <c r="E16" s="17">
        <v>5325</v>
      </c>
      <c r="F16">
        <v>158407</v>
      </c>
      <c r="G16" s="5">
        <v>45600</v>
      </c>
      <c r="H16" s="5">
        <v>112807</v>
      </c>
      <c r="I16" t="s">
        <v>1635</v>
      </c>
      <c r="J16" s="17">
        <v>5325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163</v>
      </c>
      <c r="D17" s="9">
        <v>101129909458</v>
      </c>
      <c r="E17" s="17">
        <v>2964</v>
      </c>
      <c r="F17">
        <v>97065</v>
      </c>
      <c r="G17" s="5">
        <v>26198.67</v>
      </c>
      <c r="H17" s="5">
        <v>70866.33</v>
      </c>
      <c r="I17" t="s">
        <v>1635</v>
      </c>
      <c r="J17" s="17">
        <v>2964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788</v>
      </c>
      <c r="D18" s="9">
        <v>107113013923</v>
      </c>
      <c r="E18" s="17">
        <v>2940</v>
      </c>
      <c r="F18">
        <v>87928</v>
      </c>
      <c r="G18" s="5">
        <v>21510</v>
      </c>
      <c r="H18" s="5">
        <v>66418</v>
      </c>
      <c r="I18" t="s">
        <v>1635</v>
      </c>
      <c r="J18" s="17">
        <v>2940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137</v>
      </c>
      <c r="D19" s="9">
        <v>101129645009</v>
      </c>
      <c r="E19" s="17">
        <v>4664</v>
      </c>
      <c r="F19">
        <v>140559</v>
      </c>
      <c r="G19" s="5">
        <v>45496</v>
      </c>
      <c r="H19" s="5">
        <v>95063</v>
      </c>
      <c r="I19" t="s">
        <v>1635</v>
      </c>
      <c r="J19" s="17">
        <v>4664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649</v>
      </c>
      <c r="D20" s="9">
        <v>107112740368</v>
      </c>
      <c r="E20" s="17">
        <v>3672</v>
      </c>
      <c r="F20">
        <v>106000</v>
      </c>
      <c r="G20" s="5">
        <v>31636</v>
      </c>
      <c r="H20" s="5">
        <v>74364</v>
      </c>
      <c r="I20" t="s">
        <v>1635</v>
      </c>
      <c r="J20" s="17">
        <v>3672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485</v>
      </c>
      <c r="D21" s="9">
        <v>107112498413</v>
      </c>
      <c r="E21" s="17">
        <v>3135</v>
      </c>
      <c r="F21">
        <v>93980</v>
      </c>
      <c r="G21" s="5">
        <v>29480</v>
      </c>
      <c r="H21" s="5">
        <v>64500</v>
      </c>
      <c r="I21" t="s">
        <v>1635</v>
      </c>
      <c r="J21" s="17">
        <v>3135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548</v>
      </c>
      <c r="D22" s="9">
        <v>107112608464</v>
      </c>
      <c r="E22" s="17">
        <v>2632</v>
      </c>
      <c r="F22">
        <v>78025</v>
      </c>
      <c r="G22" s="5">
        <v>25618</v>
      </c>
      <c r="H22" s="5">
        <v>52407</v>
      </c>
      <c r="I22" t="s">
        <v>1635</v>
      </c>
      <c r="J22" s="17">
        <v>2632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778</v>
      </c>
      <c r="D23" s="9">
        <v>107113002705</v>
      </c>
      <c r="E23" s="17">
        <v>1014</v>
      </c>
      <c r="F23">
        <v>17949</v>
      </c>
      <c r="G23" s="5">
        <v>10140</v>
      </c>
      <c r="H23" s="5">
        <v>7809</v>
      </c>
      <c r="I23" t="s">
        <v>1635</v>
      </c>
      <c r="J23" s="17">
        <v>1014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794</v>
      </c>
      <c r="D24" s="9">
        <v>107113026035</v>
      </c>
      <c r="E24" s="17">
        <v>3024</v>
      </c>
      <c r="F24">
        <v>86288</v>
      </c>
      <c r="G24" s="5">
        <v>25972</v>
      </c>
      <c r="H24" s="5">
        <v>60316</v>
      </c>
      <c r="I24" t="s">
        <v>1635</v>
      </c>
      <c r="J24" s="17">
        <v>3024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143</v>
      </c>
      <c r="D25" s="9">
        <v>101129689132</v>
      </c>
      <c r="E25" s="17">
        <v>5704</v>
      </c>
      <c r="F25">
        <v>108000</v>
      </c>
      <c r="G25" s="5">
        <v>54712.67</v>
      </c>
      <c r="H25" s="5">
        <v>53287.33</v>
      </c>
      <c r="I25" t="s">
        <v>1635</v>
      </c>
      <c r="J25" s="17">
        <v>5704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46</v>
      </c>
      <c r="D26" s="9">
        <v>101128228767</v>
      </c>
      <c r="E26" s="17">
        <v>1334</v>
      </c>
      <c r="F26">
        <v>39593</v>
      </c>
      <c r="G26" s="5">
        <v>12006</v>
      </c>
      <c r="H26" s="5">
        <v>27587</v>
      </c>
      <c r="I26" t="s">
        <v>1635</v>
      </c>
      <c r="J26" s="17">
        <v>1334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195</v>
      </c>
      <c r="D27" s="9">
        <v>101130125068</v>
      </c>
      <c r="E27" s="17">
        <v>2340</v>
      </c>
      <c r="F27">
        <v>69800</v>
      </c>
      <c r="G27" s="5">
        <v>23400</v>
      </c>
      <c r="H27" s="5">
        <v>46400</v>
      </c>
      <c r="I27" t="s">
        <v>1635</v>
      </c>
      <c r="J27" s="17">
        <v>2340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256</v>
      </c>
      <c r="D28" s="9">
        <v>101130634868</v>
      </c>
      <c r="E28" s="17">
        <v>3375</v>
      </c>
      <c r="F28">
        <v>105000</v>
      </c>
      <c r="G28" s="5">
        <v>30375</v>
      </c>
      <c r="H28" s="5">
        <v>74625</v>
      </c>
      <c r="I28" t="s">
        <v>1635</v>
      </c>
      <c r="J28" s="17">
        <v>3375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115</v>
      </c>
      <c r="D29" s="9">
        <v>101129492083</v>
      </c>
      <c r="E29" s="17">
        <v>4335</v>
      </c>
      <c r="F29">
        <v>80000</v>
      </c>
      <c r="G29" s="5">
        <v>38080</v>
      </c>
      <c r="H29" s="5">
        <v>41920</v>
      </c>
      <c r="I29" t="s">
        <v>1635</v>
      </c>
      <c r="J29" s="17">
        <v>4335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106</v>
      </c>
      <c r="D30" s="9">
        <v>101129442765</v>
      </c>
      <c r="E30" s="17">
        <v>2926</v>
      </c>
      <c r="F30">
        <v>91996</v>
      </c>
      <c r="G30" s="5">
        <v>32186</v>
      </c>
      <c r="H30" s="5">
        <v>59810</v>
      </c>
      <c r="I30" t="s">
        <v>1635</v>
      </c>
      <c r="J30" s="17">
        <v>2926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818</v>
      </c>
      <c r="D31" s="9">
        <v>107113139038</v>
      </c>
      <c r="E31" s="17">
        <v>1189</v>
      </c>
      <c r="F31">
        <v>21735</v>
      </c>
      <c r="G31" s="5">
        <v>9947</v>
      </c>
      <c r="H31" s="5">
        <v>11788</v>
      </c>
      <c r="I31" t="s">
        <v>1635</v>
      </c>
      <c r="J31" s="17">
        <v>1189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87</v>
      </c>
      <c r="D32" s="9">
        <v>101129327544</v>
      </c>
      <c r="E32" s="17">
        <v>2464</v>
      </c>
      <c r="F32">
        <v>76000</v>
      </c>
      <c r="G32" s="5">
        <v>24640</v>
      </c>
      <c r="H32" s="5">
        <v>51360</v>
      </c>
      <c r="I32" t="s">
        <v>1635</v>
      </c>
      <c r="J32" s="17">
        <v>2464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541</v>
      </c>
      <c r="D33" s="9">
        <v>107112600219</v>
      </c>
      <c r="E33" s="17">
        <v>4290</v>
      </c>
      <c r="F33">
        <v>130000</v>
      </c>
      <c r="G33" s="5">
        <v>40810</v>
      </c>
      <c r="H33" s="5">
        <v>89190</v>
      </c>
      <c r="I33" t="s">
        <v>1635</v>
      </c>
      <c r="J33" s="17">
        <v>4290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598</v>
      </c>
      <c r="D34" s="9">
        <v>107112656077</v>
      </c>
      <c r="E34" s="17">
        <v>4650</v>
      </c>
      <c r="F34">
        <v>138500</v>
      </c>
      <c r="G34" s="5">
        <v>44430</v>
      </c>
      <c r="H34" s="5">
        <v>94070</v>
      </c>
      <c r="I34" t="s">
        <v>1635</v>
      </c>
      <c r="J34" s="17">
        <v>4650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824</v>
      </c>
      <c r="D35" s="9">
        <v>107113387330</v>
      </c>
      <c r="E35" s="17">
        <v>2596</v>
      </c>
      <c r="F35">
        <v>75265</v>
      </c>
      <c r="G35" s="5">
        <v>22578</v>
      </c>
      <c r="H35" s="5">
        <v>52687</v>
      </c>
      <c r="I35" t="s">
        <v>1635</v>
      </c>
      <c r="J35" s="17">
        <v>2596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586</v>
      </c>
      <c r="D36" s="9">
        <v>107112645406</v>
      </c>
      <c r="E36" s="17">
        <v>5280</v>
      </c>
      <c r="F36">
        <v>160380</v>
      </c>
      <c r="G36" s="5">
        <v>49920</v>
      </c>
      <c r="H36" s="5">
        <v>110460</v>
      </c>
      <c r="I36" t="s">
        <v>1635</v>
      </c>
      <c r="J36" s="17">
        <v>5280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439</v>
      </c>
      <c r="D37" s="9">
        <v>107112376144</v>
      </c>
      <c r="E37" s="17">
        <v>1330</v>
      </c>
      <c r="F37">
        <v>20000</v>
      </c>
      <c r="G37" s="5">
        <v>12160</v>
      </c>
      <c r="H37" s="5">
        <v>7840</v>
      </c>
      <c r="I37" t="s">
        <v>1635</v>
      </c>
      <c r="J37" s="17">
        <v>1330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48</v>
      </c>
      <c r="D38" s="9">
        <v>101128371669</v>
      </c>
      <c r="E38" s="17">
        <v>4625</v>
      </c>
      <c r="F38">
        <v>166113</v>
      </c>
      <c r="G38" s="5">
        <v>37000</v>
      </c>
      <c r="H38" s="5">
        <v>129113</v>
      </c>
      <c r="I38" t="s">
        <v>1635</v>
      </c>
      <c r="J38" s="17">
        <v>4625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682</v>
      </c>
      <c r="D39" s="9">
        <v>107112803295</v>
      </c>
      <c r="E39" s="17">
        <v>1339</v>
      </c>
      <c r="F39">
        <v>22342</v>
      </c>
      <c r="G39" s="5">
        <v>14729</v>
      </c>
      <c r="H39" s="5">
        <v>7613</v>
      </c>
      <c r="I39" t="s">
        <v>1635</v>
      </c>
      <c r="J39" s="17">
        <v>1339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358</v>
      </c>
      <c r="D40" s="9">
        <v>107112154444</v>
      </c>
      <c r="E40" s="17">
        <v>3360</v>
      </c>
      <c r="F40">
        <v>121800</v>
      </c>
      <c r="G40" s="5">
        <v>35200</v>
      </c>
      <c r="H40" s="5">
        <v>86600</v>
      </c>
      <c r="I40" t="s">
        <v>1635</v>
      </c>
      <c r="J40" s="17">
        <v>3360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491</v>
      </c>
      <c r="D41" s="9">
        <v>107112509729</v>
      </c>
      <c r="E41" s="17">
        <v>4361</v>
      </c>
      <c r="F41">
        <v>132000</v>
      </c>
      <c r="G41" s="5">
        <v>43154</v>
      </c>
      <c r="H41" s="5">
        <v>88846</v>
      </c>
      <c r="I41" t="s">
        <v>1635</v>
      </c>
      <c r="J41" s="17">
        <v>4361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651</v>
      </c>
      <c r="D42" s="9">
        <v>107112745462</v>
      </c>
      <c r="E42" s="17">
        <v>4875</v>
      </c>
      <c r="F42">
        <v>148000</v>
      </c>
      <c r="G42" s="5">
        <v>46475</v>
      </c>
      <c r="H42" s="5">
        <v>101525</v>
      </c>
      <c r="I42" t="s">
        <v>1635</v>
      </c>
      <c r="J42" s="17">
        <v>4875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731</v>
      </c>
      <c r="D43" s="9">
        <v>107112892665</v>
      </c>
      <c r="E43" s="17">
        <v>1750</v>
      </c>
      <c r="F43">
        <v>35714</v>
      </c>
      <c r="G43" s="5">
        <v>15750</v>
      </c>
      <c r="H43" s="5">
        <v>19964</v>
      </c>
      <c r="I43" t="s">
        <v>1635</v>
      </c>
      <c r="J43" s="17">
        <v>1750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573</v>
      </c>
      <c r="D44" s="9">
        <v>107112629770</v>
      </c>
      <c r="E44" s="17">
        <v>1380</v>
      </c>
      <c r="F44">
        <v>25912</v>
      </c>
      <c r="G44" s="5">
        <v>12420</v>
      </c>
      <c r="H44" s="5">
        <v>13492</v>
      </c>
      <c r="I44" t="s">
        <v>1635</v>
      </c>
      <c r="J44" s="17">
        <v>1380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119</v>
      </c>
      <c r="D45" s="9">
        <v>101129527798</v>
      </c>
      <c r="E45" s="17">
        <v>3280</v>
      </c>
      <c r="F45">
        <v>95000</v>
      </c>
      <c r="G45" s="5">
        <v>32800</v>
      </c>
      <c r="H45" s="5">
        <v>62200</v>
      </c>
      <c r="I45" t="s">
        <v>1635</v>
      </c>
      <c r="J45" s="17">
        <v>3280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737</v>
      </c>
      <c r="D46" s="9">
        <v>107112897565</v>
      </c>
      <c r="E46" s="17">
        <v>2562</v>
      </c>
      <c r="F46">
        <v>78544</v>
      </c>
      <c r="G46" s="5">
        <v>22612</v>
      </c>
      <c r="H46" s="5">
        <v>55932</v>
      </c>
      <c r="I46" t="s">
        <v>1635</v>
      </c>
      <c r="J46" s="17">
        <v>2562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723</v>
      </c>
      <c r="D47" s="9">
        <v>107112885798</v>
      </c>
      <c r="E47" s="17">
        <v>757.5</v>
      </c>
      <c r="F47">
        <v>100000</v>
      </c>
      <c r="G47" s="5">
        <v>27763.5</v>
      </c>
      <c r="H47" s="5">
        <v>72236.5</v>
      </c>
      <c r="I47" t="s">
        <v>1635</v>
      </c>
      <c r="J47" s="17">
        <v>757.5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667</v>
      </c>
      <c r="D48" s="9">
        <v>107112777756</v>
      </c>
      <c r="E48" s="17">
        <v>2886</v>
      </c>
      <c r="F48">
        <v>84279</v>
      </c>
      <c r="G48" s="5">
        <v>19111</v>
      </c>
      <c r="H48" s="5">
        <v>65168</v>
      </c>
      <c r="I48" t="s">
        <v>1635</v>
      </c>
      <c r="J48" s="17">
        <v>2886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213</v>
      </c>
      <c r="D49" s="9">
        <v>101130213157</v>
      </c>
      <c r="E49" s="17">
        <v>2940</v>
      </c>
      <c r="F49">
        <v>86200</v>
      </c>
      <c r="G49" s="5">
        <v>29400</v>
      </c>
      <c r="H49" s="5">
        <v>56800</v>
      </c>
      <c r="I49" t="s">
        <v>1635</v>
      </c>
      <c r="J49" s="17">
        <v>2940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707</v>
      </c>
      <c r="D50" s="9">
        <v>107112845911</v>
      </c>
      <c r="E50" s="17">
        <v>3354</v>
      </c>
      <c r="F50">
        <v>103822</v>
      </c>
      <c r="G50" s="5">
        <v>31906</v>
      </c>
      <c r="H50" s="5">
        <v>71916</v>
      </c>
      <c r="I50" t="s">
        <v>1635</v>
      </c>
      <c r="J50" s="17">
        <v>3354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229</v>
      </c>
      <c r="D51" s="9">
        <v>101130388201</v>
      </c>
      <c r="E51" s="17">
        <v>4200</v>
      </c>
      <c r="F51">
        <v>77000</v>
      </c>
      <c r="G51" s="5">
        <v>40100</v>
      </c>
      <c r="H51" s="5">
        <v>36900</v>
      </c>
      <c r="I51" t="s">
        <v>1635</v>
      </c>
      <c r="J51" s="17">
        <v>4200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539</v>
      </c>
      <c r="D52" s="9">
        <v>107112598350</v>
      </c>
      <c r="E52" s="17">
        <v>2745</v>
      </c>
      <c r="F52">
        <v>82476</v>
      </c>
      <c r="G52" s="5">
        <v>26505</v>
      </c>
      <c r="H52" s="5">
        <v>55971</v>
      </c>
      <c r="I52" t="s">
        <v>1635</v>
      </c>
      <c r="J52" s="17">
        <v>2745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431</v>
      </c>
      <c r="D53" s="9">
        <v>107112346319</v>
      </c>
      <c r="E53" s="17">
        <v>4400</v>
      </c>
      <c r="F53">
        <v>159619</v>
      </c>
      <c r="G53" s="5">
        <v>41600</v>
      </c>
      <c r="H53" s="5">
        <v>118019</v>
      </c>
      <c r="I53" t="s">
        <v>1635</v>
      </c>
      <c r="J53" s="17">
        <v>4400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429</v>
      </c>
      <c r="D54" s="9">
        <v>107112343424</v>
      </c>
      <c r="E54" s="17">
        <v>3060</v>
      </c>
      <c r="F54">
        <v>120000</v>
      </c>
      <c r="G54" s="5">
        <v>30524</v>
      </c>
      <c r="H54" s="5">
        <v>89476</v>
      </c>
      <c r="I54" t="s">
        <v>1635</v>
      </c>
      <c r="J54" s="17">
        <v>3060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579</v>
      </c>
      <c r="D55" s="9">
        <v>107112637443</v>
      </c>
      <c r="E55" s="17">
        <v>3240</v>
      </c>
      <c r="F55">
        <v>96000</v>
      </c>
      <c r="G55" s="5">
        <v>22680</v>
      </c>
      <c r="H55" s="5">
        <v>73320</v>
      </c>
      <c r="I55" t="s">
        <v>1635</v>
      </c>
      <c r="J55" s="17">
        <v>3240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677</v>
      </c>
      <c r="D56" s="9">
        <v>107112791347</v>
      </c>
      <c r="E56" s="17">
        <v>2576</v>
      </c>
      <c r="F56">
        <v>75768</v>
      </c>
      <c r="G56" s="5">
        <v>25074</v>
      </c>
      <c r="H56" s="5">
        <v>50694</v>
      </c>
      <c r="I56" t="s">
        <v>1635</v>
      </c>
      <c r="J56" s="17">
        <v>2576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493</v>
      </c>
      <c r="D57" s="9">
        <v>107112516665</v>
      </c>
      <c r="E57" s="17">
        <v>3538</v>
      </c>
      <c r="F57">
        <v>109196</v>
      </c>
      <c r="G57" s="5">
        <v>34162</v>
      </c>
      <c r="H57" s="5">
        <v>75034</v>
      </c>
      <c r="I57" t="s">
        <v>1635</v>
      </c>
      <c r="J57" s="17">
        <v>3538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173</v>
      </c>
      <c r="D58" s="9">
        <v>101129973517</v>
      </c>
      <c r="E58" s="17">
        <v>3024</v>
      </c>
      <c r="F58">
        <v>94861</v>
      </c>
      <c r="G58" s="5">
        <v>29036</v>
      </c>
      <c r="H58" s="5">
        <v>65825</v>
      </c>
      <c r="I58" t="s">
        <v>1635</v>
      </c>
      <c r="J58" s="17">
        <v>3024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282</v>
      </c>
      <c r="D59" s="9">
        <v>101130890220</v>
      </c>
      <c r="E59" s="17">
        <v>2432</v>
      </c>
      <c r="F59">
        <v>73000</v>
      </c>
      <c r="G59" s="5">
        <v>21888</v>
      </c>
      <c r="H59" s="5">
        <v>51112</v>
      </c>
      <c r="I59" t="s">
        <v>1635</v>
      </c>
      <c r="J59" s="17">
        <v>2432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165</v>
      </c>
      <c r="D60" s="9">
        <v>101129910830</v>
      </c>
      <c r="E60" s="17">
        <v>4235</v>
      </c>
      <c r="F60">
        <v>128998</v>
      </c>
      <c r="G60" s="5">
        <v>35988.33</v>
      </c>
      <c r="H60" s="5">
        <v>93009.67</v>
      </c>
      <c r="I60" t="s">
        <v>1635</v>
      </c>
      <c r="J60" s="17">
        <v>4235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268</v>
      </c>
      <c r="D61" s="9">
        <v>101130786900</v>
      </c>
      <c r="E61" s="17">
        <v>3990</v>
      </c>
      <c r="F61">
        <v>73000</v>
      </c>
      <c r="G61" s="5">
        <v>34603.33</v>
      </c>
      <c r="H61" s="5">
        <v>38396.67</v>
      </c>
      <c r="I61" t="s">
        <v>1635</v>
      </c>
      <c r="J61" s="17">
        <v>3990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615</v>
      </c>
      <c r="D62" s="9">
        <v>107112675513</v>
      </c>
      <c r="E62" s="17">
        <v>2250</v>
      </c>
      <c r="F62">
        <v>68787</v>
      </c>
      <c r="G62" s="5">
        <v>22050</v>
      </c>
      <c r="H62" s="5">
        <v>46737</v>
      </c>
      <c r="I62" t="s">
        <v>1635</v>
      </c>
      <c r="J62" s="17">
        <v>2250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286</v>
      </c>
      <c r="D63" s="9">
        <v>101130944629</v>
      </c>
      <c r="E63" s="17">
        <v>2835</v>
      </c>
      <c r="F63">
        <v>85900</v>
      </c>
      <c r="G63" s="5">
        <v>25515</v>
      </c>
      <c r="H63" s="5">
        <v>60385</v>
      </c>
      <c r="I63" t="s">
        <v>1635</v>
      </c>
      <c r="J63" s="17">
        <v>2835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346</v>
      </c>
      <c r="D64" s="9">
        <v>107112083148</v>
      </c>
      <c r="E64" s="17">
        <v>3420</v>
      </c>
      <c r="F64">
        <v>109415</v>
      </c>
      <c r="G64" s="5">
        <v>33080</v>
      </c>
      <c r="H64" s="5">
        <v>76335</v>
      </c>
      <c r="I64" t="s">
        <v>1635</v>
      </c>
      <c r="J64" s="17">
        <v>3420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157</v>
      </c>
      <c r="D65" s="9">
        <v>101129877070</v>
      </c>
      <c r="E65" s="17">
        <v>2970</v>
      </c>
      <c r="F65">
        <v>89244</v>
      </c>
      <c r="G65" s="5">
        <v>29700</v>
      </c>
      <c r="H65" s="5">
        <v>59544</v>
      </c>
      <c r="I65" t="s">
        <v>1635</v>
      </c>
      <c r="J65" s="17">
        <v>2970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556</v>
      </c>
      <c r="D66" s="9">
        <v>107112612966</v>
      </c>
      <c r="E66" s="17">
        <v>2000</v>
      </c>
      <c r="F66">
        <v>91016</v>
      </c>
      <c r="G66" s="5">
        <v>26400</v>
      </c>
      <c r="H66" s="5">
        <v>64616</v>
      </c>
      <c r="I66" t="s">
        <v>1635</v>
      </c>
      <c r="J66" s="17">
        <v>2000</v>
      </c>
      <c r="K66" t="s">
        <v>1635</v>
      </c>
      <c r="L66">
        <v>0</v>
      </c>
    </row>
    <row r="67" spans="1:12">
      <c r="A67">
        <v>1</v>
      </c>
      <c r="B67" t="s">
        <v>15</v>
      </c>
      <c r="C67" t="s">
        <v>433</v>
      </c>
      <c r="D67" s="9">
        <v>107112353366</v>
      </c>
      <c r="E67" s="17">
        <v>360</v>
      </c>
      <c r="F67">
        <v>76000</v>
      </c>
      <c r="G67" s="5">
        <v>29666</v>
      </c>
      <c r="H67" s="5">
        <v>46334</v>
      </c>
      <c r="I67" t="s">
        <v>1635</v>
      </c>
      <c r="J67" s="17">
        <v>360</v>
      </c>
      <c r="K67" t="s">
        <v>1635</v>
      </c>
      <c r="L67">
        <v>0</v>
      </c>
    </row>
    <row r="68" spans="1:12">
      <c r="A68">
        <v>1</v>
      </c>
      <c r="B68" t="s">
        <v>15</v>
      </c>
      <c r="C68" t="s">
        <v>71</v>
      </c>
      <c r="D68" s="9">
        <v>101129228935</v>
      </c>
      <c r="E68" s="17">
        <v>2100</v>
      </c>
      <c r="F68">
        <v>74625</v>
      </c>
      <c r="G68" s="5">
        <v>26162.5</v>
      </c>
      <c r="H68" s="5">
        <v>48462.5</v>
      </c>
      <c r="I68" t="s">
        <v>1635</v>
      </c>
      <c r="J68" s="17">
        <v>2100</v>
      </c>
      <c r="K68" t="s">
        <v>1635</v>
      </c>
      <c r="L68">
        <v>0</v>
      </c>
    </row>
    <row r="69" spans="1:12">
      <c r="A69">
        <v>1</v>
      </c>
      <c r="B69" t="s">
        <v>15</v>
      </c>
      <c r="C69" t="s">
        <v>765</v>
      </c>
      <c r="D69" s="9">
        <v>107112973302</v>
      </c>
      <c r="E69" s="17">
        <v>3960</v>
      </c>
      <c r="F69">
        <v>118145</v>
      </c>
      <c r="G69" s="5">
        <v>32934</v>
      </c>
      <c r="H69" s="5">
        <v>85211</v>
      </c>
      <c r="I69" t="s">
        <v>1635</v>
      </c>
      <c r="J69" s="17">
        <v>3960</v>
      </c>
      <c r="K69" t="s">
        <v>1635</v>
      </c>
      <c r="L69">
        <v>0</v>
      </c>
    </row>
    <row r="70" spans="1:12">
      <c r="A70">
        <v>1</v>
      </c>
      <c r="B70" t="s">
        <v>15</v>
      </c>
      <c r="C70" t="s">
        <v>796</v>
      </c>
      <c r="D70" s="9">
        <v>107113030753</v>
      </c>
      <c r="E70" s="17">
        <v>2808</v>
      </c>
      <c r="F70">
        <v>80000</v>
      </c>
      <c r="G70" s="5">
        <v>21836</v>
      </c>
      <c r="H70" s="5">
        <v>58164</v>
      </c>
      <c r="I70" t="s">
        <v>1635</v>
      </c>
      <c r="J70" s="17">
        <v>2808</v>
      </c>
      <c r="K70" t="s">
        <v>1635</v>
      </c>
      <c r="L70">
        <v>0</v>
      </c>
    </row>
    <row r="71" spans="1:12">
      <c r="A71">
        <v>1</v>
      </c>
      <c r="B71" t="s">
        <v>15</v>
      </c>
      <c r="C71" t="s">
        <v>640</v>
      </c>
      <c r="D71" s="9">
        <v>107112717053</v>
      </c>
      <c r="E71" s="17">
        <v>2520</v>
      </c>
      <c r="F71">
        <v>76300</v>
      </c>
      <c r="G71" s="5">
        <v>24480</v>
      </c>
      <c r="H71" s="5">
        <v>51820</v>
      </c>
      <c r="I71" t="s">
        <v>1635</v>
      </c>
      <c r="J71" s="17">
        <v>2520</v>
      </c>
      <c r="K71" t="s">
        <v>1635</v>
      </c>
      <c r="L71">
        <v>0</v>
      </c>
    </row>
    <row r="72" spans="1:12">
      <c r="A72">
        <v>1</v>
      </c>
      <c r="B72" t="s">
        <v>15</v>
      </c>
      <c r="C72" t="s">
        <v>201</v>
      </c>
      <c r="D72" s="9">
        <v>101130183387</v>
      </c>
      <c r="E72" s="17">
        <v>2814</v>
      </c>
      <c r="F72">
        <v>81975</v>
      </c>
      <c r="G72" s="5">
        <v>27882.67</v>
      </c>
      <c r="H72" s="5">
        <v>54092.33</v>
      </c>
      <c r="I72" t="s">
        <v>1635</v>
      </c>
      <c r="J72" s="17">
        <v>2814</v>
      </c>
      <c r="K72" t="s">
        <v>1635</v>
      </c>
      <c r="L72">
        <v>0</v>
      </c>
    </row>
    <row r="73" spans="1:12">
      <c r="A73">
        <v>1</v>
      </c>
      <c r="B73" t="s">
        <v>15</v>
      </c>
      <c r="C73" t="s">
        <v>665</v>
      </c>
      <c r="D73" s="9">
        <v>107112775650</v>
      </c>
      <c r="E73" s="17">
        <v>1749</v>
      </c>
      <c r="F73">
        <v>30538</v>
      </c>
      <c r="G73" s="5">
        <v>17886</v>
      </c>
      <c r="H73" s="5">
        <v>12652</v>
      </c>
      <c r="I73" t="s">
        <v>1635</v>
      </c>
      <c r="J73" s="17">
        <v>1749</v>
      </c>
      <c r="K73" t="s">
        <v>1635</v>
      </c>
      <c r="L73">
        <v>0</v>
      </c>
    </row>
    <row r="74" spans="1:12">
      <c r="A74">
        <v>1</v>
      </c>
      <c r="B74" t="s">
        <v>15</v>
      </c>
      <c r="C74" t="s">
        <v>244</v>
      </c>
      <c r="D74" s="9">
        <v>101130525509</v>
      </c>
      <c r="E74" s="17">
        <v>6952</v>
      </c>
      <c r="F74">
        <v>120000</v>
      </c>
      <c r="G74" s="5">
        <v>66238</v>
      </c>
      <c r="H74" s="5">
        <v>53762</v>
      </c>
      <c r="I74" t="s">
        <v>1635</v>
      </c>
      <c r="J74" s="17">
        <v>6952</v>
      </c>
      <c r="K74" t="s">
        <v>1635</v>
      </c>
      <c r="L74">
        <v>0</v>
      </c>
    </row>
    <row r="75" spans="1:12">
      <c r="A75">
        <v>1</v>
      </c>
      <c r="B75" t="s">
        <v>15</v>
      </c>
      <c r="C75" t="s">
        <v>187</v>
      </c>
      <c r="D75" s="9">
        <v>101130065851</v>
      </c>
      <c r="E75" s="17">
        <v>2263</v>
      </c>
      <c r="F75">
        <v>73000</v>
      </c>
      <c r="G75" s="5">
        <v>19895</v>
      </c>
      <c r="H75" s="5">
        <v>53105</v>
      </c>
      <c r="I75" t="s">
        <v>1635</v>
      </c>
      <c r="J75" s="17">
        <v>2263</v>
      </c>
      <c r="K75" t="s">
        <v>1635</v>
      </c>
      <c r="L75">
        <v>0</v>
      </c>
    </row>
    <row r="76" spans="1:12">
      <c r="A76">
        <v>1</v>
      </c>
      <c r="B76" t="s">
        <v>15</v>
      </c>
      <c r="C76" t="s">
        <v>457</v>
      </c>
      <c r="D76" s="9">
        <v>107112435822</v>
      </c>
      <c r="E76" s="17">
        <v>1763</v>
      </c>
      <c r="F76">
        <v>66238</v>
      </c>
      <c r="G76" s="5">
        <v>19170</v>
      </c>
      <c r="H76" s="5">
        <v>47068</v>
      </c>
      <c r="I76" t="s">
        <v>1635</v>
      </c>
      <c r="J76" s="17">
        <v>1763</v>
      </c>
      <c r="K76" t="s">
        <v>1635</v>
      </c>
      <c r="L76">
        <v>0</v>
      </c>
    </row>
    <row r="77" spans="1:12">
      <c r="A77">
        <v>1</v>
      </c>
      <c r="B77" t="s">
        <v>15</v>
      </c>
      <c r="C77" t="s">
        <v>503</v>
      </c>
      <c r="D77" s="9">
        <v>107112552514</v>
      </c>
      <c r="E77" s="17">
        <v>2912.7</v>
      </c>
      <c r="F77">
        <v>82911</v>
      </c>
      <c r="G77" s="5">
        <v>26214.300000000003</v>
      </c>
      <c r="H77" s="5">
        <v>56696.7</v>
      </c>
      <c r="I77" t="s">
        <v>1635</v>
      </c>
      <c r="J77" s="17">
        <v>2912.7</v>
      </c>
      <c r="K77" t="s">
        <v>1635</v>
      </c>
      <c r="L77">
        <v>0</v>
      </c>
    </row>
    <row r="78" spans="1:12">
      <c r="A78">
        <v>1</v>
      </c>
      <c r="B78" t="s">
        <v>15</v>
      </c>
      <c r="C78" t="s">
        <v>798</v>
      </c>
      <c r="D78" s="9">
        <v>107113036643</v>
      </c>
      <c r="E78" s="17">
        <v>2205</v>
      </c>
      <c r="F78">
        <v>36744</v>
      </c>
      <c r="G78" s="5">
        <v>19845</v>
      </c>
      <c r="H78" s="5">
        <v>16899</v>
      </c>
      <c r="I78" t="s">
        <v>1635</v>
      </c>
      <c r="J78" s="17">
        <v>2205</v>
      </c>
      <c r="K78" t="s">
        <v>1635</v>
      </c>
      <c r="L78">
        <v>0</v>
      </c>
    </row>
    <row r="79" spans="1:12">
      <c r="A79">
        <v>1</v>
      </c>
      <c r="B79" t="s">
        <v>15</v>
      </c>
      <c r="C79" t="s">
        <v>370</v>
      </c>
      <c r="D79" s="9">
        <v>107112198165</v>
      </c>
      <c r="E79" s="17">
        <v>2120</v>
      </c>
      <c r="F79">
        <v>77700</v>
      </c>
      <c r="G79" s="5">
        <v>25970</v>
      </c>
      <c r="H79" s="5">
        <v>51730</v>
      </c>
      <c r="I79" t="s">
        <v>1635</v>
      </c>
      <c r="J79" s="17">
        <v>2120</v>
      </c>
      <c r="K79" t="s">
        <v>1635</v>
      </c>
      <c r="L79">
        <v>0</v>
      </c>
    </row>
    <row r="80" spans="1:12">
      <c r="A80">
        <v>1</v>
      </c>
      <c r="B80" t="s">
        <v>15</v>
      </c>
      <c r="C80" t="s">
        <v>745</v>
      </c>
      <c r="D80" s="9">
        <v>107112914579</v>
      </c>
      <c r="E80" s="17">
        <v>2760</v>
      </c>
      <c r="F80">
        <v>83500</v>
      </c>
      <c r="G80" s="5">
        <v>20920</v>
      </c>
      <c r="H80" s="5">
        <v>62580</v>
      </c>
      <c r="I80" t="s">
        <v>1635</v>
      </c>
      <c r="J80" s="17">
        <v>2760</v>
      </c>
      <c r="K80" t="s">
        <v>1635</v>
      </c>
      <c r="L80">
        <v>0</v>
      </c>
    </row>
    <row r="81" spans="1:12">
      <c r="A81">
        <v>1</v>
      </c>
      <c r="B81" t="s">
        <v>15</v>
      </c>
      <c r="C81" t="s">
        <v>725</v>
      </c>
      <c r="D81" s="9">
        <v>107112885802</v>
      </c>
      <c r="E81" s="17">
        <v>3531</v>
      </c>
      <c r="F81">
        <v>100000</v>
      </c>
      <c r="G81" s="5">
        <v>26982</v>
      </c>
      <c r="H81" s="5">
        <v>73018</v>
      </c>
      <c r="I81" t="s">
        <v>1635</v>
      </c>
      <c r="J81" s="17">
        <v>3531</v>
      </c>
      <c r="K81" t="s">
        <v>1635</v>
      </c>
      <c r="L81">
        <v>0</v>
      </c>
    </row>
    <row r="82" spans="1:12">
      <c r="A82">
        <v>1</v>
      </c>
      <c r="B82" t="s">
        <v>15</v>
      </c>
      <c r="C82" t="s">
        <v>804</v>
      </c>
      <c r="D82" s="9">
        <v>107113054965</v>
      </c>
      <c r="E82" s="17">
        <v>2745</v>
      </c>
      <c r="F82">
        <v>88000</v>
      </c>
      <c r="G82" s="5">
        <v>21822</v>
      </c>
      <c r="H82" s="5">
        <v>66178</v>
      </c>
      <c r="I82" t="s">
        <v>1635</v>
      </c>
      <c r="J82" s="17">
        <v>2745</v>
      </c>
      <c r="K82" t="s">
        <v>1635</v>
      </c>
      <c r="L82">
        <v>0</v>
      </c>
    </row>
    <row r="83" spans="1:12">
      <c r="A83">
        <v>1</v>
      </c>
      <c r="B83" t="s">
        <v>15</v>
      </c>
      <c r="C83" t="s">
        <v>209</v>
      </c>
      <c r="D83" s="9">
        <v>101130204849</v>
      </c>
      <c r="E83" s="17">
        <v>5760</v>
      </c>
      <c r="F83">
        <v>187000</v>
      </c>
      <c r="G83" s="5">
        <v>51196.67</v>
      </c>
      <c r="H83" s="5">
        <v>135803.33000000002</v>
      </c>
      <c r="I83" t="s">
        <v>1635</v>
      </c>
      <c r="J83" s="17">
        <v>5760</v>
      </c>
      <c r="K83" t="s">
        <v>1635</v>
      </c>
      <c r="L83">
        <v>0</v>
      </c>
    </row>
    <row r="84" spans="1:12">
      <c r="A84">
        <v>1</v>
      </c>
      <c r="B84" t="s">
        <v>15</v>
      </c>
      <c r="C84" t="s">
        <v>459</v>
      </c>
      <c r="D84" s="9">
        <v>107112444178</v>
      </c>
      <c r="E84" s="17">
        <v>4018</v>
      </c>
      <c r="F84">
        <v>118888</v>
      </c>
      <c r="G84" s="5">
        <v>35524</v>
      </c>
      <c r="H84" s="5">
        <v>83364</v>
      </c>
      <c r="I84" t="s">
        <v>1635</v>
      </c>
      <c r="J84" s="17">
        <v>4018</v>
      </c>
      <c r="K84" t="s">
        <v>1635</v>
      </c>
      <c r="L84">
        <v>0</v>
      </c>
    </row>
    <row r="85" spans="1:12">
      <c r="A85">
        <v>1</v>
      </c>
      <c r="B85" t="s">
        <v>15</v>
      </c>
      <c r="C85" t="s">
        <v>719</v>
      </c>
      <c r="D85" s="9">
        <v>107112880391</v>
      </c>
      <c r="E85" s="17">
        <v>3800</v>
      </c>
      <c r="F85">
        <v>112151</v>
      </c>
      <c r="G85" s="5">
        <v>32450</v>
      </c>
      <c r="H85" s="5">
        <v>79701</v>
      </c>
      <c r="I85" t="s">
        <v>1635</v>
      </c>
      <c r="J85" s="17">
        <v>3800</v>
      </c>
      <c r="K85" t="s">
        <v>1635</v>
      </c>
      <c r="L85">
        <v>0</v>
      </c>
    </row>
    <row r="86" spans="1:12">
      <c r="A86">
        <v>1</v>
      </c>
      <c r="B86" t="s">
        <v>15</v>
      </c>
      <c r="C86" t="s">
        <v>373</v>
      </c>
      <c r="D86" s="9">
        <v>107112209353</v>
      </c>
      <c r="E86" s="17">
        <v>7370</v>
      </c>
      <c r="F86">
        <v>220995</v>
      </c>
      <c r="G86" s="5">
        <v>73700</v>
      </c>
      <c r="H86" s="5">
        <v>147295</v>
      </c>
      <c r="I86" t="s">
        <v>1635</v>
      </c>
      <c r="J86" s="17">
        <v>7370</v>
      </c>
      <c r="K86" t="s">
        <v>1635</v>
      </c>
      <c r="L86">
        <v>0</v>
      </c>
    </row>
    <row r="87" spans="1:12">
      <c r="A87">
        <v>1</v>
      </c>
      <c r="B87" t="s">
        <v>15</v>
      </c>
      <c r="C87" t="s">
        <v>477</v>
      </c>
      <c r="D87" s="9">
        <v>107112479350</v>
      </c>
      <c r="E87" s="17">
        <v>2880</v>
      </c>
      <c r="F87">
        <v>90000</v>
      </c>
      <c r="G87" s="5">
        <v>24860</v>
      </c>
      <c r="H87" s="5">
        <v>65140</v>
      </c>
      <c r="I87" t="s">
        <v>1635</v>
      </c>
      <c r="J87" s="17">
        <v>2880</v>
      </c>
      <c r="K87" t="s">
        <v>1635</v>
      </c>
      <c r="L87">
        <v>0</v>
      </c>
    </row>
    <row r="88" spans="1:12">
      <c r="A88">
        <v>1</v>
      </c>
      <c r="B88" t="s">
        <v>15</v>
      </c>
      <c r="C88" t="s">
        <v>348</v>
      </c>
      <c r="D88" s="9">
        <v>107112083163</v>
      </c>
      <c r="E88" s="17">
        <v>3120</v>
      </c>
      <c r="F88">
        <v>99693</v>
      </c>
      <c r="G88" s="5">
        <v>27110</v>
      </c>
      <c r="H88" s="5">
        <v>72583</v>
      </c>
      <c r="I88" t="s">
        <v>1635</v>
      </c>
      <c r="J88" s="17">
        <v>3120</v>
      </c>
      <c r="K88" t="s">
        <v>1635</v>
      </c>
      <c r="L88">
        <v>0</v>
      </c>
    </row>
    <row r="89" spans="1:12">
      <c r="A89">
        <v>1</v>
      </c>
      <c r="B89" t="s">
        <v>15</v>
      </c>
      <c r="C89" t="s">
        <v>51</v>
      </c>
      <c r="D89" s="9">
        <v>101128568095</v>
      </c>
      <c r="E89" s="17">
        <v>5035</v>
      </c>
      <c r="F89">
        <v>149000</v>
      </c>
      <c r="G89" s="5">
        <v>39045</v>
      </c>
      <c r="H89" s="5">
        <v>109955</v>
      </c>
      <c r="I89" t="s">
        <v>1635</v>
      </c>
      <c r="J89" s="17">
        <v>5035</v>
      </c>
      <c r="K89" t="s">
        <v>1635</v>
      </c>
      <c r="L89">
        <v>0</v>
      </c>
    </row>
    <row r="90" spans="1:12">
      <c r="A90">
        <v>1</v>
      </c>
      <c r="B90" t="s">
        <v>15</v>
      </c>
      <c r="C90" t="s">
        <v>314</v>
      </c>
      <c r="D90" s="9">
        <v>107111475675</v>
      </c>
      <c r="E90" s="17">
        <v>3498</v>
      </c>
      <c r="F90">
        <v>106791.67</v>
      </c>
      <c r="G90" s="5">
        <v>40125</v>
      </c>
      <c r="H90" s="5">
        <v>66666.67</v>
      </c>
      <c r="I90" t="s">
        <v>1635</v>
      </c>
      <c r="J90" s="17">
        <v>3498</v>
      </c>
      <c r="K90" t="s">
        <v>1635</v>
      </c>
      <c r="L90">
        <v>0</v>
      </c>
    </row>
    <row r="91" spans="1:12">
      <c r="A91">
        <v>1</v>
      </c>
      <c r="B91" t="s">
        <v>15</v>
      </c>
      <c r="C91" t="s">
        <v>231</v>
      </c>
      <c r="D91" s="9">
        <v>101130394701</v>
      </c>
      <c r="E91" s="17">
        <v>3920</v>
      </c>
      <c r="F91">
        <v>75800</v>
      </c>
      <c r="G91" s="5">
        <v>33843.33</v>
      </c>
      <c r="H91" s="5">
        <v>41956.67</v>
      </c>
      <c r="I91" t="s">
        <v>1635</v>
      </c>
      <c r="J91" s="17">
        <v>3920</v>
      </c>
      <c r="K91" t="s">
        <v>1635</v>
      </c>
      <c r="L91">
        <v>0</v>
      </c>
    </row>
    <row r="92" spans="1:12">
      <c r="A92">
        <v>1</v>
      </c>
      <c r="B92" t="s">
        <v>15</v>
      </c>
      <c r="C92" t="s">
        <v>749</v>
      </c>
      <c r="D92" s="9">
        <v>107112925365</v>
      </c>
      <c r="E92" s="17">
        <v>2760</v>
      </c>
      <c r="F92">
        <v>81657</v>
      </c>
      <c r="G92" s="5">
        <v>23970</v>
      </c>
      <c r="H92" s="5">
        <v>57687</v>
      </c>
      <c r="I92" t="s">
        <v>1635</v>
      </c>
      <c r="J92" s="17">
        <v>2760</v>
      </c>
      <c r="K92" t="s">
        <v>1635</v>
      </c>
      <c r="L92">
        <v>0</v>
      </c>
    </row>
    <row r="93" spans="1:12">
      <c r="A93">
        <v>1</v>
      </c>
      <c r="B93" t="s">
        <v>15</v>
      </c>
      <c r="C93" t="s">
        <v>743</v>
      </c>
      <c r="D93" s="9">
        <v>107112913803</v>
      </c>
      <c r="E93" s="17">
        <v>1575</v>
      </c>
      <c r="F93">
        <v>45000</v>
      </c>
      <c r="G93" s="5">
        <v>13935</v>
      </c>
      <c r="H93" s="5">
        <v>31065</v>
      </c>
      <c r="I93" t="s">
        <v>1635</v>
      </c>
      <c r="J93" s="17">
        <v>1575</v>
      </c>
      <c r="K93" t="s">
        <v>1635</v>
      </c>
      <c r="L93">
        <v>0</v>
      </c>
    </row>
    <row r="94" spans="1:12">
      <c r="A94">
        <v>1</v>
      </c>
      <c r="B94" t="s">
        <v>15</v>
      </c>
      <c r="C94" t="s">
        <v>403</v>
      </c>
      <c r="D94" s="9">
        <v>107112295553</v>
      </c>
      <c r="E94" s="17">
        <v>2600</v>
      </c>
      <c r="F94">
        <v>107000</v>
      </c>
      <c r="G94" s="5">
        <v>29510</v>
      </c>
      <c r="H94" s="5">
        <v>77490</v>
      </c>
      <c r="I94" t="s">
        <v>1635</v>
      </c>
      <c r="J94" s="17">
        <v>2600</v>
      </c>
      <c r="K94" t="s">
        <v>1635</v>
      </c>
      <c r="L94">
        <v>0</v>
      </c>
    </row>
    <row r="95" spans="1:12">
      <c r="A95">
        <v>1</v>
      </c>
      <c r="B95" t="s">
        <v>15</v>
      </c>
      <c r="C95" t="s">
        <v>42</v>
      </c>
      <c r="D95" s="9">
        <v>101128209038</v>
      </c>
      <c r="E95" s="17">
        <v>2000</v>
      </c>
      <c r="F95">
        <v>55000</v>
      </c>
      <c r="G95" s="5">
        <v>20000</v>
      </c>
      <c r="H95" s="5">
        <v>35000</v>
      </c>
      <c r="I95" t="s">
        <v>1635</v>
      </c>
      <c r="J95" s="17">
        <v>2000</v>
      </c>
      <c r="K95" t="s">
        <v>1635</v>
      </c>
      <c r="L95">
        <v>0</v>
      </c>
    </row>
    <row r="96" spans="1:12">
      <c r="A96">
        <v>1</v>
      </c>
      <c r="B96" t="s">
        <v>15</v>
      </c>
      <c r="C96" t="s">
        <v>617</v>
      </c>
      <c r="D96" s="9">
        <v>107112677870</v>
      </c>
      <c r="E96" s="17">
        <v>2470</v>
      </c>
      <c r="F96">
        <v>73000</v>
      </c>
      <c r="G96" s="5">
        <v>22230</v>
      </c>
      <c r="H96" s="5">
        <v>50770</v>
      </c>
      <c r="I96" t="s">
        <v>1635</v>
      </c>
      <c r="J96" s="17">
        <v>2470</v>
      </c>
      <c r="K96" t="s">
        <v>1635</v>
      </c>
      <c r="L96">
        <v>0</v>
      </c>
    </row>
    <row r="97" spans="1:12">
      <c r="A97">
        <v>1</v>
      </c>
      <c r="B97" t="s">
        <v>15</v>
      </c>
      <c r="C97" t="s">
        <v>185</v>
      </c>
      <c r="D97" s="9">
        <v>101130063714</v>
      </c>
      <c r="E97" s="17">
        <v>5616</v>
      </c>
      <c r="F97">
        <v>106000</v>
      </c>
      <c r="G97" s="5">
        <v>55074</v>
      </c>
      <c r="H97" s="5">
        <v>50926</v>
      </c>
      <c r="I97" t="s">
        <v>1635</v>
      </c>
      <c r="J97" s="17">
        <v>5616</v>
      </c>
      <c r="K97" t="s">
        <v>1635</v>
      </c>
      <c r="L97">
        <v>0</v>
      </c>
    </row>
    <row r="98" spans="1:12">
      <c r="A98">
        <v>1</v>
      </c>
      <c r="B98" t="s">
        <v>15</v>
      </c>
      <c r="C98" t="s">
        <v>338</v>
      </c>
      <c r="D98" s="9">
        <v>107111993609</v>
      </c>
      <c r="E98" s="17">
        <v>3060</v>
      </c>
      <c r="F98">
        <v>92000</v>
      </c>
      <c r="G98" s="5">
        <v>29740</v>
      </c>
      <c r="H98" s="5">
        <v>62260</v>
      </c>
      <c r="I98" t="s">
        <v>1635</v>
      </c>
      <c r="J98" s="17">
        <v>3060</v>
      </c>
      <c r="K98" t="s">
        <v>1635</v>
      </c>
      <c r="L98">
        <v>0</v>
      </c>
    </row>
    <row r="99" spans="1:12">
      <c r="A99">
        <v>1</v>
      </c>
      <c r="B99" t="s">
        <v>15</v>
      </c>
      <c r="C99" t="s">
        <v>356</v>
      </c>
      <c r="D99" s="9">
        <v>107112136965</v>
      </c>
      <c r="E99" s="17">
        <v>1920</v>
      </c>
      <c r="F99">
        <v>126800</v>
      </c>
      <c r="G99" s="5">
        <v>43580</v>
      </c>
      <c r="H99" s="5">
        <v>83220</v>
      </c>
      <c r="I99" t="s">
        <v>1635</v>
      </c>
      <c r="J99" s="17">
        <v>1920</v>
      </c>
      <c r="K99" t="s">
        <v>1635</v>
      </c>
      <c r="L99">
        <v>0</v>
      </c>
    </row>
    <row r="100" spans="1:12">
      <c r="A100">
        <v>1</v>
      </c>
      <c r="B100" t="s">
        <v>15</v>
      </c>
      <c r="C100" t="s">
        <v>387</v>
      </c>
      <c r="D100" s="9">
        <v>107112250944</v>
      </c>
      <c r="E100" s="17">
        <v>2204</v>
      </c>
      <c r="F100">
        <v>78213</v>
      </c>
      <c r="G100" s="5">
        <v>24098</v>
      </c>
      <c r="H100" s="5">
        <v>54115</v>
      </c>
      <c r="I100" t="s">
        <v>1635</v>
      </c>
      <c r="J100" s="17">
        <v>2204</v>
      </c>
      <c r="K100" t="s">
        <v>1635</v>
      </c>
      <c r="L100">
        <v>0</v>
      </c>
    </row>
    <row r="101" spans="1:12">
      <c r="A101">
        <v>1</v>
      </c>
      <c r="B101" t="s">
        <v>15</v>
      </c>
      <c r="C101" t="s">
        <v>507</v>
      </c>
      <c r="D101" s="9">
        <v>107112553051</v>
      </c>
      <c r="E101" s="17">
        <v>3480</v>
      </c>
      <c r="F101">
        <v>105075</v>
      </c>
      <c r="G101" s="5">
        <v>32920</v>
      </c>
      <c r="H101" s="5">
        <v>72155</v>
      </c>
      <c r="I101" t="s">
        <v>1635</v>
      </c>
      <c r="J101" s="17">
        <v>3480</v>
      </c>
      <c r="K101" t="s">
        <v>1635</v>
      </c>
      <c r="L101">
        <v>0</v>
      </c>
    </row>
    <row r="102" spans="1:12">
      <c r="A102">
        <v>1</v>
      </c>
      <c r="B102" t="s">
        <v>15</v>
      </c>
      <c r="C102" t="s">
        <v>443</v>
      </c>
      <c r="D102" s="9">
        <v>107112384912</v>
      </c>
      <c r="E102" s="17">
        <v>2914</v>
      </c>
      <c r="F102">
        <v>84000</v>
      </c>
      <c r="G102" s="5">
        <v>28206</v>
      </c>
      <c r="H102" s="5">
        <v>55794</v>
      </c>
      <c r="I102" t="s">
        <v>1635</v>
      </c>
      <c r="J102" s="17">
        <v>2914</v>
      </c>
      <c r="K102" t="s">
        <v>1635</v>
      </c>
      <c r="L102">
        <v>0</v>
      </c>
    </row>
    <row r="103" spans="1:12">
      <c r="A103">
        <v>1</v>
      </c>
      <c r="B103" t="s">
        <v>15</v>
      </c>
      <c r="C103" t="s">
        <v>141</v>
      </c>
      <c r="D103" s="9">
        <v>101129685066</v>
      </c>
      <c r="E103" s="17">
        <v>5382</v>
      </c>
      <c r="F103">
        <v>98888</v>
      </c>
      <c r="G103" s="5">
        <v>51298</v>
      </c>
      <c r="H103" s="5">
        <v>47590</v>
      </c>
      <c r="I103" t="s">
        <v>1635</v>
      </c>
      <c r="J103" s="17">
        <v>5382</v>
      </c>
      <c r="K103" t="s">
        <v>1635</v>
      </c>
      <c r="L103">
        <v>0</v>
      </c>
    </row>
    <row r="104" spans="1:12">
      <c r="A104">
        <v>1</v>
      </c>
      <c r="B104" t="s">
        <v>15</v>
      </c>
      <c r="C104" t="s">
        <v>205</v>
      </c>
      <c r="D104" s="9">
        <v>101130189018</v>
      </c>
      <c r="E104" s="17">
        <v>5805</v>
      </c>
      <c r="F104">
        <v>172980</v>
      </c>
      <c r="G104" s="5">
        <v>50640</v>
      </c>
      <c r="H104" s="5">
        <v>122340</v>
      </c>
      <c r="I104" t="s">
        <v>1635</v>
      </c>
      <c r="J104" s="17">
        <v>5805</v>
      </c>
      <c r="K104" t="s">
        <v>1635</v>
      </c>
      <c r="L104">
        <v>0</v>
      </c>
    </row>
    <row r="105" spans="1:12">
      <c r="A105">
        <v>1</v>
      </c>
      <c r="B105" t="s">
        <v>15</v>
      </c>
      <c r="C105" t="s">
        <v>495</v>
      </c>
      <c r="D105" s="9">
        <v>107112524298</v>
      </c>
      <c r="E105" s="17">
        <v>1386</v>
      </c>
      <c r="F105">
        <v>24963</v>
      </c>
      <c r="G105" s="5">
        <v>13713</v>
      </c>
      <c r="H105" s="5">
        <v>11250</v>
      </c>
      <c r="I105" t="s">
        <v>1635</v>
      </c>
      <c r="J105" s="17">
        <v>1386</v>
      </c>
      <c r="K105" t="s">
        <v>1635</v>
      </c>
      <c r="L105">
        <v>0</v>
      </c>
    </row>
    <row r="106" spans="1:12">
      <c r="A106">
        <v>1</v>
      </c>
      <c r="B106" t="s">
        <v>15</v>
      </c>
      <c r="C106" t="s">
        <v>607</v>
      </c>
      <c r="D106" s="9">
        <v>107112664181</v>
      </c>
      <c r="E106" s="17">
        <v>3024</v>
      </c>
      <c r="F106">
        <v>97745</v>
      </c>
      <c r="G106" s="5">
        <v>26422</v>
      </c>
      <c r="H106" s="5">
        <v>71323</v>
      </c>
      <c r="I106" t="s">
        <v>1635</v>
      </c>
      <c r="J106" s="17">
        <v>3024</v>
      </c>
      <c r="K106" t="s">
        <v>1635</v>
      </c>
      <c r="L106">
        <v>0</v>
      </c>
    </row>
    <row r="107" spans="1:12">
      <c r="A107">
        <v>1</v>
      </c>
      <c r="B107" t="s">
        <v>15</v>
      </c>
      <c r="C107" t="s">
        <v>246</v>
      </c>
      <c r="D107" s="9">
        <v>101130532169</v>
      </c>
      <c r="E107" s="17">
        <v>2756</v>
      </c>
      <c r="F107">
        <v>83985</v>
      </c>
      <c r="G107" s="5">
        <v>23954.67</v>
      </c>
      <c r="H107" s="5">
        <v>60030.33</v>
      </c>
      <c r="I107" t="s">
        <v>1635</v>
      </c>
      <c r="J107" s="17">
        <v>2756</v>
      </c>
      <c r="K107" t="s">
        <v>1635</v>
      </c>
      <c r="L107">
        <v>0</v>
      </c>
    </row>
    <row r="108" spans="1:12">
      <c r="A108">
        <v>1</v>
      </c>
      <c r="B108" t="s">
        <v>15</v>
      </c>
      <c r="C108" t="s">
        <v>139</v>
      </c>
      <c r="D108" s="9">
        <v>101129684632</v>
      </c>
      <c r="E108" s="17">
        <v>5382</v>
      </c>
      <c r="F108">
        <v>98888</v>
      </c>
      <c r="G108" s="5">
        <v>51298</v>
      </c>
      <c r="H108" s="5">
        <v>47590</v>
      </c>
      <c r="I108" t="s">
        <v>1635</v>
      </c>
      <c r="J108" s="17">
        <v>5382</v>
      </c>
      <c r="K108" t="s">
        <v>1635</v>
      </c>
      <c r="L108">
        <v>0</v>
      </c>
    </row>
    <row r="109" spans="1:12">
      <c r="A109">
        <v>1</v>
      </c>
      <c r="B109" t="s">
        <v>15</v>
      </c>
      <c r="C109" t="s">
        <v>792</v>
      </c>
      <c r="D109" s="9">
        <v>107113022670</v>
      </c>
      <c r="E109" s="17">
        <v>4620</v>
      </c>
      <c r="F109">
        <v>137000</v>
      </c>
      <c r="G109" s="5">
        <v>35140</v>
      </c>
      <c r="H109" s="5">
        <v>101860</v>
      </c>
      <c r="I109" t="s">
        <v>1635</v>
      </c>
      <c r="J109" s="17">
        <v>4620</v>
      </c>
      <c r="K109" t="s">
        <v>1635</v>
      </c>
      <c r="L109">
        <v>0</v>
      </c>
    </row>
    <row r="110" spans="1:12">
      <c r="A110">
        <v>1</v>
      </c>
      <c r="B110" t="s">
        <v>15</v>
      </c>
      <c r="C110" t="s">
        <v>698</v>
      </c>
      <c r="D110" s="9">
        <v>107112827297</v>
      </c>
      <c r="E110" s="17">
        <v>4380</v>
      </c>
      <c r="F110">
        <v>129825</v>
      </c>
      <c r="G110" s="5">
        <v>37440</v>
      </c>
      <c r="H110" s="5">
        <v>92385</v>
      </c>
      <c r="I110" t="s">
        <v>1635</v>
      </c>
      <c r="J110" s="17">
        <v>4380</v>
      </c>
      <c r="K110" t="s">
        <v>1635</v>
      </c>
      <c r="L110">
        <v>0</v>
      </c>
    </row>
    <row r="111" spans="1:12">
      <c r="A111">
        <v>1</v>
      </c>
      <c r="B111" t="s">
        <v>15</v>
      </c>
      <c r="C111" t="s">
        <v>527</v>
      </c>
      <c r="D111" s="9">
        <v>107112587852</v>
      </c>
      <c r="E111" s="17">
        <v>4575</v>
      </c>
      <c r="F111">
        <v>135731</v>
      </c>
      <c r="G111" s="5">
        <v>44225</v>
      </c>
      <c r="H111" s="5">
        <v>91506</v>
      </c>
      <c r="I111" t="s">
        <v>1635</v>
      </c>
      <c r="J111" s="17">
        <v>4575</v>
      </c>
      <c r="K111" t="s">
        <v>1635</v>
      </c>
      <c r="L111">
        <v>0</v>
      </c>
    </row>
    <row r="112" spans="1:12">
      <c r="A112">
        <v>1</v>
      </c>
      <c r="B112" t="s">
        <v>15</v>
      </c>
      <c r="C112" t="s">
        <v>735</v>
      </c>
      <c r="D112" s="9">
        <v>107112893630</v>
      </c>
      <c r="E112" s="17">
        <v>3465</v>
      </c>
      <c r="F112">
        <v>100000</v>
      </c>
      <c r="G112" s="5">
        <v>29945</v>
      </c>
      <c r="H112" s="5">
        <v>70055</v>
      </c>
      <c r="I112" t="s">
        <v>1635</v>
      </c>
      <c r="J112" s="17">
        <v>3465</v>
      </c>
      <c r="K112" t="s">
        <v>1635</v>
      </c>
      <c r="L112">
        <v>0</v>
      </c>
    </row>
    <row r="113" spans="1:12">
      <c r="A113">
        <v>1</v>
      </c>
      <c r="B113" t="s">
        <v>15</v>
      </c>
      <c r="C113" t="s">
        <v>700</v>
      </c>
      <c r="D113" s="9">
        <v>107112828521</v>
      </c>
      <c r="E113" s="17">
        <v>3870</v>
      </c>
      <c r="F113">
        <v>115000</v>
      </c>
      <c r="G113" s="5">
        <v>32760</v>
      </c>
      <c r="H113" s="5">
        <v>82240</v>
      </c>
      <c r="I113" t="s">
        <v>1635</v>
      </c>
      <c r="J113" s="17">
        <v>3870</v>
      </c>
      <c r="K113" t="s">
        <v>1635</v>
      </c>
      <c r="L113">
        <v>0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9A18-DCAF-8C48-BBF2-E8F3F65718F9}">
  <dimension ref="A1:L66"/>
  <sheetViews>
    <sheetView workbookViewId="0">
      <selection activeCell="G44" sqref="G44"/>
    </sheetView>
  </sheetViews>
  <sheetFormatPr baseColWidth="10" defaultRowHeight="14"/>
  <cols>
    <col min="3" max="3" width="15" bestFit="1" customWidth="1"/>
    <col min="4" max="4" width="15.33203125" bestFit="1" customWidth="1"/>
    <col min="5" max="6" width="17.1640625" bestFit="1" customWidth="1"/>
    <col min="7" max="8" width="15" bestFit="1" customWidth="1"/>
  </cols>
  <sheetData>
    <row r="1" spans="1:12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</row>
    <row r="2" spans="1:12">
      <c r="A2">
        <v>1</v>
      </c>
      <c r="B2" t="s">
        <v>15</v>
      </c>
      <c r="C2" t="s">
        <v>497</v>
      </c>
      <c r="D2" s="9">
        <v>107112529588</v>
      </c>
      <c r="E2" s="17">
        <v>1679</v>
      </c>
      <c r="F2">
        <v>30363</v>
      </c>
      <c r="G2" s="5">
        <v>18469</v>
      </c>
      <c r="H2" s="5">
        <v>11894</v>
      </c>
      <c r="I2" t="s">
        <v>1635</v>
      </c>
      <c r="J2" s="17">
        <v>1679</v>
      </c>
      <c r="K2" t="s">
        <v>1635</v>
      </c>
      <c r="L2">
        <v>0</v>
      </c>
    </row>
    <row r="3" spans="1:12">
      <c r="A3">
        <v>1</v>
      </c>
      <c r="B3" t="s">
        <v>15</v>
      </c>
      <c r="C3" t="s">
        <v>681</v>
      </c>
      <c r="D3" s="9">
        <v>107112798785</v>
      </c>
      <c r="E3" s="17">
        <v>2496</v>
      </c>
      <c r="F3">
        <v>75452</v>
      </c>
      <c r="G3" s="5">
        <v>24384</v>
      </c>
      <c r="H3" s="5">
        <v>51068</v>
      </c>
      <c r="I3" t="s">
        <v>1635</v>
      </c>
      <c r="J3" s="17">
        <v>2496</v>
      </c>
      <c r="K3" t="s">
        <v>1635</v>
      </c>
      <c r="L3">
        <v>0</v>
      </c>
    </row>
    <row r="4" spans="1:12">
      <c r="A4">
        <v>1</v>
      </c>
      <c r="B4" t="s">
        <v>15</v>
      </c>
      <c r="C4" t="s">
        <v>739</v>
      </c>
      <c r="D4" s="9">
        <v>107112901979</v>
      </c>
      <c r="E4" s="17">
        <v>2620</v>
      </c>
      <c r="F4">
        <v>149690</v>
      </c>
      <c r="G4" s="5">
        <v>38341</v>
      </c>
      <c r="H4" s="5">
        <v>111349</v>
      </c>
      <c r="I4" t="s">
        <v>1635</v>
      </c>
      <c r="J4" s="17">
        <v>2620</v>
      </c>
      <c r="K4" t="s">
        <v>1635</v>
      </c>
      <c r="L4">
        <v>0</v>
      </c>
    </row>
    <row r="5" spans="1:12">
      <c r="A5">
        <v>1</v>
      </c>
      <c r="B5" t="s">
        <v>15</v>
      </c>
      <c r="C5" t="s">
        <v>191</v>
      </c>
      <c r="D5" s="9">
        <v>101130107192</v>
      </c>
      <c r="E5" s="17">
        <v>3933</v>
      </c>
      <c r="F5">
        <v>74625</v>
      </c>
      <c r="G5" s="5">
        <v>43263</v>
      </c>
      <c r="H5" s="5">
        <v>31362</v>
      </c>
      <c r="I5" t="s">
        <v>1635</v>
      </c>
      <c r="J5" s="17">
        <v>3933</v>
      </c>
      <c r="K5" t="s">
        <v>1635</v>
      </c>
      <c r="L5">
        <v>0</v>
      </c>
    </row>
    <row r="6" spans="1:12">
      <c r="A6">
        <v>1</v>
      </c>
      <c r="B6" t="s">
        <v>15</v>
      </c>
      <c r="C6" t="s">
        <v>780</v>
      </c>
      <c r="D6" s="9">
        <v>107113004258</v>
      </c>
      <c r="E6" s="17">
        <v>4500</v>
      </c>
      <c r="F6">
        <v>106935</v>
      </c>
      <c r="G6" s="5">
        <v>42600</v>
      </c>
      <c r="H6" s="5">
        <v>64335</v>
      </c>
      <c r="I6" t="s">
        <v>1635</v>
      </c>
      <c r="J6" s="17">
        <v>4500</v>
      </c>
      <c r="K6" t="s">
        <v>1635</v>
      </c>
      <c r="L6">
        <v>0</v>
      </c>
    </row>
    <row r="7" spans="1:12">
      <c r="A7">
        <v>1</v>
      </c>
      <c r="B7" t="s">
        <v>15</v>
      </c>
      <c r="C7" t="s">
        <v>193</v>
      </c>
      <c r="D7" s="9">
        <v>101130115346</v>
      </c>
      <c r="E7" s="17">
        <v>4725</v>
      </c>
      <c r="F7">
        <v>88848</v>
      </c>
      <c r="G7" s="5">
        <v>49560</v>
      </c>
      <c r="H7" s="5">
        <v>39288</v>
      </c>
      <c r="I7" t="s">
        <v>1635</v>
      </c>
      <c r="J7" s="17">
        <v>4725</v>
      </c>
      <c r="K7" t="s">
        <v>1635</v>
      </c>
      <c r="L7">
        <v>0</v>
      </c>
    </row>
    <row r="8" spans="1:12">
      <c r="A8">
        <v>1</v>
      </c>
      <c r="B8" t="s">
        <v>15</v>
      </c>
      <c r="C8" t="s">
        <v>622</v>
      </c>
      <c r="D8" s="9">
        <v>107112697786</v>
      </c>
      <c r="E8" s="17">
        <v>2784</v>
      </c>
      <c r="F8">
        <v>89000</v>
      </c>
      <c r="G8" s="5">
        <v>22240</v>
      </c>
      <c r="H8" s="5">
        <v>66760</v>
      </c>
      <c r="I8" t="s">
        <v>1635</v>
      </c>
      <c r="J8" s="17">
        <v>2784</v>
      </c>
      <c r="K8" t="s">
        <v>1635</v>
      </c>
      <c r="L8">
        <v>0</v>
      </c>
    </row>
    <row r="9" spans="1:12">
      <c r="A9">
        <v>1</v>
      </c>
      <c r="B9" t="s">
        <v>15</v>
      </c>
      <c r="C9" t="s">
        <v>606</v>
      </c>
      <c r="D9" s="9">
        <v>107112663876</v>
      </c>
      <c r="E9" s="17">
        <v>1140</v>
      </c>
      <c r="F9">
        <v>19087</v>
      </c>
      <c r="G9" s="5">
        <v>11940</v>
      </c>
      <c r="H9" s="5">
        <v>7147</v>
      </c>
      <c r="I9" t="s">
        <v>1635</v>
      </c>
      <c r="J9" s="17">
        <v>1140</v>
      </c>
      <c r="K9" t="s">
        <v>1635</v>
      </c>
      <c r="L9">
        <v>0</v>
      </c>
    </row>
    <row r="10" spans="1:12">
      <c r="A10">
        <v>1</v>
      </c>
      <c r="B10" t="s">
        <v>15</v>
      </c>
      <c r="C10" t="s">
        <v>469</v>
      </c>
      <c r="D10" s="9">
        <v>107112464864</v>
      </c>
      <c r="E10" s="17">
        <v>2736</v>
      </c>
      <c r="F10">
        <v>89000</v>
      </c>
      <c r="G10" s="5">
        <v>19914</v>
      </c>
      <c r="H10" s="5">
        <v>69086</v>
      </c>
      <c r="I10" t="s">
        <v>1635</v>
      </c>
      <c r="J10" s="17">
        <v>2736</v>
      </c>
      <c r="K10" t="s">
        <v>1635</v>
      </c>
      <c r="L10">
        <v>0</v>
      </c>
    </row>
    <row r="11" spans="1:12">
      <c r="A11">
        <v>1</v>
      </c>
      <c r="B11" t="s">
        <v>15</v>
      </c>
      <c r="C11" t="s">
        <v>145</v>
      </c>
      <c r="D11" s="9">
        <v>101129692832</v>
      </c>
      <c r="E11" s="17">
        <v>2184</v>
      </c>
      <c r="F11">
        <v>78000</v>
      </c>
      <c r="G11" s="5">
        <v>24609.200000000001</v>
      </c>
      <c r="H11" s="5">
        <v>53390.8</v>
      </c>
      <c r="I11" t="s">
        <v>1635</v>
      </c>
      <c r="J11" s="17">
        <v>2184</v>
      </c>
      <c r="K11" t="s">
        <v>1635</v>
      </c>
      <c r="L11">
        <v>0</v>
      </c>
    </row>
    <row r="12" spans="1:12">
      <c r="A12">
        <v>1</v>
      </c>
      <c r="B12" t="s">
        <v>15</v>
      </c>
      <c r="C12" t="s">
        <v>83</v>
      </c>
      <c r="D12" s="9">
        <v>101129319780</v>
      </c>
      <c r="E12" s="17">
        <v>2970</v>
      </c>
      <c r="F12">
        <v>92789</v>
      </c>
      <c r="G12" s="5">
        <v>32670</v>
      </c>
      <c r="H12" s="5">
        <v>60119</v>
      </c>
      <c r="I12" t="s">
        <v>1635</v>
      </c>
      <c r="J12" s="17">
        <v>2970</v>
      </c>
      <c r="K12" t="s">
        <v>1635</v>
      </c>
      <c r="L12">
        <v>0</v>
      </c>
    </row>
    <row r="13" spans="1:12">
      <c r="A13">
        <v>1</v>
      </c>
      <c r="B13" t="s">
        <v>15</v>
      </c>
      <c r="C13" t="s">
        <v>302</v>
      </c>
      <c r="D13" s="9">
        <v>101131216709</v>
      </c>
      <c r="E13" s="17">
        <v>2850</v>
      </c>
      <c r="F13">
        <v>84946</v>
      </c>
      <c r="G13" s="5">
        <v>28400</v>
      </c>
      <c r="H13" s="5">
        <v>56546</v>
      </c>
      <c r="I13" t="s">
        <v>1635</v>
      </c>
      <c r="J13" s="17">
        <v>2850</v>
      </c>
      <c r="K13" t="s">
        <v>1635</v>
      </c>
      <c r="L13">
        <v>0</v>
      </c>
    </row>
    <row r="14" spans="1:12">
      <c r="A14">
        <v>1</v>
      </c>
      <c r="B14" t="s">
        <v>15</v>
      </c>
      <c r="C14" t="s">
        <v>129</v>
      </c>
      <c r="D14" s="9">
        <v>101129590806</v>
      </c>
      <c r="E14" s="17">
        <v>2800</v>
      </c>
      <c r="F14">
        <v>94515</v>
      </c>
      <c r="G14" s="5">
        <v>36764</v>
      </c>
      <c r="H14" s="5">
        <v>57751</v>
      </c>
      <c r="I14" t="s">
        <v>1635</v>
      </c>
      <c r="J14" s="17">
        <v>2800</v>
      </c>
      <c r="K14" t="s">
        <v>1635</v>
      </c>
      <c r="L14">
        <v>0</v>
      </c>
    </row>
    <row r="15" spans="1:12">
      <c r="A15">
        <v>1</v>
      </c>
      <c r="B15" t="s">
        <v>15</v>
      </c>
      <c r="C15" t="s">
        <v>630</v>
      </c>
      <c r="D15" s="9">
        <v>107112701286</v>
      </c>
      <c r="E15" s="17">
        <v>3772</v>
      </c>
      <c r="F15">
        <v>107350</v>
      </c>
      <c r="G15" s="5">
        <v>35938</v>
      </c>
      <c r="H15" s="5">
        <v>71412</v>
      </c>
      <c r="I15" t="s">
        <v>1635</v>
      </c>
      <c r="J15" s="17">
        <v>3772</v>
      </c>
      <c r="K15" t="s">
        <v>1635</v>
      </c>
      <c r="L15">
        <v>0</v>
      </c>
    </row>
    <row r="16" spans="1:12">
      <c r="A16">
        <v>1</v>
      </c>
      <c r="B16" t="s">
        <v>15</v>
      </c>
      <c r="C16" t="s">
        <v>61</v>
      </c>
      <c r="D16" s="9">
        <v>101129075952</v>
      </c>
      <c r="E16" s="17">
        <v>2456.67</v>
      </c>
      <c r="F16">
        <v>93250</v>
      </c>
      <c r="G16" s="5">
        <v>32313.33</v>
      </c>
      <c r="H16" s="5">
        <v>60936.67</v>
      </c>
      <c r="I16" t="s">
        <v>1635</v>
      </c>
      <c r="J16" s="17">
        <v>2456.67</v>
      </c>
      <c r="K16" t="s">
        <v>1635</v>
      </c>
      <c r="L16">
        <v>0</v>
      </c>
    </row>
    <row r="17" spans="1:12">
      <c r="A17">
        <v>1</v>
      </c>
      <c r="B17" t="s">
        <v>15</v>
      </c>
      <c r="C17" t="s">
        <v>543</v>
      </c>
      <c r="D17" s="9">
        <v>107112601974</v>
      </c>
      <c r="E17" s="17">
        <v>1428</v>
      </c>
      <c r="F17">
        <v>26555</v>
      </c>
      <c r="G17" s="5">
        <v>14280</v>
      </c>
      <c r="H17" s="5">
        <v>12275</v>
      </c>
      <c r="I17" t="s">
        <v>1635</v>
      </c>
      <c r="J17" s="17">
        <v>1428</v>
      </c>
      <c r="K17" t="s">
        <v>1635</v>
      </c>
      <c r="L17">
        <v>0</v>
      </c>
    </row>
    <row r="18" spans="1:12">
      <c r="A18">
        <v>1</v>
      </c>
      <c r="B18" t="s">
        <v>15</v>
      </c>
      <c r="C18" t="s">
        <v>167</v>
      </c>
      <c r="D18" s="9">
        <v>101129927216</v>
      </c>
      <c r="E18" s="17">
        <v>4536</v>
      </c>
      <c r="F18">
        <v>86485</v>
      </c>
      <c r="G18" s="5">
        <v>47970</v>
      </c>
      <c r="H18" s="5">
        <v>38515</v>
      </c>
      <c r="I18" t="s">
        <v>1635</v>
      </c>
      <c r="J18" s="17">
        <v>4536</v>
      </c>
      <c r="K18" t="s">
        <v>1635</v>
      </c>
      <c r="L18">
        <v>0</v>
      </c>
    </row>
    <row r="19" spans="1:12">
      <c r="A19">
        <v>1</v>
      </c>
      <c r="B19" t="s">
        <v>15</v>
      </c>
      <c r="C19" t="s">
        <v>111</v>
      </c>
      <c r="D19" s="9">
        <v>101129472286</v>
      </c>
      <c r="E19" s="17">
        <v>2142</v>
      </c>
      <c r="F19">
        <v>78900</v>
      </c>
      <c r="G19" s="5">
        <v>22100</v>
      </c>
      <c r="H19" s="5">
        <v>56800</v>
      </c>
      <c r="I19" t="s">
        <v>1635</v>
      </c>
      <c r="J19" s="17">
        <v>2142</v>
      </c>
      <c r="K19" t="s">
        <v>1635</v>
      </c>
      <c r="L19">
        <v>0</v>
      </c>
    </row>
    <row r="20" spans="1:12">
      <c r="A20">
        <v>1</v>
      </c>
      <c r="B20" t="s">
        <v>15</v>
      </c>
      <c r="C20" t="s">
        <v>409</v>
      </c>
      <c r="D20" s="9">
        <v>107112306856</v>
      </c>
      <c r="E20" s="17">
        <v>1680</v>
      </c>
      <c r="F20">
        <v>88101</v>
      </c>
      <c r="G20" s="5">
        <v>28980</v>
      </c>
      <c r="H20" s="5">
        <v>59121</v>
      </c>
      <c r="I20" t="s">
        <v>1635</v>
      </c>
      <c r="J20" s="17">
        <v>1680</v>
      </c>
      <c r="K20" t="s">
        <v>1635</v>
      </c>
      <c r="L20">
        <v>0</v>
      </c>
    </row>
    <row r="21" spans="1:12">
      <c r="A21">
        <v>1</v>
      </c>
      <c r="B21" t="s">
        <v>15</v>
      </c>
      <c r="C21" t="s">
        <v>529</v>
      </c>
      <c r="D21" s="9">
        <v>107112590250</v>
      </c>
      <c r="E21" s="17">
        <v>2970</v>
      </c>
      <c r="F21">
        <v>84000</v>
      </c>
      <c r="G21" s="5">
        <v>26730</v>
      </c>
      <c r="H21" s="5">
        <v>57270</v>
      </c>
      <c r="I21" t="s">
        <v>1635</v>
      </c>
      <c r="J21" s="17">
        <v>2970</v>
      </c>
      <c r="K21" t="s">
        <v>1635</v>
      </c>
      <c r="L21">
        <v>0</v>
      </c>
    </row>
    <row r="22" spans="1:12">
      <c r="A22">
        <v>1</v>
      </c>
      <c r="B22" t="s">
        <v>15</v>
      </c>
      <c r="C22" t="s">
        <v>108</v>
      </c>
      <c r="D22" s="9">
        <v>101129452604</v>
      </c>
      <c r="E22" s="17">
        <v>2520</v>
      </c>
      <c r="F22">
        <v>85845</v>
      </c>
      <c r="G22" s="5">
        <v>29460</v>
      </c>
      <c r="H22" s="5">
        <v>56385</v>
      </c>
      <c r="I22" t="s">
        <v>1635</v>
      </c>
      <c r="J22" s="17">
        <v>2520</v>
      </c>
      <c r="K22" t="s">
        <v>1635</v>
      </c>
      <c r="L22">
        <v>0</v>
      </c>
    </row>
    <row r="23" spans="1:12">
      <c r="A23">
        <v>1</v>
      </c>
      <c r="B23" t="s">
        <v>15</v>
      </c>
      <c r="C23" t="s">
        <v>276</v>
      </c>
      <c r="D23" s="9">
        <v>101130853603</v>
      </c>
      <c r="E23" s="17">
        <v>2960</v>
      </c>
      <c r="F23">
        <v>82751</v>
      </c>
      <c r="G23" s="5">
        <v>29600</v>
      </c>
      <c r="H23" s="5">
        <v>53151</v>
      </c>
      <c r="I23" t="s">
        <v>1635</v>
      </c>
      <c r="J23" s="17">
        <v>2960</v>
      </c>
      <c r="K23" t="s">
        <v>1635</v>
      </c>
      <c r="L23">
        <v>0</v>
      </c>
    </row>
    <row r="24" spans="1:12">
      <c r="A24">
        <v>1</v>
      </c>
      <c r="B24" t="s">
        <v>15</v>
      </c>
      <c r="C24" t="s">
        <v>179</v>
      </c>
      <c r="D24" s="9">
        <v>101129999271</v>
      </c>
      <c r="E24" s="17">
        <v>3933</v>
      </c>
      <c r="F24">
        <v>125000</v>
      </c>
      <c r="G24" s="5">
        <v>41365</v>
      </c>
      <c r="H24" s="5">
        <v>83635</v>
      </c>
      <c r="I24" t="s">
        <v>1635</v>
      </c>
      <c r="J24" s="17">
        <v>3933</v>
      </c>
      <c r="K24" t="s">
        <v>1635</v>
      </c>
      <c r="L24">
        <v>0</v>
      </c>
    </row>
    <row r="25" spans="1:12">
      <c r="A25">
        <v>1</v>
      </c>
      <c r="B25" t="s">
        <v>15</v>
      </c>
      <c r="C25" t="s">
        <v>391</v>
      </c>
      <c r="D25" s="9">
        <v>107112269067</v>
      </c>
      <c r="E25" s="17">
        <v>3012.6</v>
      </c>
      <c r="F25">
        <v>124469</v>
      </c>
      <c r="G25" s="5">
        <v>45433.8</v>
      </c>
      <c r="H25" s="5">
        <v>79035.199999999997</v>
      </c>
      <c r="I25" t="s">
        <v>1635</v>
      </c>
      <c r="J25" s="17">
        <v>3012.6</v>
      </c>
      <c r="K25" t="s">
        <v>1635</v>
      </c>
      <c r="L25">
        <v>0</v>
      </c>
    </row>
    <row r="26" spans="1:12">
      <c r="A26">
        <v>1</v>
      </c>
      <c r="B26" t="s">
        <v>15</v>
      </c>
      <c r="C26" t="s">
        <v>569</v>
      </c>
      <c r="D26" s="9">
        <v>107112624485</v>
      </c>
      <c r="E26" s="17">
        <v>3139</v>
      </c>
      <c r="F26">
        <v>100000</v>
      </c>
      <c r="G26" s="5">
        <v>28790</v>
      </c>
      <c r="H26" s="5">
        <v>71210</v>
      </c>
      <c r="I26" t="s">
        <v>1635</v>
      </c>
      <c r="J26" s="17">
        <v>3139</v>
      </c>
      <c r="K26" t="s">
        <v>1635</v>
      </c>
      <c r="L26">
        <v>0</v>
      </c>
    </row>
    <row r="27" spans="1:12">
      <c r="A27">
        <v>1</v>
      </c>
      <c r="B27" t="s">
        <v>15</v>
      </c>
      <c r="C27" t="s">
        <v>800</v>
      </c>
      <c r="D27" s="9">
        <v>107113048741</v>
      </c>
      <c r="E27" s="17">
        <v>3960</v>
      </c>
      <c r="F27">
        <v>115000</v>
      </c>
      <c r="G27" s="5">
        <v>34180</v>
      </c>
      <c r="H27" s="5">
        <v>80820</v>
      </c>
      <c r="I27" t="s">
        <v>1635</v>
      </c>
      <c r="J27" s="17">
        <v>3960</v>
      </c>
      <c r="K27" t="s">
        <v>1635</v>
      </c>
      <c r="L27">
        <v>0</v>
      </c>
    </row>
    <row r="28" spans="1:12">
      <c r="A28">
        <v>1</v>
      </c>
      <c r="B28" t="s">
        <v>15</v>
      </c>
      <c r="C28" t="s">
        <v>236</v>
      </c>
      <c r="D28" s="9">
        <v>101130447153</v>
      </c>
      <c r="E28" s="17">
        <v>2430</v>
      </c>
      <c r="F28">
        <v>73000</v>
      </c>
      <c r="G28" s="5">
        <v>26125</v>
      </c>
      <c r="H28" s="5">
        <v>46875</v>
      </c>
      <c r="I28" t="s">
        <v>1635</v>
      </c>
      <c r="J28" s="17">
        <v>2430</v>
      </c>
      <c r="K28" t="s">
        <v>1635</v>
      </c>
      <c r="L28">
        <v>0</v>
      </c>
    </row>
    <row r="29" spans="1:12">
      <c r="A29">
        <v>1</v>
      </c>
      <c r="B29" t="s">
        <v>15</v>
      </c>
      <c r="C29" t="s">
        <v>706</v>
      </c>
      <c r="D29" s="9">
        <v>107112845576</v>
      </c>
      <c r="E29" s="17">
        <v>2784</v>
      </c>
      <c r="F29">
        <v>82721</v>
      </c>
      <c r="G29" s="5">
        <v>24192</v>
      </c>
      <c r="H29" s="5">
        <v>58529</v>
      </c>
      <c r="I29" t="s">
        <v>1635</v>
      </c>
      <c r="J29" s="17">
        <v>2784</v>
      </c>
      <c r="K29" t="s">
        <v>1635</v>
      </c>
      <c r="L29">
        <v>0</v>
      </c>
    </row>
    <row r="30" spans="1:12">
      <c r="A30">
        <v>1</v>
      </c>
      <c r="B30" t="s">
        <v>15</v>
      </c>
      <c r="C30" t="s">
        <v>747</v>
      </c>
      <c r="D30" s="9">
        <v>107112917464</v>
      </c>
      <c r="E30" s="17">
        <v>2610</v>
      </c>
      <c r="F30">
        <v>75000</v>
      </c>
      <c r="G30" s="5">
        <v>22755</v>
      </c>
      <c r="H30" s="5">
        <v>52245</v>
      </c>
      <c r="I30" t="s">
        <v>1635</v>
      </c>
      <c r="J30" s="17">
        <v>2610</v>
      </c>
      <c r="K30" t="s">
        <v>1635</v>
      </c>
      <c r="L30">
        <v>0</v>
      </c>
    </row>
    <row r="31" spans="1:12">
      <c r="A31">
        <v>1</v>
      </c>
      <c r="B31" t="s">
        <v>15</v>
      </c>
      <c r="C31" t="s">
        <v>304</v>
      </c>
      <c r="D31" s="9">
        <v>101131458617</v>
      </c>
      <c r="E31" s="17">
        <v>1700</v>
      </c>
      <c r="F31">
        <v>74000</v>
      </c>
      <c r="G31" s="5">
        <v>19760</v>
      </c>
      <c r="H31" s="5">
        <v>54240</v>
      </c>
      <c r="I31" t="s">
        <v>1635</v>
      </c>
      <c r="J31" s="17">
        <v>1700</v>
      </c>
      <c r="K31" t="s">
        <v>1635</v>
      </c>
      <c r="L31">
        <v>0</v>
      </c>
    </row>
    <row r="32" spans="1:12">
      <c r="A32">
        <v>1</v>
      </c>
      <c r="B32" t="s">
        <v>15</v>
      </c>
      <c r="C32" t="s">
        <v>642</v>
      </c>
      <c r="D32" s="9">
        <v>107112718957</v>
      </c>
      <c r="E32" s="17">
        <v>864</v>
      </c>
      <c r="F32">
        <v>15000</v>
      </c>
      <c r="G32" s="5">
        <v>7533</v>
      </c>
      <c r="H32" s="5">
        <v>7467</v>
      </c>
      <c r="I32" t="s">
        <v>1635</v>
      </c>
      <c r="J32" s="17">
        <v>864</v>
      </c>
      <c r="K32" t="s">
        <v>1635</v>
      </c>
      <c r="L32">
        <v>0</v>
      </c>
    </row>
    <row r="33" spans="1:12">
      <c r="A33">
        <v>1</v>
      </c>
      <c r="B33" t="s">
        <v>15</v>
      </c>
      <c r="C33" t="s">
        <v>375</v>
      </c>
      <c r="D33" s="9">
        <v>107112209965</v>
      </c>
      <c r="E33" s="17">
        <v>2652</v>
      </c>
      <c r="F33">
        <v>77033</v>
      </c>
      <c r="G33" s="5">
        <v>29172</v>
      </c>
      <c r="H33" s="5">
        <v>47861</v>
      </c>
      <c r="I33" t="s">
        <v>1635</v>
      </c>
      <c r="J33" s="17">
        <v>2652</v>
      </c>
      <c r="K33" t="s">
        <v>1635</v>
      </c>
      <c r="L33">
        <v>0</v>
      </c>
    </row>
    <row r="34" spans="1:12">
      <c r="A34">
        <v>1</v>
      </c>
      <c r="B34" t="s">
        <v>15</v>
      </c>
      <c r="C34" t="s">
        <v>294</v>
      </c>
      <c r="D34" s="9">
        <v>101131013018</v>
      </c>
      <c r="E34" s="17">
        <v>4824</v>
      </c>
      <c r="F34">
        <v>89000</v>
      </c>
      <c r="G34" s="5">
        <v>46176</v>
      </c>
      <c r="H34" s="5">
        <v>42824</v>
      </c>
      <c r="I34" t="s">
        <v>1635</v>
      </c>
      <c r="J34" s="17">
        <v>4824</v>
      </c>
      <c r="K34" t="s">
        <v>1635</v>
      </c>
      <c r="L34">
        <v>0</v>
      </c>
    </row>
    <row r="35" spans="1:12">
      <c r="A35">
        <v>1</v>
      </c>
      <c r="B35" t="s">
        <v>15</v>
      </c>
      <c r="C35" t="s">
        <v>123</v>
      </c>
      <c r="D35" s="9">
        <v>101129550929</v>
      </c>
      <c r="E35" s="17">
        <v>1500</v>
      </c>
      <c r="F35">
        <v>78148</v>
      </c>
      <c r="G35" s="5">
        <v>28575</v>
      </c>
      <c r="H35" s="5">
        <v>49573</v>
      </c>
      <c r="I35" t="s">
        <v>1635</v>
      </c>
      <c r="J35" s="17">
        <v>1500</v>
      </c>
      <c r="K35" t="s">
        <v>1635</v>
      </c>
      <c r="L35">
        <v>0</v>
      </c>
    </row>
    <row r="36" spans="1:12">
      <c r="A36">
        <v>1</v>
      </c>
      <c r="B36" t="s">
        <v>15</v>
      </c>
      <c r="C36" t="s">
        <v>266</v>
      </c>
      <c r="D36" s="9">
        <v>101130774312</v>
      </c>
      <c r="E36" s="17">
        <v>2300</v>
      </c>
      <c r="F36">
        <v>43500</v>
      </c>
      <c r="G36" s="5">
        <v>22590</v>
      </c>
      <c r="H36" s="5">
        <v>20910</v>
      </c>
      <c r="I36" t="s">
        <v>1635</v>
      </c>
      <c r="J36" s="17">
        <v>2300</v>
      </c>
      <c r="K36" t="s">
        <v>1635</v>
      </c>
      <c r="L36">
        <v>0</v>
      </c>
    </row>
    <row r="37" spans="1:12">
      <c r="A37">
        <v>1</v>
      </c>
      <c r="B37" t="s">
        <v>15</v>
      </c>
      <c r="C37" t="s">
        <v>558</v>
      </c>
      <c r="D37" s="9">
        <v>107112617499</v>
      </c>
      <c r="E37" s="17">
        <v>1170</v>
      </c>
      <c r="F37">
        <v>25912</v>
      </c>
      <c r="G37" s="5">
        <v>14400</v>
      </c>
      <c r="H37" s="5">
        <v>11512</v>
      </c>
      <c r="I37" t="s">
        <v>1635</v>
      </c>
      <c r="J37" s="17">
        <v>1170</v>
      </c>
      <c r="K37" t="s">
        <v>1635</v>
      </c>
      <c r="L37">
        <v>0</v>
      </c>
    </row>
    <row r="38" spans="1:12">
      <c r="A38">
        <v>1</v>
      </c>
      <c r="B38" t="s">
        <v>15</v>
      </c>
      <c r="C38" t="s">
        <v>272</v>
      </c>
      <c r="D38" s="14">
        <v>101135047520</v>
      </c>
      <c r="E38" s="17">
        <v>14240.01</v>
      </c>
      <c r="F38">
        <v>95000</v>
      </c>
      <c r="G38" s="5">
        <v>9560</v>
      </c>
      <c r="H38" s="5">
        <v>85440</v>
      </c>
      <c r="I38" t="s">
        <v>1635</v>
      </c>
      <c r="J38" s="17">
        <v>14240.01</v>
      </c>
      <c r="K38" t="s">
        <v>1635</v>
      </c>
      <c r="L38">
        <v>0</v>
      </c>
    </row>
    <row r="39" spans="1:12">
      <c r="A39">
        <v>1</v>
      </c>
      <c r="B39" t="s">
        <v>15</v>
      </c>
      <c r="C39" t="s">
        <v>445</v>
      </c>
      <c r="D39" s="9">
        <v>107112389753</v>
      </c>
      <c r="E39" s="17">
        <v>1680</v>
      </c>
      <c r="F39">
        <v>76666</v>
      </c>
      <c r="G39" s="5">
        <v>26880</v>
      </c>
      <c r="H39" s="5">
        <v>49786</v>
      </c>
      <c r="I39" t="s">
        <v>1635</v>
      </c>
      <c r="J39" s="17">
        <v>1680</v>
      </c>
      <c r="K39" t="s">
        <v>1635</v>
      </c>
      <c r="L39">
        <v>0</v>
      </c>
    </row>
    <row r="40" spans="1:12">
      <c r="A40">
        <v>1</v>
      </c>
      <c r="B40" t="s">
        <v>15</v>
      </c>
      <c r="C40" t="s">
        <v>592</v>
      </c>
      <c r="D40" s="9">
        <v>107112653144</v>
      </c>
      <c r="E40" s="17">
        <v>4466</v>
      </c>
      <c r="F40">
        <v>135000</v>
      </c>
      <c r="G40" s="5">
        <v>37798</v>
      </c>
      <c r="H40" s="5">
        <v>97202</v>
      </c>
      <c r="I40" t="s">
        <v>1635</v>
      </c>
      <c r="J40" s="17">
        <v>4466</v>
      </c>
      <c r="K40" t="s">
        <v>1635</v>
      </c>
      <c r="L40">
        <v>0</v>
      </c>
    </row>
    <row r="41" spans="1:12">
      <c r="A41">
        <v>1</v>
      </c>
      <c r="B41" t="s">
        <v>15</v>
      </c>
      <c r="C41" t="s">
        <v>175</v>
      </c>
      <c r="D41" s="9">
        <v>101129984034</v>
      </c>
      <c r="E41" s="17">
        <v>2800</v>
      </c>
      <c r="F41">
        <v>84036</v>
      </c>
      <c r="G41" s="5">
        <v>29833.33</v>
      </c>
      <c r="H41" s="5">
        <v>54202.67</v>
      </c>
      <c r="I41" t="s">
        <v>1635</v>
      </c>
      <c r="J41" s="17">
        <v>2800</v>
      </c>
      <c r="K41" t="s">
        <v>1635</v>
      </c>
      <c r="L41">
        <v>0</v>
      </c>
    </row>
    <row r="42" spans="1:12">
      <c r="A42">
        <v>1</v>
      </c>
      <c r="B42" t="s">
        <v>15</v>
      </c>
      <c r="C42" t="s">
        <v>32</v>
      </c>
      <c r="D42" s="9">
        <v>101128141006</v>
      </c>
      <c r="E42" s="17">
        <v>9263</v>
      </c>
      <c r="F42">
        <v>164000</v>
      </c>
      <c r="G42" s="5">
        <v>80384</v>
      </c>
      <c r="H42" s="5">
        <v>83616</v>
      </c>
      <c r="I42" t="s">
        <v>1635</v>
      </c>
      <c r="J42" s="17">
        <v>9263</v>
      </c>
      <c r="K42" t="s">
        <v>1635</v>
      </c>
      <c r="L42">
        <v>0</v>
      </c>
    </row>
    <row r="43" spans="1:12">
      <c r="A43">
        <v>1</v>
      </c>
      <c r="B43" t="s">
        <v>15</v>
      </c>
      <c r="C43" t="s">
        <v>471</v>
      </c>
      <c r="D43" s="9">
        <v>107112466550</v>
      </c>
      <c r="E43" s="17">
        <v>3870</v>
      </c>
      <c r="F43">
        <v>118000</v>
      </c>
      <c r="G43" s="5">
        <v>40500</v>
      </c>
      <c r="H43" s="5">
        <v>77500</v>
      </c>
      <c r="I43" t="s">
        <v>1635</v>
      </c>
      <c r="J43" s="17">
        <v>3870</v>
      </c>
      <c r="K43" t="s">
        <v>1635</v>
      </c>
      <c r="L43">
        <v>0</v>
      </c>
    </row>
    <row r="44" spans="1:12">
      <c r="A44">
        <v>1</v>
      </c>
      <c r="B44" t="s">
        <v>15</v>
      </c>
      <c r="C44" t="s">
        <v>290</v>
      </c>
      <c r="D44" s="9">
        <v>101130951610</v>
      </c>
      <c r="E44" s="17">
        <v>2520</v>
      </c>
      <c r="F44">
        <v>79600</v>
      </c>
      <c r="G44" s="5">
        <v>24480</v>
      </c>
      <c r="H44" s="5">
        <v>55120</v>
      </c>
      <c r="I44" t="s">
        <v>1635</v>
      </c>
      <c r="J44" s="17">
        <v>2520</v>
      </c>
      <c r="K44" t="s">
        <v>1635</v>
      </c>
      <c r="L44">
        <v>0</v>
      </c>
    </row>
    <row r="45" spans="1:12">
      <c r="A45">
        <v>1</v>
      </c>
      <c r="B45" t="s">
        <v>15</v>
      </c>
      <c r="C45" t="s">
        <v>415</v>
      </c>
      <c r="D45" s="9">
        <v>107112318319</v>
      </c>
      <c r="E45" s="17">
        <v>965</v>
      </c>
      <c r="F45">
        <v>46731</v>
      </c>
      <c r="G45" s="5">
        <v>16320</v>
      </c>
      <c r="H45" s="5">
        <v>30411</v>
      </c>
      <c r="I45" t="s">
        <v>1635</v>
      </c>
      <c r="J45" s="17">
        <v>965</v>
      </c>
      <c r="K45" t="s">
        <v>1635</v>
      </c>
      <c r="L45">
        <v>0</v>
      </c>
    </row>
    <row r="46" spans="1:12">
      <c r="A46">
        <v>1</v>
      </c>
      <c r="B46" t="s">
        <v>15</v>
      </c>
      <c r="C46" t="s">
        <v>653</v>
      </c>
      <c r="D46" s="9">
        <v>107112750116</v>
      </c>
      <c r="E46" s="17">
        <v>2756</v>
      </c>
      <c r="F46">
        <v>82697</v>
      </c>
      <c r="G46" s="5">
        <v>25844</v>
      </c>
      <c r="H46" s="5">
        <v>56853</v>
      </c>
      <c r="I46" t="s">
        <v>1635</v>
      </c>
      <c r="J46" s="17">
        <v>2756</v>
      </c>
      <c r="K46" t="s">
        <v>1635</v>
      </c>
      <c r="L46">
        <v>0</v>
      </c>
    </row>
    <row r="47" spans="1:12">
      <c r="A47">
        <v>1</v>
      </c>
      <c r="B47" t="s">
        <v>15</v>
      </c>
      <c r="C47" t="s">
        <v>366</v>
      </c>
      <c r="D47" s="9">
        <v>107112197894</v>
      </c>
      <c r="E47" s="17">
        <v>3016</v>
      </c>
      <c r="F47">
        <v>104008</v>
      </c>
      <c r="G47" s="5">
        <v>35356</v>
      </c>
      <c r="H47" s="5">
        <v>68652</v>
      </c>
      <c r="I47" t="s">
        <v>1635</v>
      </c>
      <c r="J47" s="17">
        <v>3016</v>
      </c>
      <c r="K47" t="s">
        <v>1635</v>
      </c>
      <c r="L47">
        <v>0</v>
      </c>
    </row>
    <row r="48" spans="1:12">
      <c r="A48">
        <v>1</v>
      </c>
      <c r="B48" t="s">
        <v>15</v>
      </c>
      <c r="C48" t="s">
        <v>602</v>
      </c>
      <c r="D48" s="9">
        <v>107112660445</v>
      </c>
      <c r="E48" s="17">
        <v>2680</v>
      </c>
      <c r="F48">
        <v>95414</v>
      </c>
      <c r="G48" s="5">
        <v>24924</v>
      </c>
      <c r="H48" s="5">
        <v>70490</v>
      </c>
      <c r="I48" t="s">
        <v>1635</v>
      </c>
      <c r="J48" s="17">
        <v>2680</v>
      </c>
      <c r="K48" t="s">
        <v>1635</v>
      </c>
      <c r="L48">
        <v>0</v>
      </c>
    </row>
    <row r="49" spans="1:12">
      <c r="A49">
        <v>1</v>
      </c>
      <c r="B49" t="s">
        <v>15</v>
      </c>
      <c r="C49" t="s">
        <v>709</v>
      </c>
      <c r="D49" s="9">
        <v>107112858272</v>
      </c>
      <c r="E49" s="17">
        <v>4500</v>
      </c>
      <c r="F49">
        <v>134461</v>
      </c>
      <c r="G49" s="5">
        <v>42500</v>
      </c>
      <c r="H49" s="5">
        <v>91961</v>
      </c>
      <c r="I49" t="s">
        <v>1635</v>
      </c>
      <c r="J49" s="17">
        <v>4500</v>
      </c>
      <c r="K49" t="s">
        <v>1635</v>
      </c>
      <c r="L49">
        <v>0</v>
      </c>
    </row>
    <row r="50" spans="1:12">
      <c r="A50">
        <v>1</v>
      </c>
      <c r="B50" t="s">
        <v>15</v>
      </c>
      <c r="C50" t="s">
        <v>525</v>
      </c>
      <c r="D50" s="9">
        <v>107112587444</v>
      </c>
      <c r="E50" s="17">
        <v>1650</v>
      </c>
      <c r="F50">
        <v>27578</v>
      </c>
      <c r="G50" s="5">
        <v>16940</v>
      </c>
      <c r="H50" s="5">
        <v>10638</v>
      </c>
      <c r="I50" t="s">
        <v>1635</v>
      </c>
      <c r="J50" s="17">
        <v>1650</v>
      </c>
      <c r="K50" t="s">
        <v>1635</v>
      </c>
      <c r="L50">
        <v>0</v>
      </c>
    </row>
    <row r="51" spans="1:12">
      <c r="A51">
        <v>1</v>
      </c>
      <c r="B51" t="s">
        <v>15</v>
      </c>
      <c r="C51" t="s">
        <v>655</v>
      </c>
      <c r="D51" s="9">
        <v>107112752241</v>
      </c>
      <c r="E51" s="17">
        <v>3200</v>
      </c>
      <c r="F51">
        <v>97000</v>
      </c>
      <c r="G51" s="5">
        <v>27600</v>
      </c>
      <c r="H51" s="5">
        <v>69400</v>
      </c>
      <c r="I51" t="s">
        <v>1635</v>
      </c>
      <c r="J51" s="17">
        <v>3200</v>
      </c>
      <c r="K51" t="s">
        <v>1635</v>
      </c>
      <c r="L51">
        <v>0</v>
      </c>
    </row>
    <row r="52" spans="1:12">
      <c r="A52">
        <v>1</v>
      </c>
      <c r="B52" t="s">
        <v>15</v>
      </c>
      <c r="C52" t="s">
        <v>423</v>
      </c>
      <c r="D52" s="9">
        <v>107112331898</v>
      </c>
      <c r="E52" s="17">
        <v>1995</v>
      </c>
      <c r="F52">
        <v>75570</v>
      </c>
      <c r="G52" s="5">
        <v>23595</v>
      </c>
      <c r="H52" s="5">
        <v>51975</v>
      </c>
      <c r="I52" t="s">
        <v>1635</v>
      </c>
      <c r="J52" s="17">
        <v>1995</v>
      </c>
      <c r="K52" t="s">
        <v>1635</v>
      </c>
      <c r="L52">
        <v>0</v>
      </c>
    </row>
    <row r="53" spans="1:12">
      <c r="A53">
        <v>1</v>
      </c>
      <c r="B53" t="s">
        <v>15</v>
      </c>
      <c r="C53" t="s">
        <v>288</v>
      </c>
      <c r="D53" s="9">
        <v>101130950078</v>
      </c>
      <c r="E53" s="17">
        <v>4216</v>
      </c>
      <c r="F53">
        <v>85000</v>
      </c>
      <c r="G53" s="5">
        <v>37851</v>
      </c>
      <c r="H53" s="5">
        <v>47149</v>
      </c>
      <c r="I53" t="s">
        <v>1635</v>
      </c>
      <c r="J53" s="17">
        <v>4216</v>
      </c>
      <c r="K53" t="s">
        <v>1635</v>
      </c>
      <c r="L53">
        <v>0</v>
      </c>
    </row>
    <row r="54" spans="1:12">
      <c r="A54">
        <v>1</v>
      </c>
      <c r="B54" t="s">
        <v>15</v>
      </c>
      <c r="C54" t="s">
        <v>234</v>
      </c>
      <c r="D54" s="9">
        <v>101130434119</v>
      </c>
      <c r="E54" s="17">
        <v>2850</v>
      </c>
      <c r="F54">
        <v>85800</v>
      </c>
      <c r="G54" s="5">
        <v>28400</v>
      </c>
      <c r="H54" s="5">
        <v>57400</v>
      </c>
      <c r="I54" t="s">
        <v>1635</v>
      </c>
      <c r="J54" s="17">
        <v>2850</v>
      </c>
      <c r="K54" t="s">
        <v>1635</v>
      </c>
      <c r="L54">
        <v>0</v>
      </c>
    </row>
    <row r="55" spans="1:12">
      <c r="A55">
        <v>1</v>
      </c>
      <c r="B55" t="s">
        <v>15</v>
      </c>
      <c r="C55" t="s">
        <v>647</v>
      </c>
      <c r="D55" s="9">
        <v>107112728300</v>
      </c>
      <c r="E55" s="17">
        <v>1008</v>
      </c>
      <c r="F55">
        <v>17689</v>
      </c>
      <c r="G55" s="5">
        <v>10580</v>
      </c>
      <c r="H55" s="5">
        <v>7109</v>
      </c>
      <c r="I55" t="s">
        <v>1635</v>
      </c>
      <c r="J55" s="17">
        <v>1008</v>
      </c>
      <c r="K55" t="s">
        <v>1635</v>
      </c>
      <c r="L55">
        <v>0</v>
      </c>
    </row>
    <row r="56" spans="1:12">
      <c r="A56">
        <v>1</v>
      </c>
      <c r="B56" t="s">
        <v>15</v>
      </c>
      <c r="C56" t="s">
        <v>812</v>
      </c>
      <c r="D56" s="9">
        <v>107113105964</v>
      </c>
      <c r="E56" s="17">
        <v>3780</v>
      </c>
      <c r="F56">
        <v>98000</v>
      </c>
      <c r="G56" s="5">
        <v>32360</v>
      </c>
      <c r="H56" s="5">
        <v>65640</v>
      </c>
      <c r="I56" t="s">
        <v>1635</v>
      </c>
      <c r="J56" s="17">
        <v>3780</v>
      </c>
      <c r="K56" t="s">
        <v>1635</v>
      </c>
      <c r="L56">
        <v>0</v>
      </c>
    </row>
    <row r="57" spans="1:12">
      <c r="A57">
        <v>1</v>
      </c>
      <c r="B57" t="s">
        <v>15</v>
      </c>
      <c r="C57" t="s">
        <v>53</v>
      </c>
      <c r="D57" s="9">
        <v>101128601341</v>
      </c>
      <c r="E57" s="17">
        <v>3471</v>
      </c>
      <c r="F57">
        <v>103759</v>
      </c>
      <c r="G57" s="5">
        <v>41652</v>
      </c>
      <c r="H57" s="5">
        <v>62107</v>
      </c>
      <c r="I57" t="s">
        <v>1635</v>
      </c>
      <c r="J57" s="17">
        <v>3471</v>
      </c>
      <c r="K57" t="s">
        <v>1635</v>
      </c>
      <c r="L57">
        <v>0</v>
      </c>
    </row>
    <row r="58" spans="1:12">
      <c r="A58">
        <v>1</v>
      </c>
      <c r="B58" t="s">
        <v>15</v>
      </c>
      <c r="C58" t="s">
        <v>584</v>
      </c>
      <c r="D58" s="9">
        <v>107112642685</v>
      </c>
      <c r="E58" s="17">
        <v>3024</v>
      </c>
      <c r="F58">
        <v>86995</v>
      </c>
      <c r="G58" s="5">
        <v>28996</v>
      </c>
      <c r="H58" s="5">
        <v>57999</v>
      </c>
      <c r="I58" t="s">
        <v>1635</v>
      </c>
      <c r="J58" s="17">
        <v>3024</v>
      </c>
      <c r="K58" t="s">
        <v>1635</v>
      </c>
      <c r="L58">
        <v>0</v>
      </c>
    </row>
    <row r="59" spans="1:12">
      <c r="A59">
        <v>1</v>
      </c>
      <c r="B59" t="s">
        <v>15</v>
      </c>
      <c r="C59" t="s">
        <v>20</v>
      </c>
      <c r="D59" s="9">
        <v>101127339909</v>
      </c>
      <c r="E59" s="17">
        <v>6480</v>
      </c>
      <c r="F59">
        <v>94060</v>
      </c>
      <c r="G59" s="5">
        <v>70835</v>
      </c>
      <c r="H59" s="5">
        <v>23225</v>
      </c>
      <c r="I59" t="s">
        <v>1635</v>
      </c>
      <c r="J59" s="17">
        <v>6480</v>
      </c>
      <c r="K59" t="s">
        <v>1635</v>
      </c>
      <c r="L59">
        <v>0</v>
      </c>
    </row>
    <row r="60" spans="1:12">
      <c r="A60">
        <v>1</v>
      </c>
      <c r="B60" t="s">
        <v>15</v>
      </c>
      <c r="C60" t="s">
        <v>802</v>
      </c>
      <c r="D60" s="9">
        <v>107113051629</v>
      </c>
      <c r="E60" s="17">
        <v>3402</v>
      </c>
      <c r="F60">
        <v>100146</v>
      </c>
      <c r="G60" s="5">
        <v>29786</v>
      </c>
      <c r="H60" s="5">
        <v>70360</v>
      </c>
      <c r="I60" t="s">
        <v>1635</v>
      </c>
      <c r="J60" s="17">
        <v>3402</v>
      </c>
      <c r="K60" t="s">
        <v>1635</v>
      </c>
      <c r="L60">
        <v>0</v>
      </c>
    </row>
    <row r="61" spans="1:12">
      <c r="A61">
        <v>1</v>
      </c>
      <c r="B61" t="s">
        <v>15</v>
      </c>
      <c r="C61" t="s">
        <v>690</v>
      </c>
      <c r="D61" s="9">
        <v>107112808068</v>
      </c>
      <c r="E61" s="17">
        <v>2970</v>
      </c>
      <c r="F61">
        <v>92468</v>
      </c>
      <c r="G61" s="5">
        <v>26400</v>
      </c>
      <c r="H61" s="5">
        <v>66068</v>
      </c>
      <c r="I61" t="s">
        <v>1635</v>
      </c>
      <c r="J61" s="17">
        <v>2970</v>
      </c>
      <c r="K61" t="s">
        <v>1635</v>
      </c>
      <c r="L61">
        <v>0</v>
      </c>
    </row>
    <row r="62" spans="1:12">
      <c r="A62">
        <v>1</v>
      </c>
      <c r="B62" t="s">
        <v>15</v>
      </c>
      <c r="C62" t="s">
        <v>696</v>
      </c>
      <c r="D62" s="9">
        <v>107112824234</v>
      </c>
      <c r="E62" s="17">
        <v>3116</v>
      </c>
      <c r="F62">
        <v>94000</v>
      </c>
      <c r="G62" s="5">
        <v>29684</v>
      </c>
      <c r="H62" s="5">
        <v>64316</v>
      </c>
      <c r="I62" t="s">
        <v>1635</v>
      </c>
      <c r="J62" s="17">
        <v>3116</v>
      </c>
      <c r="K62" t="s">
        <v>1635</v>
      </c>
      <c r="L62">
        <v>0</v>
      </c>
    </row>
    <row r="63" spans="1:12">
      <c r="A63">
        <v>1</v>
      </c>
      <c r="B63" t="s">
        <v>15</v>
      </c>
      <c r="C63" t="s">
        <v>401</v>
      </c>
      <c r="D63" s="9">
        <v>107112290433</v>
      </c>
      <c r="E63" s="17">
        <v>2180</v>
      </c>
      <c r="F63">
        <v>121325</v>
      </c>
      <c r="G63" s="5">
        <v>35360</v>
      </c>
      <c r="H63" s="5">
        <v>85965</v>
      </c>
      <c r="I63" t="s">
        <v>1635</v>
      </c>
      <c r="J63" s="17">
        <v>2180</v>
      </c>
      <c r="K63" t="s">
        <v>1635</v>
      </c>
      <c r="L63">
        <v>0</v>
      </c>
    </row>
    <row r="64" spans="1:12">
      <c r="A64">
        <v>1</v>
      </c>
      <c r="B64" t="s">
        <v>15</v>
      </c>
      <c r="C64" t="s">
        <v>330</v>
      </c>
      <c r="D64" s="9">
        <v>107111936214</v>
      </c>
      <c r="E64" s="17">
        <v>3519</v>
      </c>
      <c r="F64">
        <v>102530</v>
      </c>
      <c r="G64" s="5">
        <v>33591</v>
      </c>
      <c r="H64" s="5">
        <v>68939</v>
      </c>
      <c r="I64" t="s">
        <v>1635</v>
      </c>
      <c r="J64" s="17">
        <v>3519</v>
      </c>
      <c r="K64" t="s">
        <v>1635</v>
      </c>
      <c r="L64">
        <v>0</v>
      </c>
    </row>
    <row r="65" spans="1:12">
      <c r="A65">
        <v>1</v>
      </c>
      <c r="B65" t="s">
        <v>15</v>
      </c>
      <c r="C65" t="s">
        <v>199</v>
      </c>
      <c r="D65" s="9">
        <v>101130133837</v>
      </c>
      <c r="E65" s="17">
        <v>4080</v>
      </c>
      <c r="F65">
        <v>79275</v>
      </c>
      <c r="G65" s="5">
        <v>39670</v>
      </c>
      <c r="H65" s="5">
        <v>39605</v>
      </c>
      <c r="I65" t="s">
        <v>1635</v>
      </c>
      <c r="J65" s="17">
        <v>4080</v>
      </c>
      <c r="K65" t="s">
        <v>1635</v>
      </c>
      <c r="L65">
        <v>0</v>
      </c>
    </row>
    <row r="66" spans="1:12">
      <c r="A66">
        <v>1</v>
      </c>
      <c r="B66" t="s">
        <v>15</v>
      </c>
      <c r="C66" t="s">
        <v>318</v>
      </c>
      <c r="D66" s="9">
        <v>107111707839</v>
      </c>
      <c r="E66" s="17">
        <v>3330</v>
      </c>
      <c r="F66">
        <v>80000</v>
      </c>
      <c r="G66" s="5">
        <v>34780</v>
      </c>
      <c r="H66" s="5">
        <v>45220</v>
      </c>
      <c r="I66" t="s">
        <v>1635</v>
      </c>
      <c r="J66" s="17">
        <v>3330</v>
      </c>
      <c r="K66" t="s">
        <v>1635</v>
      </c>
      <c r="L66">
        <v>0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14"/>
  <sheetViews>
    <sheetView tabSelected="1" zoomScaleNormal="100" workbookViewId="0">
      <selection activeCell="C11" sqref="C11"/>
    </sheetView>
  </sheetViews>
  <sheetFormatPr baseColWidth="10" defaultColWidth="9" defaultRowHeight="14"/>
  <cols>
    <col min="1" max="1" width="10.83203125" customWidth="1"/>
    <col min="2" max="2" width="18.1640625" customWidth="1"/>
    <col min="3" max="3" width="33.6640625" customWidth="1"/>
    <col min="4" max="4" width="17.6640625" style="1" customWidth="1"/>
    <col min="5" max="5" width="12.83203125" customWidth="1"/>
    <col min="6" max="6" width="15.1640625" customWidth="1"/>
    <col min="7" max="7" width="18" customWidth="1"/>
    <col min="8" max="8" width="11.1640625" bestFit="1" customWidth="1"/>
    <col min="9" max="9" width="23.33203125" customWidth="1"/>
    <col min="10" max="10" width="18" bestFit="1" customWidth="1"/>
    <col min="11" max="11" width="26.6640625" customWidth="1"/>
    <col min="12" max="12" width="5.1640625" customWidth="1"/>
    <col min="13" max="13" width="13.6640625" customWidth="1"/>
    <col min="14" max="15" width="17.1640625" customWidth="1"/>
    <col min="16" max="16" width="23.6640625" customWidth="1"/>
    <col min="17" max="17" width="12.83203125" customWidth="1"/>
    <col min="18" max="18" width="19.1640625" customWidth="1"/>
    <col min="19" max="19" width="21.1640625" customWidth="1"/>
    <col min="20" max="20" width="21.1640625" style="1" customWidth="1"/>
    <col min="21" max="21" width="21.1640625" customWidth="1"/>
    <col min="24" max="24" width="22.5" customWidth="1"/>
    <col min="25" max="25" width="23.33203125" bestFit="1" customWidth="1"/>
    <col min="26" max="26" width="16" style="20" customWidth="1"/>
    <col min="27" max="27" width="17.1640625" bestFit="1" customWidth="1"/>
    <col min="28" max="28" width="18.1640625" bestFit="1" customWidth="1"/>
  </cols>
  <sheetData>
    <row r="1" spans="1:27" s="25" customFormat="1" ht="15">
      <c r="A1" s="25" t="s">
        <v>0</v>
      </c>
      <c r="B1" s="25" t="s">
        <v>2</v>
      </c>
      <c r="C1" s="25" t="s">
        <v>826</v>
      </c>
      <c r="D1" s="26" t="s">
        <v>827</v>
      </c>
      <c r="E1" s="25" t="s">
        <v>828</v>
      </c>
      <c r="F1" s="27" t="s">
        <v>1657</v>
      </c>
      <c r="G1" s="27" t="s">
        <v>1658</v>
      </c>
      <c r="H1" s="25" t="s">
        <v>829</v>
      </c>
      <c r="I1" s="25" t="s">
        <v>830</v>
      </c>
      <c r="J1" s="25" t="s">
        <v>3</v>
      </c>
      <c r="K1" s="25" t="s">
        <v>831</v>
      </c>
      <c r="L1" s="25" t="s">
        <v>832</v>
      </c>
      <c r="M1" s="25" t="s">
        <v>833</v>
      </c>
      <c r="N1" s="25" t="s">
        <v>834</v>
      </c>
      <c r="O1" s="25" t="s">
        <v>835</v>
      </c>
      <c r="P1" s="27" t="s">
        <v>1656</v>
      </c>
      <c r="Q1" s="26" t="s">
        <v>836</v>
      </c>
      <c r="R1" s="28" t="s">
        <v>837</v>
      </c>
      <c r="S1" s="28" t="s">
        <v>838</v>
      </c>
      <c r="T1" s="29" t="s">
        <v>839</v>
      </c>
      <c r="U1" s="28" t="s">
        <v>840</v>
      </c>
      <c r="X1" s="25" t="s">
        <v>1663</v>
      </c>
      <c r="Y1" s="25" t="s">
        <v>1667</v>
      </c>
      <c r="Z1" s="22"/>
      <c r="AA1" s="22"/>
    </row>
    <row r="2" spans="1:27">
      <c r="A2" s="6" t="s">
        <v>14</v>
      </c>
      <c r="B2" t="s">
        <v>575</v>
      </c>
      <c r="C2" t="s">
        <v>841</v>
      </c>
      <c r="D2" s="4">
        <v>46185</v>
      </c>
      <c r="E2">
        <v>78888</v>
      </c>
      <c r="F2" s="5">
        <v>23400</v>
      </c>
      <c r="G2" s="5">
        <v>55488</v>
      </c>
      <c r="H2" t="s">
        <v>842</v>
      </c>
      <c r="I2" s="1">
        <v>46854</v>
      </c>
      <c r="J2" s="9">
        <v>107112633046</v>
      </c>
      <c r="K2" t="s">
        <v>843</v>
      </c>
      <c r="L2" t="s">
        <v>844</v>
      </c>
      <c r="M2" t="s">
        <v>845</v>
      </c>
      <c r="N2" s="1">
        <v>45773</v>
      </c>
      <c r="O2">
        <v>5</v>
      </c>
      <c r="P2" s="11">
        <v>46192</v>
      </c>
      <c r="Q2" s="17">
        <f>SUM(X2:Y2)</f>
        <v>0</v>
      </c>
      <c r="R2" s="3">
        <v>17</v>
      </c>
      <c r="S2" s="3">
        <v>2475</v>
      </c>
      <c r="T2" s="2">
        <v>46890</v>
      </c>
      <c r="U2" s="3">
        <v>363</v>
      </c>
      <c r="X2" s="17">
        <v>0</v>
      </c>
      <c r="Y2" s="23">
        <v>0</v>
      </c>
      <c r="Z2" s="24"/>
    </row>
    <row r="3" spans="1:27">
      <c r="A3" s="6" t="s">
        <v>14</v>
      </c>
      <c r="B3" t="s">
        <v>127</v>
      </c>
      <c r="C3" t="s">
        <v>846</v>
      </c>
      <c r="D3" s="4">
        <v>46185</v>
      </c>
      <c r="E3">
        <v>89318</v>
      </c>
      <c r="F3" s="5">
        <v>32750</v>
      </c>
      <c r="G3" s="5">
        <v>56568</v>
      </c>
      <c r="H3" t="s">
        <v>842</v>
      </c>
      <c r="I3" s="1">
        <v>46732</v>
      </c>
      <c r="J3" s="9">
        <v>101129560839</v>
      </c>
      <c r="K3" t="s">
        <v>847</v>
      </c>
      <c r="L3" t="s">
        <v>848</v>
      </c>
      <c r="M3" t="s">
        <v>849</v>
      </c>
      <c r="N3" s="1">
        <v>45736</v>
      </c>
      <c r="O3">
        <v>5</v>
      </c>
      <c r="P3" s="11">
        <v>46192</v>
      </c>
      <c r="Q3" s="17">
        <f t="shared" ref="Q3:Q66" si="0">SUM(X3:Y3)</f>
        <v>0</v>
      </c>
      <c r="R3" s="3">
        <v>3</v>
      </c>
      <c r="S3" s="3">
        <v>3000</v>
      </c>
      <c r="T3" s="2">
        <v>46755</v>
      </c>
      <c r="U3" s="3">
        <v>2568</v>
      </c>
      <c r="X3" s="17">
        <v>0</v>
      </c>
      <c r="Y3" s="23">
        <v>0</v>
      </c>
      <c r="Z3" s="24"/>
    </row>
    <row r="4" spans="1:27">
      <c r="A4" s="6" t="s">
        <v>14</v>
      </c>
      <c r="B4" s="7" t="s">
        <v>1665</v>
      </c>
      <c r="C4" t="s">
        <v>850</v>
      </c>
      <c r="D4" s="4">
        <v>46185</v>
      </c>
      <c r="E4">
        <v>79976</v>
      </c>
      <c r="F4" s="5">
        <v>77324</v>
      </c>
      <c r="G4" s="5">
        <v>2652</v>
      </c>
      <c r="H4" t="s">
        <v>842</v>
      </c>
      <c r="I4" s="1">
        <v>46794</v>
      </c>
      <c r="J4" s="9">
        <v>101130387057</v>
      </c>
      <c r="K4" t="s">
        <v>851</v>
      </c>
      <c r="L4" t="s">
        <v>848</v>
      </c>
      <c r="M4" t="s">
        <v>852</v>
      </c>
      <c r="N4" s="1">
        <v>45779</v>
      </c>
      <c r="O4">
        <v>5</v>
      </c>
      <c r="P4" s="11">
        <v>46192</v>
      </c>
      <c r="Q4" s="17">
        <f t="shared" si="0"/>
        <v>0</v>
      </c>
      <c r="R4" s="3">
        <v>3</v>
      </c>
      <c r="S4" s="3">
        <v>2652</v>
      </c>
      <c r="T4" s="2">
        <v>46815</v>
      </c>
      <c r="U4" s="3">
        <v>416</v>
      </c>
      <c r="X4" s="17">
        <v>0</v>
      </c>
      <c r="Y4" s="23">
        <v>0</v>
      </c>
      <c r="Z4" s="24"/>
    </row>
    <row r="5" spans="1:27">
      <c r="A5" s="6" t="s">
        <v>14</v>
      </c>
      <c r="B5" t="s">
        <v>644</v>
      </c>
      <c r="C5" t="s">
        <v>853</v>
      </c>
      <c r="D5" s="4">
        <v>46185</v>
      </c>
      <c r="E5">
        <v>15000</v>
      </c>
      <c r="F5" s="5">
        <v>7776</v>
      </c>
      <c r="G5" s="5">
        <v>7224</v>
      </c>
      <c r="H5" t="s">
        <v>842</v>
      </c>
      <c r="I5" s="1">
        <v>46429</v>
      </c>
      <c r="J5" s="9">
        <v>107112719541</v>
      </c>
      <c r="K5" t="s">
        <v>854</v>
      </c>
      <c r="L5" t="s">
        <v>844</v>
      </c>
      <c r="M5" t="s">
        <v>855</v>
      </c>
      <c r="N5" s="1">
        <v>45774</v>
      </c>
      <c r="O5">
        <v>3</v>
      </c>
      <c r="P5" s="11">
        <v>46192</v>
      </c>
      <c r="Q5" s="17">
        <f t="shared" si="0"/>
        <v>0</v>
      </c>
      <c r="R5" s="3">
        <v>3</v>
      </c>
      <c r="S5" s="3">
        <v>864</v>
      </c>
      <c r="T5" s="2">
        <v>46449</v>
      </c>
      <c r="U5" s="3">
        <v>312</v>
      </c>
      <c r="X5" s="17">
        <v>0</v>
      </c>
      <c r="Y5" s="23">
        <v>0</v>
      </c>
      <c r="Z5" s="24"/>
    </row>
    <row r="6" spans="1:27">
      <c r="A6" s="6" t="s">
        <v>14</v>
      </c>
      <c r="B6" t="s">
        <v>661</v>
      </c>
      <c r="C6" t="s">
        <v>856</v>
      </c>
      <c r="D6" s="4">
        <v>46185</v>
      </c>
      <c r="E6">
        <v>121500</v>
      </c>
      <c r="F6" s="5">
        <v>41850</v>
      </c>
      <c r="G6" s="5">
        <v>79650</v>
      </c>
      <c r="H6" t="s">
        <v>842</v>
      </c>
      <c r="I6" s="1">
        <v>46763</v>
      </c>
      <c r="J6" s="9">
        <v>107112765285</v>
      </c>
      <c r="K6" t="s">
        <v>857</v>
      </c>
      <c r="L6" t="s">
        <v>844</v>
      </c>
      <c r="M6" t="s">
        <v>858</v>
      </c>
      <c r="N6" s="1">
        <v>45779</v>
      </c>
      <c r="O6">
        <v>5</v>
      </c>
      <c r="P6" s="11">
        <v>46192</v>
      </c>
      <c r="Q6" s="17">
        <f t="shared" si="0"/>
        <v>0</v>
      </c>
      <c r="R6" s="3">
        <v>17</v>
      </c>
      <c r="S6" s="3">
        <v>4005</v>
      </c>
      <c r="T6" s="2">
        <v>46800</v>
      </c>
      <c r="U6" s="3">
        <v>3555</v>
      </c>
      <c r="X6" s="17">
        <v>0</v>
      </c>
      <c r="Y6" s="23">
        <v>0</v>
      </c>
      <c r="Z6" s="24"/>
    </row>
    <row r="7" spans="1:27">
      <c r="A7" s="6" t="s">
        <v>14</v>
      </c>
      <c r="B7" t="s">
        <v>497</v>
      </c>
      <c r="C7" t="s">
        <v>841</v>
      </c>
      <c r="D7" s="4">
        <v>46185</v>
      </c>
      <c r="E7">
        <v>30363</v>
      </c>
      <c r="F7" s="5">
        <v>20148</v>
      </c>
      <c r="G7" s="5">
        <v>10215</v>
      </c>
      <c r="H7" t="s">
        <v>842</v>
      </c>
      <c r="I7" s="1">
        <v>46429</v>
      </c>
      <c r="J7" s="9">
        <v>107112529588</v>
      </c>
      <c r="K7" t="s">
        <v>859</v>
      </c>
      <c r="L7" t="s">
        <v>844</v>
      </c>
      <c r="M7" t="s">
        <v>860</v>
      </c>
      <c r="N7" s="1">
        <v>45754</v>
      </c>
      <c r="O7">
        <v>3</v>
      </c>
      <c r="P7" s="11">
        <v>46192</v>
      </c>
      <c r="Q7" s="17">
        <f t="shared" si="0"/>
        <v>0</v>
      </c>
      <c r="R7" s="3">
        <v>24</v>
      </c>
      <c r="S7" s="3">
        <v>1679</v>
      </c>
      <c r="T7" s="2">
        <v>46442</v>
      </c>
      <c r="U7" s="3">
        <v>141</v>
      </c>
      <c r="X7" s="17">
        <v>0</v>
      </c>
      <c r="Y7" s="23">
        <v>0</v>
      </c>
      <c r="Z7" s="24"/>
    </row>
    <row r="8" spans="1:27">
      <c r="A8" s="6" t="s">
        <v>14</v>
      </c>
      <c r="B8" t="s">
        <v>18</v>
      </c>
      <c r="C8" t="s">
        <v>861</v>
      </c>
      <c r="D8" s="4">
        <v>46185</v>
      </c>
      <c r="E8">
        <v>49162</v>
      </c>
      <c r="F8" s="5">
        <v>10585.97</v>
      </c>
      <c r="G8" s="5">
        <v>38576.03</v>
      </c>
      <c r="H8" t="s">
        <v>842</v>
      </c>
      <c r="I8" s="1">
        <v>46976</v>
      </c>
      <c r="J8" s="9">
        <v>101127311840</v>
      </c>
      <c r="K8" t="s">
        <v>862</v>
      </c>
      <c r="L8" t="s">
        <v>848</v>
      </c>
      <c r="M8" t="s">
        <v>863</v>
      </c>
      <c r="N8" s="1">
        <v>45593</v>
      </c>
      <c r="O8">
        <v>3</v>
      </c>
      <c r="P8" s="11">
        <v>46192</v>
      </c>
      <c r="Q8" s="17">
        <f t="shared" si="0"/>
        <v>0</v>
      </c>
      <c r="R8" s="3">
        <v>24</v>
      </c>
      <c r="S8" s="3">
        <v>2806</v>
      </c>
      <c r="T8" s="2">
        <v>46470</v>
      </c>
      <c r="U8" s="3">
        <v>1843.34</v>
      </c>
      <c r="X8" s="17">
        <v>0</v>
      </c>
      <c r="Y8" s="23">
        <v>0</v>
      </c>
      <c r="Z8" s="24"/>
    </row>
    <row r="9" spans="1:27">
      <c r="A9" s="6" t="s">
        <v>14</v>
      </c>
      <c r="B9" t="s">
        <v>463</v>
      </c>
      <c r="C9" t="s">
        <v>864</v>
      </c>
      <c r="D9" s="4">
        <v>46185</v>
      </c>
      <c r="E9">
        <v>112197</v>
      </c>
      <c r="F9" s="5">
        <v>39000</v>
      </c>
      <c r="G9" s="5">
        <v>73197</v>
      </c>
      <c r="H9" t="s">
        <v>842</v>
      </c>
      <c r="I9" s="1">
        <v>46763</v>
      </c>
      <c r="J9" s="9">
        <v>107112456127</v>
      </c>
      <c r="K9" t="s">
        <v>865</v>
      </c>
      <c r="L9" t="s">
        <v>844</v>
      </c>
      <c r="M9" t="s">
        <v>866</v>
      </c>
      <c r="N9" s="1">
        <v>45745</v>
      </c>
      <c r="O9">
        <v>5</v>
      </c>
      <c r="P9" s="11">
        <v>46192</v>
      </c>
      <c r="Q9" s="17">
        <f t="shared" si="0"/>
        <v>2000</v>
      </c>
      <c r="R9" s="3">
        <v>31</v>
      </c>
      <c r="S9" s="3">
        <v>3692</v>
      </c>
      <c r="T9" s="2">
        <v>46783</v>
      </c>
      <c r="U9" s="3">
        <v>3049</v>
      </c>
      <c r="X9" s="17">
        <v>2000</v>
      </c>
      <c r="Y9" s="23">
        <v>0</v>
      </c>
      <c r="Z9" s="24"/>
    </row>
    <row r="10" spans="1:27">
      <c r="A10" s="6" t="s">
        <v>14</v>
      </c>
      <c r="B10" t="s">
        <v>550</v>
      </c>
      <c r="C10" t="s">
        <v>867</v>
      </c>
      <c r="D10" s="4">
        <v>46185</v>
      </c>
      <c r="E10">
        <v>20715</v>
      </c>
      <c r="F10" s="5">
        <v>11780</v>
      </c>
      <c r="G10" s="5">
        <v>8935</v>
      </c>
      <c r="H10" t="s">
        <v>842</v>
      </c>
      <c r="I10" s="1">
        <v>46398</v>
      </c>
      <c r="J10" s="9">
        <v>107112610087</v>
      </c>
      <c r="K10" t="s">
        <v>868</v>
      </c>
      <c r="L10" t="s">
        <v>844</v>
      </c>
      <c r="M10" t="s">
        <v>869</v>
      </c>
      <c r="N10" s="1">
        <v>45821</v>
      </c>
      <c r="O10">
        <v>3</v>
      </c>
      <c r="P10" s="11">
        <v>46192</v>
      </c>
      <c r="Q10" s="17">
        <f t="shared" si="0"/>
        <v>0</v>
      </c>
      <c r="R10" s="3">
        <v>10</v>
      </c>
      <c r="S10" s="3">
        <v>1178</v>
      </c>
      <c r="T10" s="2">
        <v>46428</v>
      </c>
      <c r="U10" s="3">
        <v>689</v>
      </c>
      <c r="X10" s="17">
        <v>0</v>
      </c>
      <c r="Y10" s="23">
        <v>0</v>
      </c>
      <c r="Z10" s="24"/>
    </row>
    <row r="11" spans="1:27">
      <c r="A11" s="6" t="s">
        <v>14</v>
      </c>
      <c r="B11" s="7" t="s">
        <v>1637</v>
      </c>
      <c r="C11" t="s">
        <v>870</v>
      </c>
      <c r="D11" s="4">
        <v>46185</v>
      </c>
      <c r="E11">
        <v>179000</v>
      </c>
      <c r="F11" s="5">
        <v>59798</v>
      </c>
      <c r="G11" s="5">
        <v>119202</v>
      </c>
      <c r="H11" t="s">
        <v>842</v>
      </c>
      <c r="I11" s="1">
        <v>46732</v>
      </c>
      <c r="J11" s="9">
        <v>107112633794</v>
      </c>
      <c r="K11" t="s">
        <v>871</v>
      </c>
      <c r="L11" t="s">
        <v>844</v>
      </c>
      <c r="M11" t="s">
        <v>872</v>
      </c>
      <c r="N11" s="1">
        <v>45765</v>
      </c>
      <c r="O11">
        <v>5</v>
      </c>
      <c r="P11" s="11">
        <v>46192</v>
      </c>
      <c r="Q11" s="17">
        <f t="shared" si="0"/>
        <v>0</v>
      </c>
      <c r="R11" s="3">
        <v>17</v>
      </c>
      <c r="S11" s="3">
        <v>6132</v>
      </c>
      <c r="T11" s="2">
        <v>46769</v>
      </c>
      <c r="U11" s="3">
        <v>4234</v>
      </c>
      <c r="X11" s="17">
        <v>0</v>
      </c>
      <c r="Y11" s="23">
        <v>0</v>
      </c>
      <c r="Z11" s="24"/>
    </row>
    <row r="12" spans="1:27">
      <c r="A12" s="6" t="s">
        <v>14</v>
      </c>
      <c r="B12" t="s">
        <v>215</v>
      </c>
      <c r="C12" t="s">
        <v>850</v>
      </c>
      <c r="D12" s="4">
        <v>46185</v>
      </c>
      <c r="E12">
        <v>78314</v>
      </c>
      <c r="F12" s="5">
        <v>29040</v>
      </c>
      <c r="G12" s="5">
        <v>49274</v>
      </c>
      <c r="H12" t="s">
        <v>842</v>
      </c>
      <c r="I12" s="1">
        <v>46763</v>
      </c>
      <c r="J12" s="9">
        <v>101130216363</v>
      </c>
      <c r="K12" t="s">
        <v>873</v>
      </c>
      <c r="L12" t="s">
        <v>848</v>
      </c>
      <c r="M12" t="s">
        <v>874</v>
      </c>
      <c r="N12" s="1">
        <v>45773</v>
      </c>
      <c r="O12">
        <v>5</v>
      </c>
      <c r="P12" s="11">
        <v>46192</v>
      </c>
      <c r="Q12" s="17">
        <f t="shared" si="0"/>
        <v>0</v>
      </c>
      <c r="R12" s="3">
        <v>24</v>
      </c>
      <c r="S12" s="3">
        <v>2640</v>
      </c>
      <c r="T12" s="2">
        <v>46776</v>
      </c>
      <c r="U12" s="3">
        <v>1754</v>
      </c>
      <c r="X12" s="17">
        <v>0</v>
      </c>
      <c r="Y12" s="23">
        <v>0</v>
      </c>
      <c r="Z12" s="24"/>
    </row>
    <row r="13" spans="1:27">
      <c r="A13" s="6" t="s">
        <v>14</v>
      </c>
      <c r="B13" s="7" t="s">
        <v>1638</v>
      </c>
      <c r="C13" t="s">
        <v>841</v>
      </c>
      <c r="D13" s="4">
        <v>46185</v>
      </c>
      <c r="E13">
        <v>137380</v>
      </c>
      <c r="F13" s="5">
        <v>42043</v>
      </c>
      <c r="G13" s="5">
        <v>95337</v>
      </c>
      <c r="H13" t="s">
        <v>842</v>
      </c>
      <c r="I13" s="1">
        <v>46854</v>
      </c>
      <c r="J13" s="9">
        <v>107112497805</v>
      </c>
      <c r="K13" t="s">
        <v>875</v>
      </c>
      <c r="L13" t="s">
        <v>844</v>
      </c>
      <c r="M13" t="s">
        <v>876</v>
      </c>
      <c r="N13" s="1">
        <v>45751</v>
      </c>
      <c r="O13">
        <v>5</v>
      </c>
      <c r="P13" s="11">
        <v>46192</v>
      </c>
      <c r="Q13" s="17">
        <f t="shared" si="0"/>
        <v>0</v>
      </c>
      <c r="R13" s="3">
        <v>24</v>
      </c>
      <c r="S13" s="3">
        <v>4280</v>
      </c>
      <c r="T13" s="2">
        <v>46867</v>
      </c>
      <c r="U13" s="3">
        <v>820</v>
      </c>
      <c r="X13" s="17">
        <v>0</v>
      </c>
      <c r="Y13" s="23">
        <v>0</v>
      </c>
      <c r="Z13" s="24"/>
    </row>
    <row r="14" spans="1:27">
      <c r="A14" s="6" t="s">
        <v>14</v>
      </c>
      <c r="B14" t="s">
        <v>36</v>
      </c>
      <c r="C14" t="s">
        <v>877</v>
      </c>
      <c r="D14" s="4">
        <v>46185</v>
      </c>
      <c r="E14">
        <v>93677</v>
      </c>
      <c r="F14" s="5">
        <v>28800</v>
      </c>
      <c r="G14" s="5">
        <v>64877</v>
      </c>
      <c r="H14" t="s">
        <v>842</v>
      </c>
      <c r="I14" s="1">
        <v>46794</v>
      </c>
      <c r="J14" s="9">
        <v>101128199843</v>
      </c>
      <c r="K14" t="s">
        <v>878</v>
      </c>
      <c r="L14" t="s">
        <v>848</v>
      </c>
      <c r="M14" t="s">
        <v>879</v>
      </c>
      <c r="N14" s="1">
        <v>45653</v>
      </c>
      <c r="O14">
        <v>5</v>
      </c>
      <c r="P14" s="11">
        <v>46192</v>
      </c>
      <c r="Q14" s="17">
        <f t="shared" si="0"/>
        <v>0</v>
      </c>
      <c r="R14" s="3">
        <v>3</v>
      </c>
      <c r="S14" s="3">
        <v>3200</v>
      </c>
      <c r="T14" s="2">
        <v>46815</v>
      </c>
      <c r="U14" s="3">
        <v>877</v>
      </c>
      <c r="X14" s="17">
        <v>0</v>
      </c>
      <c r="Y14" s="23">
        <v>0</v>
      </c>
      <c r="Z14" s="24"/>
    </row>
    <row r="15" spans="1:27">
      <c r="A15" s="6" t="s">
        <v>14</v>
      </c>
      <c r="B15" t="s">
        <v>659</v>
      </c>
      <c r="C15" t="s">
        <v>880</v>
      </c>
      <c r="D15" s="4">
        <v>46185</v>
      </c>
      <c r="E15">
        <v>24696</v>
      </c>
      <c r="F15" s="5">
        <v>14960</v>
      </c>
      <c r="G15" s="5">
        <v>9736</v>
      </c>
      <c r="H15" t="s">
        <v>842</v>
      </c>
      <c r="I15" s="1">
        <v>46398</v>
      </c>
      <c r="J15" s="9">
        <v>107112762784</v>
      </c>
      <c r="K15" t="s">
        <v>881</v>
      </c>
      <c r="L15" t="s">
        <v>844</v>
      </c>
      <c r="M15" t="s">
        <v>882</v>
      </c>
      <c r="N15" s="1">
        <v>45778</v>
      </c>
      <c r="O15">
        <v>3</v>
      </c>
      <c r="P15" s="11">
        <v>46192</v>
      </c>
      <c r="Q15" s="17">
        <f t="shared" si="0"/>
        <v>0</v>
      </c>
      <c r="R15" s="3">
        <v>3</v>
      </c>
      <c r="S15" s="3">
        <v>1360</v>
      </c>
      <c r="T15" s="2">
        <v>46421</v>
      </c>
      <c r="U15" s="3">
        <v>216</v>
      </c>
      <c r="X15" s="17">
        <v>0</v>
      </c>
      <c r="Y15" s="23">
        <v>0</v>
      </c>
      <c r="Z15" s="24"/>
    </row>
    <row r="16" spans="1:27">
      <c r="A16" s="6" t="s">
        <v>14</v>
      </c>
      <c r="B16" t="s">
        <v>681</v>
      </c>
      <c r="C16" t="s">
        <v>841</v>
      </c>
      <c r="D16" s="4">
        <v>46185</v>
      </c>
      <c r="E16">
        <v>75452</v>
      </c>
      <c r="F16" s="5">
        <v>26880</v>
      </c>
      <c r="G16" s="5">
        <v>48572</v>
      </c>
      <c r="H16" t="s">
        <v>842</v>
      </c>
      <c r="I16" s="1">
        <v>46794</v>
      </c>
      <c r="J16" s="9">
        <v>107112798785</v>
      </c>
      <c r="K16" t="s">
        <v>883</v>
      </c>
      <c r="L16" t="s">
        <v>844</v>
      </c>
      <c r="M16" t="s">
        <v>884</v>
      </c>
      <c r="N16" s="1">
        <v>45783</v>
      </c>
      <c r="O16">
        <v>5</v>
      </c>
      <c r="P16" s="11">
        <v>46192</v>
      </c>
      <c r="Q16" s="17">
        <f t="shared" si="0"/>
        <v>0</v>
      </c>
      <c r="R16" s="3">
        <v>31</v>
      </c>
      <c r="S16" s="3">
        <v>2496</v>
      </c>
      <c r="T16" s="2">
        <v>46812</v>
      </c>
      <c r="U16" s="3">
        <v>1148</v>
      </c>
      <c r="X16" s="17">
        <v>0</v>
      </c>
      <c r="Y16" s="23">
        <v>0</v>
      </c>
      <c r="Z16" s="24"/>
    </row>
    <row r="17" spans="1:26">
      <c r="A17" s="6" t="s">
        <v>14</v>
      </c>
      <c r="B17" t="s">
        <v>377</v>
      </c>
      <c r="C17" t="s">
        <v>870</v>
      </c>
      <c r="D17" s="4">
        <v>46185</v>
      </c>
      <c r="E17">
        <v>66000</v>
      </c>
      <c r="F17" s="5">
        <v>25800</v>
      </c>
      <c r="G17" s="5">
        <v>40200</v>
      </c>
      <c r="H17" t="s">
        <v>842</v>
      </c>
      <c r="I17" s="1">
        <v>46763</v>
      </c>
      <c r="J17" s="9">
        <v>107112217965</v>
      </c>
      <c r="K17" t="s">
        <v>885</v>
      </c>
      <c r="L17" t="s">
        <v>844</v>
      </c>
      <c r="M17" t="s">
        <v>886</v>
      </c>
      <c r="N17" s="1">
        <v>45724</v>
      </c>
      <c r="O17">
        <v>5</v>
      </c>
      <c r="P17" s="11">
        <v>46192</v>
      </c>
      <c r="Q17" s="17">
        <f t="shared" si="0"/>
        <v>0</v>
      </c>
      <c r="R17" s="3">
        <v>17</v>
      </c>
      <c r="S17" s="3">
        <v>2200</v>
      </c>
      <c r="T17" s="2">
        <v>46769</v>
      </c>
      <c r="U17" s="3">
        <v>600</v>
      </c>
      <c r="X17" s="17">
        <v>0</v>
      </c>
      <c r="Y17" s="23">
        <v>0</v>
      </c>
      <c r="Z17" s="24"/>
    </row>
    <row r="18" spans="1:26">
      <c r="A18" s="6" t="s">
        <v>14</v>
      </c>
      <c r="B18" t="s">
        <v>312</v>
      </c>
      <c r="C18" t="s">
        <v>887</v>
      </c>
      <c r="D18" s="4">
        <v>46185</v>
      </c>
      <c r="E18">
        <v>52000</v>
      </c>
      <c r="F18" s="5">
        <v>24948</v>
      </c>
      <c r="G18" s="5">
        <v>27052</v>
      </c>
      <c r="H18" t="s">
        <v>842</v>
      </c>
      <c r="I18" s="1">
        <v>46641</v>
      </c>
      <c r="J18" s="9">
        <v>107111390157</v>
      </c>
      <c r="K18" t="s">
        <v>888</v>
      </c>
      <c r="L18" t="s">
        <v>844</v>
      </c>
      <c r="M18" t="s">
        <v>889</v>
      </c>
      <c r="N18" s="1">
        <v>45629</v>
      </c>
      <c r="O18">
        <v>5</v>
      </c>
      <c r="P18" s="11">
        <v>46192</v>
      </c>
      <c r="Q18" s="17">
        <f t="shared" si="0"/>
        <v>0</v>
      </c>
      <c r="R18" s="3">
        <v>10</v>
      </c>
      <c r="S18" s="3">
        <v>1782</v>
      </c>
      <c r="T18" s="2">
        <v>46670</v>
      </c>
      <c r="U18" s="3">
        <v>322</v>
      </c>
      <c r="X18" s="17">
        <v>0</v>
      </c>
      <c r="Y18" s="23">
        <v>0</v>
      </c>
      <c r="Z18" s="24"/>
    </row>
    <row r="19" spans="1:26">
      <c r="A19" s="6" t="s">
        <v>14</v>
      </c>
      <c r="B19" t="s">
        <v>270</v>
      </c>
      <c r="C19" t="s">
        <v>890</v>
      </c>
      <c r="D19" s="4">
        <v>46185</v>
      </c>
      <c r="E19">
        <v>121733</v>
      </c>
      <c r="F19" s="5">
        <v>48984</v>
      </c>
      <c r="G19" s="5">
        <v>72749</v>
      </c>
      <c r="H19" t="s">
        <v>842</v>
      </c>
      <c r="I19" s="1">
        <v>46641</v>
      </c>
      <c r="J19" s="9">
        <v>101130796627</v>
      </c>
      <c r="K19" t="s">
        <v>891</v>
      </c>
      <c r="L19" t="s">
        <v>848</v>
      </c>
      <c r="M19" t="s">
        <v>892</v>
      </c>
      <c r="N19" s="1">
        <v>45799</v>
      </c>
      <c r="O19">
        <v>4</v>
      </c>
      <c r="P19" s="11">
        <v>46192</v>
      </c>
      <c r="Q19" s="17">
        <f t="shared" si="0"/>
        <v>0</v>
      </c>
      <c r="R19" s="3">
        <v>10</v>
      </c>
      <c r="S19" s="3">
        <v>4872</v>
      </c>
      <c r="T19" s="2">
        <v>46670</v>
      </c>
      <c r="U19" s="3">
        <v>1325</v>
      </c>
      <c r="X19" s="17">
        <v>0</v>
      </c>
      <c r="Y19" s="23">
        <v>0</v>
      </c>
      <c r="Z19" s="24"/>
    </row>
    <row r="20" spans="1:26">
      <c r="A20" s="6" t="s">
        <v>14</v>
      </c>
      <c r="B20" t="s">
        <v>757</v>
      </c>
      <c r="C20" t="s">
        <v>856</v>
      </c>
      <c r="D20" s="4">
        <v>46185</v>
      </c>
      <c r="E20">
        <v>143403</v>
      </c>
      <c r="F20" s="5">
        <v>47320</v>
      </c>
      <c r="G20" s="5">
        <v>96083</v>
      </c>
      <c r="H20" t="s">
        <v>842</v>
      </c>
      <c r="I20" s="1">
        <v>46763</v>
      </c>
      <c r="J20" s="9">
        <v>107112950619</v>
      </c>
      <c r="K20" t="s">
        <v>893</v>
      </c>
      <c r="L20" t="s">
        <v>844</v>
      </c>
      <c r="M20" t="s">
        <v>894</v>
      </c>
      <c r="N20" s="1">
        <v>45798</v>
      </c>
      <c r="O20">
        <v>5</v>
      </c>
      <c r="P20" s="11">
        <v>46192</v>
      </c>
      <c r="Q20" s="17">
        <f t="shared" si="0"/>
        <v>0</v>
      </c>
      <c r="R20" s="3">
        <v>17</v>
      </c>
      <c r="S20" s="3">
        <v>4980</v>
      </c>
      <c r="T20" s="2">
        <v>46800</v>
      </c>
      <c r="U20" s="3">
        <v>1463</v>
      </c>
      <c r="X20" s="17">
        <v>0</v>
      </c>
      <c r="Y20" s="23">
        <v>0</v>
      </c>
      <c r="Z20" s="24"/>
    </row>
    <row r="21" spans="1:26">
      <c r="A21" s="6" t="s">
        <v>14</v>
      </c>
      <c r="B21" t="s">
        <v>171</v>
      </c>
      <c r="C21" t="s">
        <v>846</v>
      </c>
      <c r="D21" s="4">
        <v>46185</v>
      </c>
      <c r="E21">
        <v>169978</v>
      </c>
      <c r="F21" s="5">
        <v>60566.67</v>
      </c>
      <c r="G21" s="5">
        <v>109411.33</v>
      </c>
      <c r="H21" t="s">
        <v>842</v>
      </c>
      <c r="I21" s="1">
        <v>46763</v>
      </c>
      <c r="J21" s="9">
        <v>101129963777</v>
      </c>
      <c r="K21" t="s">
        <v>895</v>
      </c>
      <c r="L21" t="s">
        <v>848</v>
      </c>
      <c r="M21" t="s">
        <v>896</v>
      </c>
      <c r="N21" s="1">
        <v>45771</v>
      </c>
      <c r="O21">
        <v>5</v>
      </c>
      <c r="P21" s="11">
        <v>46192</v>
      </c>
      <c r="Q21" s="17">
        <f t="shared" si="0"/>
        <v>0</v>
      </c>
      <c r="R21" s="3">
        <v>3</v>
      </c>
      <c r="S21" s="3">
        <v>5635</v>
      </c>
      <c r="T21" s="2">
        <v>46786</v>
      </c>
      <c r="U21" s="3">
        <v>2346.3299999999899</v>
      </c>
      <c r="X21" s="17">
        <v>0</v>
      </c>
      <c r="Y21" s="23">
        <v>0</v>
      </c>
      <c r="Z21" s="24"/>
    </row>
    <row r="22" spans="1:26">
      <c r="A22" s="6" t="s">
        <v>14</v>
      </c>
      <c r="B22" t="s">
        <v>673</v>
      </c>
      <c r="C22" t="s">
        <v>841</v>
      </c>
      <c r="D22" s="4">
        <v>46185</v>
      </c>
      <c r="E22">
        <v>161888</v>
      </c>
      <c r="F22" s="5">
        <v>46156</v>
      </c>
      <c r="G22" s="5">
        <v>115732</v>
      </c>
      <c r="H22" t="s">
        <v>842</v>
      </c>
      <c r="I22" s="1">
        <v>46823</v>
      </c>
      <c r="J22" s="9">
        <v>107112784036</v>
      </c>
      <c r="K22" t="s">
        <v>897</v>
      </c>
      <c r="L22" t="s">
        <v>844</v>
      </c>
      <c r="M22" t="s">
        <v>898</v>
      </c>
      <c r="N22" s="1">
        <v>45782</v>
      </c>
      <c r="O22">
        <v>5</v>
      </c>
      <c r="P22" s="11">
        <v>46192</v>
      </c>
      <c r="Q22" s="17">
        <f t="shared" si="0"/>
        <v>0</v>
      </c>
      <c r="R22" s="3">
        <v>10</v>
      </c>
      <c r="S22" s="3">
        <v>5292</v>
      </c>
      <c r="T22" s="2">
        <v>46853</v>
      </c>
      <c r="U22" s="3">
        <v>4600</v>
      </c>
      <c r="X22" s="17">
        <v>0</v>
      </c>
      <c r="Y22" s="23">
        <v>0</v>
      </c>
      <c r="Z22" s="24"/>
    </row>
    <row r="23" spans="1:26">
      <c r="A23" s="6" t="s">
        <v>14</v>
      </c>
      <c r="B23" t="s">
        <v>739</v>
      </c>
      <c r="C23" t="s">
        <v>864</v>
      </c>
      <c r="D23" s="4">
        <v>46185</v>
      </c>
      <c r="E23">
        <v>149690</v>
      </c>
      <c r="F23" s="5">
        <v>40961</v>
      </c>
      <c r="G23" s="5">
        <v>108729</v>
      </c>
      <c r="H23" t="s">
        <v>842</v>
      </c>
      <c r="I23" s="1">
        <v>46794</v>
      </c>
      <c r="J23" s="9">
        <v>107112901979</v>
      </c>
      <c r="K23" t="s">
        <v>899</v>
      </c>
      <c r="L23" t="s">
        <v>844</v>
      </c>
      <c r="M23" t="s">
        <v>900</v>
      </c>
      <c r="N23" s="1">
        <v>45794</v>
      </c>
      <c r="O23">
        <v>5</v>
      </c>
      <c r="P23" s="11">
        <v>46192</v>
      </c>
      <c r="Q23" s="17">
        <f t="shared" si="0"/>
        <v>0</v>
      </c>
      <c r="R23" s="3">
        <v>17</v>
      </c>
      <c r="S23" s="3">
        <v>5076</v>
      </c>
      <c r="T23" s="2">
        <v>46800</v>
      </c>
      <c r="U23" s="3">
        <v>4717</v>
      </c>
      <c r="X23" s="17">
        <v>0</v>
      </c>
      <c r="Y23" s="23">
        <v>0</v>
      </c>
      <c r="Z23" s="24"/>
    </row>
    <row r="24" spans="1:26">
      <c r="A24" s="6" t="s">
        <v>14</v>
      </c>
      <c r="B24" t="s">
        <v>189</v>
      </c>
      <c r="C24" t="s">
        <v>901</v>
      </c>
      <c r="D24" s="4">
        <v>46185</v>
      </c>
      <c r="E24">
        <v>88000</v>
      </c>
      <c r="F24" s="5">
        <v>88000</v>
      </c>
      <c r="G24" s="5">
        <v>0</v>
      </c>
      <c r="H24" s="7" t="s">
        <v>1659</v>
      </c>
      <c r="I24" s="1">
        <v>46579</v>
      </c>
      <c r="J24" s="9">
        <v>101130093956</v>
      </c>
      <c r="K24" t="s">
        <v>902</v>
      </c>
      <c r="L24" t="s">
        <v>848</v>
      </c>
      <c r="M24" t="s">
        <v>903</v>
      </c>
      <c r="N24" s="1">
        <v>45762</v>
      </c>
      <c r="O24">
        <v>3</v>
      </c>
      <c r="P24" s="11">
        <v>46192</v>
      </c>
      <c r="Q24" s="17">
        <f t="shared" si="0"/>
        <v>0</v>
      </c>
      <c r="R24" s="3">
        <v>3</v>
      </c>
      <c r="S24" s="3">
        <v>3750</v>
      </c>
      <c r="T24" s="2">
        <v>46602</v>
      </c>
      <c r="U24" s="3">
        <v>1750</v>
      </c>
      <c r="X24" s="17">
        <v>0</v>
      </c>
      <c r="Y24" s="23">
        <v>0</v>
      </c>
      <c r="Z24" s="24"/>
    </row>
    <row r="25" spans="1:26">
      <c r="A25" s="6" t="s">
        <v>14</v>
      </c>
      <c r="B25" t="s">
        <v>686</v>
      </c>
      <c r="C25" t="s">
        <v>841</v>
      </c>
      <c r="D25" s="4">
        <v>46185</v>
      </c>
      <c r="E25">
        <v>26555</v>
      </c>
      <c r="F25" s="5">
        <v>14880</v>
      </c>
      <c r="G25" s="5">
        <v>11675</v>
      </c>
      <c r="H25" t="s">
        <v>842</v>
      </c>
      <c r="I25" s="1">
        <v>46398</v>
      </c>
      <c r="J25" s="9">
        <v>107112806153</v>
      </c>
      <c r="K25" t="s">
        <v>868</v>
      </c>
      <c r="L25" t="s">
        <v>844</v>
      </c>
      <c r="M25" t="s">
        <v>904</v>
      </c>
      <c r="N25" s="1">
        <v>45786</v>
      </c>
      <c r="O25">
        <v>3</v>
      </c>
      <c r="P25" s="11">
        <v>46192</v>
      </c>
      <c r="Q25" s="17">
        <f t="shared" si="0"/>
        <v>0</v>
      </c>
      <c r="R25" s="3">
        <v>10</v>
      </c>
      <c r="S25" s="3">
        <v>1488</v>
      </c>
      <c r="T25" s="2">
        <v>46428</v>
      </c>
      <c r="U25" s="3">
        <v>1259</v>
      </c>
      <c r="X25" s="17">
        <v>0</v>
      </c>
      <c r="Y25" s="23">
        <v>0</v>
      </c>
      <c r="Z25" s="24"/>
    </row>
    <row r="26" spans="1:26">
      <c r="A26" s="6" t="s">
        <v>14</v>
      </c>
      <c r="B26" t="s">
        <v>372</v>
      </c>
      <c r="C26" t="s">
        <v>864</v>
      </c>
      <c r="D26" s="4">
        <v>46185</v>
      </c>
      <c r="E26">
        <v>121169</v>
      </c>
      <c r="F26" s="5">
        <v>42350</v>
      </c>
      <c r="G26" s="5">
        <v>78819</v>
      </c>
      <c r="H26" t="s">
        <v>842</v>
      </c>
      <c r="I26" s="1">
        <v>46763</v>
      </c>
      <c r="J26" s="9">
        <v>107112205936</v>
      </c>
      <c r="K26" t="s">
        <v>905</v>
      </c>
      <c r="L26" t="s">
        <v>844</v>
      </c>
      <c r="M26" t="s">
        <v>906</v>
      </c>
      <c r="N26" s="1">
        <v>45724</v>
      </c>
      <c r="O26">
        <v>5</v>
      </c>
      <c r="P26" s="11">
        <v>46192</v>
      </c>
      <c r="Q26" s="17">
        <f t="shared" si="0"/>
        <v>2200</v>
      </c>
      <c r="R26" s="3">
        <v>31</v>
      </c>
      <c r="S26" s="3">
        <v>4015</v>
      </c>
      <c r="T26" s="2">
        <v>46783</v>
      </c>
      <c r="U26" s="3">
        <v>2534</v>
      </c>
      <c r="X26" s="17">
        <v>2200</v>
      </c>
      <c r="Y26" s="23">
        <v>0</v>
      </c>
      <c r="Z26" s="24"/>
    </row>
    <row r="27" spans="1:26">
      <c r="A27" s="6" t="s">
        <v>14</v>
      </c>
      <c r="B27" t="s">
        <v>441</v>
      </c>
      <c r="C27" t="s">
        <v>907</v>
      </c>
      <c r="D27" s="4">
        <v>46185</v>
      </c>
      <c r="E27">
        <v>79554</v>
      </c>
      <c r="F27" s="5">
        <v>27260</v>
      </c>
      <c r="G27" s="5">
        <v>52294</v>
      </c>
      <c r="H27" t="s">
        <v>842</v>
      </c>
      <c r="I27" s="1">
        <v>46823</v>
      </c>
      <c r="J27" s="9">
        <v>107112379629</v>
      </c>
      <c r="K27" t="s">
        <v>908</v>
      </c>
      <c r="L27" t="s">
        <v>844</v>
      </c>
      <c r="M27" t="s">
        <v>909</v>
      </c>
      <c r="N27" s="1">
        <v>45738</v>
      </c>
      <c r="O27">
        <v>5</v>
      </c>
      <c r="P27" s="11">
        <v>46192</v>
      </c>
      <c r="Q27" s="17">
        <f t="shared" si="0"/>
        <v>0</v>
      </c>
      <c r="R27" s="3">
        <v>3</v>
      </c>
      <c r="S27" s="3">
        <v>2448</v>
      </c>
      <c r="T27" s="2">
        <v>46846</v>
      </c>
      <c r="U27" s="3">
        <v>1846</v>
      </c>
      <c r="X27" s="17">
        <v>0</v>
      </c>
      <c r="Y27" s="23">
        <v>0</v>
      </c>
      <c r="Z27" s="24"/>
    </row>
    <row r="28" spans="1:26">
      <c r="A28" s="6" t="s">
        <v>14</v>
      </c>
      <c r="B28" t="s">
        <v>151</v>
      </c>
      <c r="C28" t="s">
        <v>910</v>
      </c>
      <c r="D28" s="4">
        <v>46185</v>
      </c>
      <c r="E28">
        <v>79477</v>
      </c>
      <c r="F28" s="5">
        <v>43798</v>
      </c>
      <c r="G28" s="5">
        <v>35679</v>
      </c>
      <c r="H28" t="s">
        <v>842</v>
      </c>
      <c r="I28" s="1">
        <v>46429</v>
      </c>
      <c r="J28" s="9">
        <v>101129734313</v>
      </c>
      <c r="K28" t="s">
        <v>911</v>
      </c>
      <c r="L28" t="s">
        <v>848</v>
      </c>
      <c r="M28" t="s">
        <v>912</v>
      </c>
      <c r="N28" s="1">
        <v>45757</v>
      </c>
      <c r="O28">
        <v>3</v>
      </c>
      <c r="P28" s="11">
        <v>46192</v>
      </c>
      <c r="Q28" s="17">
        <f t="shared" si="0"/>
        <v>0</v>
      </c>
      <c r="R28" s="3">
        <v>10</v>
      </c>
      <c r="S28" s="3">
        <v>4288</v>
      </c>
      <c r="T28" s="2">
        <v>46428</v>
      </c>
      <c r="U28" s="3">
        <v>4174.33</v>
      </c>
      <c r="X28" s="17">
        <v>0</v>
      </c>
      <c r="Y28" s="23">
        <v>0</v>
      </c>
      <c r="Z28" s="24"/>
    </row>
    <row r="29" spans="1:26">
      <c r="A29" s="6" t="s">
        <v>14</v>
      </c>
      <c r="B29" t="s">
        <v>22</v>
      </c>
      <c r="C29" t="s">
        <v>861</v>
      </c>
      <c r="D29" s="4">
        <v>46185</v>
      </c>
      <c r="E29">
        <v>50000</v>
      </c>
      <c r="F29" s="5">
        <v>21669.990000000005</v>
      </c>
      <c r="G29" s="5">
        <v>28330.009999999995</v>
      </c>
      <c r="H29" t="s">
        <v>842</v>
      </c>
      <c r="I29" s="1">
        <v>46945</v>
      </c>
      <c r="J29" s="9">
        <v>101127524235</v>
      </c>
      <c r="K29" t="s">
        <v>913</v>
      </c>
      <c r="L29" t="s">
        <v>848</v>
      </c>
      <c r="M29" t="s">
        <v>914</v>
      </c>
      <c r="N29" s="1">
        <v>45613</v>
      </c>
      <c r="O29">
        <v>5</v>
      </c>
      <c r="P29" s="11">
        <v>46192</v>
      </c>
      <c r="Q29" s="17">
        <f t="shared" si="0"/>
        <v>0</v>
      </c>
      <c r="R29" s="3">
        <v>24</v>
      </c>
      <c r="S29" s="3">
        <v>3300</v>
      </c>
      <c r="T29" s="2">
        <v>46380</v>
      </c>
      <c r="U29" s="3">
        <v>2260</v>
      </c>
      <c r="X29" s="17">
        <v>0</v>
      </c>
      <c r="Y29" s="23">
        <v>0</v>
      </c>
      <c r="Z29" s="24"/>
    </row>
    <row r="30" spans="1:26">
      <c r="A30" s="6" t="s">
        <v>14</v>
      </c>
      <c r="B30" t="s">
        <v>475</v>
      </c>
      <c r="C30" t="s">
        <v>841</v>
      </c>
      <c r="D30" s="4">
        <v>46185</v>
      </c>
      <c r="E30">
        <v>29297</v>
      </c>
      <c r="F30" s="5">
        <v>17574</v>
      </c>
      <c r="G30" s="5">
        <v>11723</v>
      </c>
      <c r="H30" t="s">
        <v>842</v>
      </c>
      <c r="I30" s="1">
        <v>46398</v>
      </c>
      <c r="J30" s="9">
        <v>107112476987</v>
      </c>
      <c r="K30" t="s">
        <v>859</v>
      </c>
      <c r="L30" t="s">
        <v>844</v>
      </c>
      <c r="M30" t="s">
        <v>915</v>
      </c>
      <c r="N30" s="1">
        <v>45748</v>
      </c>
      <c r="O30">
        <v>3</v>
      </c>
      <c r="P30" s="11">
        <v>46192</v>
      </c>
      <c r="Q30" s="17">
        <f t="shared" si="0"/>
        <v>0</v>
      </c>
      <c r="R30" s="3">
        <v>17</v>
      </c>
      <c r="S30" s="3">
        <v>1566</v>
      </c>
      <c r="T30" s="2">
        <v>46435</v>
      </c>
      <c r="U30" s="3">
        <v>1109</v>
      </c>
      <c r="X30" s="17">
        <v>0</v>
      </c>
      <c r="Y30" s="23">
        <v>0</v>
      </c>
      <c r="Z30" s="24"/>
    </row>
    <row r="31" spans="1:26">
      <c r="A31" s="6" t="s">
        <v>14</v>
      </c>
      <c r="B31" t="s">
        <v>250</v>
      </c>
      <c r="C31" t="s">
        <v>861</v>
      </c>
      <c r="D31" s="4">
        <v>46185</v>
      </c>
      <c r="E31">
        <v>120000</v>
      </c>
      <c r="F31" s="5">
        <v>40590</v>
      </c>
      <c r="G31" s="5">
        <v>79410</v>
      </c>
      <c r="H31" t="s">
        <v>842</v>
      </c>
      <c r="I31" s="1">
        <v>46884</v>
      </c>
      <c r="J31" s="9">
        <v>101130607995</v>
      </c>
      <c r="K31" t="s">
        <v>916</v>
      </c>
      <c r="L31" t="s">
        <v>848</v>
      </c>
      <c r="M31" t="s">
        <v>917</v>
      </c>
      <c r="N31" s="1">
        <v>45788</v>
      </c>
      <c r="O31">
        <v>6</v>
      </c>
      <c r="P31" s="11">
        <v>46192</v>
      </c>
      <c r="Q31" s="17">
        <f t="shared" si="0"/>
        <v>0</v>
      </c>
      <c r="R31" s="3">
        <v>24</v>
      </c>
      <c r="S31" s="3">
        <v>3432</v>
      </c>
      <c r="T31" s="2">
        <v>46897</v>
      </c>
      <c r="U31" s="3">
        <v>42</v>
      </c>
      <c r="X31" s="17">
        <v>0</v>
      </c>
      <c r="Y31" s="23">
        <v>0</v>
      </c>
      <c r="Z31" s="24"/>
    </row>
    <row r="32" spans="1:26">
      <c r="A32" s="6" t="s">
        <v>14</v>
      </c>
      <c r="B32" t="s">
        <v>751</v>
      </c>
      <c r="C32" t="s">
        <v>853</v>
      </c>
      <c r="D32" s="4">
        <v>46185</v>
      </c>
      <c r="E32">
        <v>95000</v>
      </c>
      <c r="F32" s="5">
        <v>31465</v>
      </c>
      <c r="G32" s="5">
        <v>63535</v>
      </c>
      <c r="H32" t="s">
        <v>842</v>
      </c>
      <c r="I32" s="1">
        <v>46763</v>
      </c>
      <c r="J32" s="9">
        <v>107112926715</v>
      </c>
      <c r="K32" t="s">
        <v>918</v>
      </c>
      <c r="L32" t="s">
        <v>844</v>
      </c>
      <c r="M32" t="s">
        <v>919</v>
      </c>
      <c r="N32" s="1">
        <v>45796</v>
      </c>
      <c r="O32">
        <v>5</v>
      </c>
      <c r="P32" s="11">
        <v>46192</v>
      </c>
      <c r="Q32" s="17">
        <f t="shared" si="0"/>
        <v>0</v>
      </c>
      <c r="R32" s="3">
        <v>17</v>
      </c>
      <c r="S32" s="3">
        <v>3285</v>
      </c>
      <c r="T32" s="2">
        <v>46800</v>
      </c>
      <c r="U32" s="3">
        <v>1120</v>
      </c>
      <c r="X32" s="17">
        <v>0</v>
      </c>
      <c r="Y32" s="23">
        <v>0</v>
      </c>
      <c r="Z32" s="24"/>
    </row>
    <row r="33" spans="1:26">
      <c r="A33" s="6" t="s">
        <v>14</v>
      </c>
      <c r="B33" t="s">
        <v>191</v>
      </c>
      <c r="C33" t="s">
        <v>850</v>
      </c>
      <c r="D33" s="4">
        <v>46185</v>
      </c>
      <c r="E33">
        <v>74625</v>
      </c>
      <c r="F33" s="5">
        <v>47196</v>
      </c>
      <c r="G33" s="5">
        <v>27429</v>
      </c>
      <c r="H33" t="s">
        <v>842</v>
      </c>
      <c r="I33" s="1">
        <v>46429</v>
      </c>
      <c r="J33" s="9">
        <v>101130107192</v>
      </c>
      <c r="K33" t="s">
        <v>920</v>
      </c>
      <c r="L33" t="s">
        <v>848</v>
      </c>
      <c r="M33" t="s">
        <v>921</v>
      </c>
      <c r="N33" s="1">
        <v>45764</v>
      </c>
      <c r="O33">
        <v>3</v>
      </c>
      <c r="P33" s="11">
        <v>46192</v>
      </c>
      <c r="Q33" s="17">
        <f t="shared" si="0"/>
        <v>0</v>
      </c>
      <c r="R33" s="3">
        <v>17</v>
      </c>
      <c r="S33" s="3">
        <v>3933</v>
      </c>
      <c r="T33" s="2">
        <v>46435</v>
      </c>
      <c r="U33" s="3">
        <v>3831</v>
      </c>
      <c r="X33" s="17">
        <v>0</v>
      </c>
      <c r="Y33" s="23">
        <v>0</v>
      </c>
      <c r="Z33" s="24"/>
    </row>
    <row r="34" spans="1:26">
      <c r="A34" s="6" t="s">
        <v>14</v>
      </c>
      <c r="B34" t="s">
        <v>147</v>
      </c>
      <c r="C34" t="s">
        <v>890</v>
      </c>
      <c r="D34" s="4">
        <v>46185</v>
      </c>
      <c r="E34">
        <v>81225</v>
      </c>
      <c r="F34" s="5">
        <v>32882</v>
      </c>
      <c r="G34" s="5">
        <v>48343</v>
      </c>
      <c r="H34" t="s">
        <v>842</v>
      </c>
      <c r="I34" s="1">
        <v>46732</v>
      </c>
      <c r="J34" s="9">
        <v>101129694480</v>
      </c>
      <c r="K34" t="s">
        <v>922</v>
      </c>
      <c r="L34" t="s">
        <v>848</v>
      </c>
      <c r="M34" t="s">
        <v>923</v>
      </c>
      <c r="N34" s="1">
        <v>45745</v>
      </c>
      <c r="O34">
        <v>5</v>
      </c>
      <c r="P34" s="11">
        <v>46192</v>
      </c>
      <c r="Q34" s="17">
        <f t="shared" si="0"/>
        <v>2752</v>
      </c>
      <c r="R34" s="3">
        <v>24</v>
      </c>
      <c r="S34" s="3">
        <v>2752</v>
      </c>
      <c r="T34" s="2">
        <v>46745</v>
      </c>
      <c r="U34" s="3">
        <v>1559</v>
      </c>
      <c r="X34" s="17">
        <v>2752</v>
      </c>
      <c r="Y34" s="23">
        <v>0</v>
      </c>
      <c r="Z34" s="24"/>
    </row>
    <row r="35" spans="1:26">
      <c r="A35" s="6" t="s">
        <v>14</v>
      </c>
      <c r="B35" t="s">
        <v>780</v>
      </c>
      <c r="C35" t="s">
        <v>856</v>
      </c>
      <c r="D35" s="4">
        <v>46185</v>
      </c>
      <c r="E35">
        <v>106935</v>
      </c>
      <c r="F35" s="5">
        <v>47100</v>
      </c>
      <c r="G35" s="5">
        <v>59835</v>
      </c>
      <c r="H35" t="s">
        <v>842</v>
      </c>
      <c r="I35" s="1">
        <v>46549</v>
      </c>
      <c r="J35" s="9">
        <v>107113004258</v>
      </c>
      <c r="K35" t="s">
        <v>924</v>
      </c>
      <c r="L35" t="s">
        <v>844</v>
      </c>
      <c r="M35" t="s">
        <v>925</v>
      </c>
      <c r="N35" s="1">
        <v>45804</v>
      </c>
      <c r="O35">
        <v>3</v>
      </c>
      <c r="P35" s="11">
        <v>46192</v>
      </c>
      <c r="Q35" s="17">
        <f t="shared" si="0"/>
        <v>0</v>
      </c>
      <c r="R35" s="3">
        <v>24</v>
      </c>
      <c r="S35" s="3">
        <v>5000</v>
      </c>
      <c r="T35" s="2">
        <v>46592</v>
      </c>
      <c r="U35" s="3">
        <v>335</v>
      </c>
      <c r="X35" s="17">
        <v>0</v>
      </c>
      <c r="Y35" s="23">
        <v>0</v>
      </c>
      <c r="Z35" s="24"/>
    </row>
    <row r="36" spans="1:26">
      <c r="A36" s="6" t="s">
        <v>14</v>
      </c>
      <c r="B36" t="s">
        <v>451</v>
      </c>
      <c r="C36" t="s">
        <v>856</v>
      </c>
      <c r="D36" s="4">
        <v>46185</v>
      </c>
      <c r="E36">
        <v>106836</v>
      </c>
      <c r="F36" s="5">
        <v>29560</v>
      </c>
      <c r="G36" s="5">
        <v>77276</v>
      </c>
      <c r="H36" t="s">
        <v>842</v>
      </c>
      <c r="I36" s="1">
        <v>46945</v>
      </c>
      <c r="J36" s="9">
        <v>107112404846</v>
      </c>
      <c r="K36" t="s">
        <v>926</v>
      </c>
      <c r="L36" t="s">
        <v>844</v>
      </c>
      <c r="M36" t="s">
        <v>927</v>
      </c>
      <c r="N36" s="1">
        <v>45746</v>
      </c>
      <c r="O36">
        <v>6</v>
      </c>
      <c r="P36" s="11">
        <v>46192</v>
      </c>
      <c r="Q36" s="17">
        <f t="shared" si="0"/>
        <v>0</v>
      </c>
      <c r="R36" s="3">
        <v>3</v>
      </c>
      <c r="S36" s="3">
        <v>2960</v>
      </c>
      <c r="T36" s="2">
        <v>46999</v>
      </c>
      <c r="U36" s="3">
        <v>316</v>
      </c>
      <c r="X36" s="17">
        <v>0</v>
      </c>
      <c r="Y36" s="23">
        <v>0</v>
      </c>
      <c r="Z36" s="24"/>
    </row>
    <row r="37" spans="1:26">
      <c r="A37" s="6" t="s">
        <v>14</v>
      </c>
      <c r="B37" t="s">
        <v>217</v>
      </c>
      <c r="C37" t="s">
        <v>910</v>
      </c>
      <c r="D37" s="4">
        <v>46185</v>
      </c>
      <c r="E37">
        <v>90000</v>
      </c>
      <c r="F37" s="5">
        <v>32855.39</v>
      </c>
      <c r="G37" s="5">
        <v>57144.61</v>
      </c>
      <c r="H37" t="s">
        <v>842</v>
      </c>
      <c r="I37" s="1">
        <v>46763</v>
      </c>
      <c r="J37" s="9">
        <v>101130228216</v>
      </c>
      <c r="K37" t="s">
        <v>928</v>
      </c>
      <c r="L37" t="s">
        <v>848</v>
      </c>
      <c r="M37" t="s">
        <v>929</v>
      </c>
      <c r="N37" s="1">
        <v>45773</v>
      </c>
      <c r="O37">
        <v>5</v>
      </c>
      <c r="P37" s="11">
        <v>46192</v>
      </c>
      <c r="Q37" s="17">
        <f t="shared" si="0"/>
        <v>0</v>
      </c>
      <c r="R37" s="3">
        <v>10</v>
      </c>
      <c r="S37" s="3">
        <v>3036</v>
      </c>
      <c r="T37" s="2">
        <v>46762</v>
      </c>
      <c r="U37" s="3">
        <v>2412</v>
      </c>
      <c r="X37" s="17">
        <v>0</v>
      </c>
      <c r="Y37" s="23">
        <v>0</v>
      </c>
      <c r="Z37" s="24"/>
    </row>
    <row r="38" spans="1:26">
      <c r="A38" s="6" t="s">
        <v>14</v>
      </c>
      <c r="B38" t="s">
        <v>784</v>
      </c>
      <c r="C38" t="s">
        <v>841</v>
      </c>
      <c r="D38" s="4">
        <v>46185</v>
      </c>
      <c r="E38">
        <v>123000</v>
      </c>
      <c r="F38" s="5">
        <v>38257</v>
      </c>
      <c r="G38" s="5">
        <v>84743</v>
      </c>
      <c r="H38" t="s">
        <v>842</v>
      </c>
      <c r="I38" s="1">
        <v>46854</v>
      </c>
      <c r="J38" s="9">
        <v>107113008480</v>
      </c>
      <c r="K38" t="s">
        <v>930</v>
      </c>
      <c r="L38" t="s">
        <v>844</v>
      </c>
      <c r="M38" t="s">
        <v>931</v>
      </c>
      <c r="N38" s="1">
        <v>45804</v>
      </c>
      <c r="O38">
        <v>5</v>
      </c>
      <c r="P38" s="11">
        <v>46192</v>
      </c>
      <c r="Q38" s="17">
        <f t="shared" si="0"/>
        <v>0</v>
      </c>
      <c r="R38" s="3">
        <v>17</v>
      </c>
      <c r="S38" s="3">
        <v>3953</v>
      </c>
      <c r="T38" s="2">
        <v>46860</v>
      </c>
      <c r="U38" s="3">
        <v>1730</v>
      </c>
      <c r="X38" s="17">
        <v>0</v>
      </c>
      <c r="Y38" s="23">
        <v>0</v>
      </c>
      <c r="Z38" s="24"/>
    </row>
    <row r="39" spans="1:26">
      <c r="A39" s="6" t="s">
        <v>14</v>
      </c>
      <c r="B39" t="s">
        <v>560</v>
      </c>
      <c r="C39" t="s">
        <v>870</v>
      </c>
      <c r="D39" s="4">
        <v>46185</v>
      </c>
      <c r="E39">
        <v>87000</v>
      </c>
      <c r="F39" s="5">
        <v>26300</v>
      </c>
      <c r="G39" s="5">
        <v>60700</v>
      </c>
      <c r="H39" t="s">
        <v>842</v>
      </c>
      <c r="I39" s="1">
        <v>46763</v>
      </c>
      <c r="J39" s="9">
        <v>107112619000</v>
      </c>
      <c r="K39" t="s">
        <v>932</v>
      </c>
      <c r="L39" t="s">
        <v>844</v>
      </c>
      <c r="M39" t="s">
        <v>933</v>
      </c>
      <c r="N39" s="1">
        <v>45765</v>
      </c>
      <c r="O39">
        <v>5</v>
      </c>
      <c r="P39" s="11">
        <v>46192</v>
      </c>
      <c r="Q39" s="17">
        <f t="shared" si="0"/>
        <v>0</v>
      </c>
      <c r="R39" s="3">
        <v>17</v>
      </c>
      <c r="S39" s="3">
        <v>2900</v>
      </c>
      <c r="T39" s="2">
        <v>46800</v>
      </c>
      <c r="U39" s="3">
        <v>1800</v>
      </c>
      <c r="X39" s="17">
        <v>0</v>
      </c>
      <c r="Y39" s="23">
        <v>0</v>
      </c>
      <c r="Z39" s="24"/>
    </row>
    <row r="40" spans="1:26">
      <c r="A40" s="6" t="s">
        <v>14</v>
      </c>
      <c r="B40" t="s">
        <v>419</v>
      </c>
      <c r="C40" t="s">
        <v>853</v>
      </c>
      <c r="D40" s="4">
        <v>46185</v>
      </c>
      <c r="E40">
        <v>8410</v>
      </c>
      <c r="F40" s="5">
        <v>5712</v>
      </c>
      <c r="G40" s="5">
        <v>2698</v>
      </c>
      <c r="H40" t="s">
        <v>842</v>
      </c>
      <c r="I40" s="1">
        <v>46367</v>
      </c>
      <c r="J40" s="9">
        <v>107112328931</v>
      </c>
      <c r="K40" t="s">
        <v>934</v>
      </c>
      <c r="L40" t="s">
        <v>844</v>
      </c>
      <c r="M40" t="s">
        <v>935</v>
      </c>
      <c r="N40" s="1">
        <v>45738</v>
      </c>
      <c r="O40">
        <v>3</v>
      </c>
      <c r="P40" s="11">
        <v>46192</v>
      </c>
      <c r="Q40" s="17">
        <f t="shared" si="0"/>
        <v>0</v>
      </c>
      <c r="R40" s="3">
        <v>24</v>
      </c>
      <c r="S40" s="3">
        <v>476</v>
      </c>
      <c r="T40" s="2">
        <v>46380</v>
      </c>
      <c r="U40" s="3">
        <v>318</v>
      </c>
      <c r="X40" s="17">
        <v>0</v>
      </c>
      <c r="Y40" s="23">
        <v>0</v>
      </c>
      <c r="Z40" s="24"/>
    </row>
    <row r="41" spans="1:26">
      <c r="A41" s="6" t="s">
        <v>14</v>
      </c>
      <c r="B41" t="s">
        <v>262</v>
      </c>
      <c r="C41" t="s">
        <v>846</v>
      </c>
      <c r="D41" s="4">
        <v>46185</v>
      </c>
      <c r="E41">
        <v>78645</v>
      </c>
      <c r="F41" s="5">
        <v>28512</v>
      </c>
      <c r="G41" s="5">
        <v>50133</v>
      </c>
      <c r="H41" t="s">
        <v>842</v>
      </c>
      <c r="I41" s="1">
        <v>46794</v>
      </c>
      <c r="J41" s="9">
        <v>101130717373</v>
      </c>
      <c r="K41" t="s">
        <v>936</v>
      </c>
      <c r="L41" t="s">
        <v>848</v>
      </c>
      <c r="M41" t="s">
        <v>937</v>
      </c>
      <c r="N41" s="1">
        <v>45795</v>
      </c>
      <c r="O41">
        <v>5</v>
      </c>
      <c r="P41" s="11">
        <v>46192</v>
      </c>
      <c r="Q41" s="17">
        <f t="shared" si="0"/>
        <v>2592</v>
      </c>
      <c r="R41" s="3">
        <v>24</v>
      </c>
      <c r="S41" s="3">
        <v>2592</v>
      </c>
      <c r="T41" s="2">
        <v>46807</v>
      </c>
      <c r="U41" s="3">
        <v>885</v>
      </c>
      <c r="X41" s="17">
        <v>2592</v>
      </c>
      <c r="Y41" s="23">
        <v>0</v>
      </c>
      <c r="Z41" s="24"/>
    </row>
    <row r="42" spans="1:26">
      <c r="A42" s="6" t="s">
        <v>14</v>
      </c>
      <c r="B42" t="s">
        <v>814</v>
      </c>
      <c r="C42" t="s">
        <v>841</v>
      </c>
      <c r="D42" s="4">
        <v>46185</v>
      </c>
      <c r="E42">
        <v>27939</v>
      </c>
      <c r="F42" s="5">
        <v>15200</v>
      </c>
      <c r="G42" s="5">
        <v>12739</v>
      </c>
      <c r="H42" t="s">
        <v>842</v>
      </c>
      <c r="I42" s="1">
        <v>46457</v>
      </c>
      <c r="J42" s="9">
        <v>107113106536</v>
      </c>
      <c r="K42" t="s">
        <v>938</v>
      </c>
      <c r="L42" t="s">
        <v>844</v>
      </c>
      <c r="M42" t="s">
        <v>939</v>
      </c>
      <c r="N42" s="1">
        <v>45814</v>
      </c>
      <c r="O42">
        <v>3</v>
      </c>
      <c r="P42" s="11">
        <v>46192</v>
      </c>
      <c r="Q42" s="17">
        <f t="shared" si="0"/>
        <v>0</v>
      </c>
      <c r="R42" s="3">
        <v>17</v>
      </c>
      <c r="S42" s="3">
        <v>1520</v>
      </c>
      <c r="T42" s="2">
        <v>46463</v>
      </c>
      <c r="U42" s="3">
        <v>579</v>
      </c>
      <c r="X42" s="17">
        <v>0</v>
      </c>
      <c r="Y42" s="23">
        <v>0</v>
      </c>
      <c r="Z42" s="24"/>
    </row>
    <row r="43" spans="1:26">
      <c r="A43" s="6" t="s">
        <v>14</v>
      </c>
      <c r="B43" t="s">
        <v>334</v>
      </c>
      <c r="C43" t="s">
        <v>887</v>
      </c>
      <c r="D43" s="4">
        <v>46185</v>
      </c>
      <c r="E43">
        <v>119788</v>
      </c>
      <c r="F43" s="5">
        <v>40621.78</v>
      </c>
      <c r="G43" s="5">
        <v>79166.22</v>
      </c>
      <c r="H43" t="s">
        <v>842</v>
      </c>
      <c r="I43" s="1">
        <v>46732</v>
      </c>
      <c r="J43" s="9">
        <v>107111983093</v>
      </c>
      <c r="K43" t="s">
        <v>940</v>
      </c>
      <c r="L43" t="s">
        <v>844</v>
      </c>
      <c r="M43" t="s">
        <v>941</v>
      </c>
      <c r="N43" s="1">
        <v>45702</v>
      </c>
      <c r="O43">
        <v>5</v>
      </c>
      <c r="P43" s="11">
        <v>46192</v>
      </c>
      <c r="Q43" s="17">
        <f t="shared" si="0"/>
        <v>4002</v>
      </c>
      <c r="R43" s="3">
        <v>17</v>
      </c>
      <c r="S43" s="3">
        <v>4060</v>
      </c>
      <c r="T43" s="2">
        <v>46769</v>
      </c>
      <c r="U43" s="3">
        <v>3441.33</v>
      </c>
      <c r="X43" s="17">
        <v>4002</v>
      </c>
      <c r="Y43" s="23">
        <v>0</v>
      </c>
      <c r="Z43" s="24"/>
    </row>
    <row r="44" spans="1:26">
      <c r="A44" s="6" t="s">
        <v>14</v>
      </c>
      <c r="B44" t="s">
        <v>473</v>
      </c>
      <c r="C44" t="s">
        <v>880</v>
      </c>
      <c r="D44" s="4">
        <v>46185</v>
      </c>
      <c r="E44">
        <v>23863</v>
      </c>
      <c r="F44" s="5">
        <v>15170</v>
      </c>
      <c r="G44" s="5">
        <v>8693</v>
      </c>
      <c r="H44" t="s">
        <v>842</v>
      </c>
      <c r="I44" s="1">
        <v>46398</v>
      </c>
      <c r="J44" s="9">
        <v>107112470213</v>
      </c>
      <c r="K44" t="s">
        <v>942</v>
      </c>
      <c r="L44" t="s">
        <v>844</v>
      </c>
      <c r="M44" t="s">
        <v>943</v>
      </c>
      <c r="N44" s="1">
        <v>45748</v>
      </c>
      <c r="O44">
        <v>3</v>
      </c>
      <c r="P44" s="11">
        <v>46192</v>
      </c>
      <c r="Q44" s="17">
        <f t="shared" si="0"/>
        <v>1330</v>
      </c>
      <c r="R44" s="3">
        <v>17</v>
      </c>
      <c r="S44" s="3">
        <v>1311</v>
      </c>
      <c r="T44" s="2">
        <v>46404</v>
      </c>
      <c r="U44" s="3">
        <v>265</v>
      </c>
      <c r="X44" s="17">
        <v>1330</v>
      </c>
      <c r="Y44" s="23">
        <v>0</v>
      </c>
      <c r="Z44" s="24"/>
    </row>
    <row r="45" spans="1:26">
      <c r="A45" s="6" t="s">
        <v>14</v>
      </c>
      <c r="B45" t="s">
        <v>193</v>
      </c>
      <c r="C45" t="s">
        <v>910</v>
      </c>
      <c r="D45" s="4">
        <v>46185</v>
      </c>
      <c r="E45">
        <v>88848</v>
      </c>
      <c r="F45" s="5">
        <v>54285</v>
      </c>
      <c r="G45" s="5">
        <v>34563</v>
      </c>
      <c r="H45" t="s">
        <v>842</v>
      </c>
      <c r="I45" s="1">
        <v>46429</v>
      </c>
      <c r="J45" s="9">
        <v>101130115346</v>
      </c>
      <c r="K45" t="s">
        <v>944</v>
      </c>
      <c r="L45" t="s">
        <v>848</v>
      </c>
      <c r="M45" t="s">
        <v>945</v>
      </c>
      <c r="N45" s="1">
        <v>45775</v>
      </c>
      <c r="O45">
        <v>3</v>
      </c>
      <c r="P45" s="11">
        <v>46192</v>
      </c>
      <c r="Q45" s="17">
        <f t="shared" si="0"/>
        <v>0</v>
      </c>
      <c r="R45" s="3">
        <v>17</v>
      </c>
      <c r="S45" s="3">
        <v>4725</v>
      </c>
      <c r="T45" s="2">
        <v>46463</v>
      </c>
      <c r="U45" s="3">
        <v>1488</v>
      </c>
      <c r="X45" s="17">
        <v>0</v>
      </c>
      <c r="Y45" s="23">
        <v>0</v>
      </c>
      <c r="Z45" s="24"/>
    </row>
    <row r="46" spans="1:26">
      <c r="A46" s="6" t="s">
        <v>14</v>
      </c>
      <c r="B46" t="s">
        <v>594</v>
      </c>
      <c r="C46" t="s">
        <v>864</v>
      </c>
      <c r="D46" s="4">
        <v>46185</v>
      </c>
      <c r="E46">
        <v>84510</v>
      </c>
      <c r="F46" s="5">
        <v>28308</v>
      </c>
      <c r="G46" s="5">
        <v>56202</v>
      </c>
      <c r="H46" t="s">
        <v>842</v>
      </c>
      <c r="I46" s="1">
        <v>46763</v>
      </c>
      <c r="J46" s="9">
        <v>107112653316</v>
      </c>
      <c r="K46" t="s">
        <v>946</v>
      </c>
      <c r="L46" t="s">
        <v>844</v>
      </c>
      <c r="M46" t="s">
        <v>947</v>
      </c>
      <c r="N46" s="1">
        <v>45766</v>
      </c>
      <c r="O46">
        <v>5</v>
      </c>
      <c r="P46" s="11">
        <v>46192</v>
      </c>
      <c r="Q46" s="17">
        <f t="shared" si="0"/>
        <v>0</v>
      </c>
      <c r="R46" s="3">
        <v>17</v>
      </c>
      <c r="S46" s="3">
        <v>2772</v>
      </c>
      <c r="T46" s="2">
        <v>46800</v>
      </c>
      <c r="U46" s="3">
        <v>2442</v>
      </c>
      <c r="X46" s="17">
        <v>0</v>
      </c>
      <c r="Y46" s="23">
        <v>0</v>
      </c>
      <c r="Z46" s="24"/>
    </row>
    <row r="47" spans="1:26">
      <c r="A47" s="6" t="s">
        <v>14</v>
      </c>
      <c r="B47" t="s">
        <v>296</v>
      </c>
      <c r="C47" t="s">
        <v>846</v>
      </c>
      <c r="D47" s="4">
        <v>46185</v>
      </c>
      <c r="E47">
        <v>82153</v>
      </c>
      <c r="F47" s="5">
        <v>29700</v>
      </c>
      <c r="G47" s="5">
        <v>52453</v>
      </c>
      <c r="H47" t="s">
        <v>842</v>
      </c>
      <c r="I47" s="1">
        <v>46732</v>
      </c>
      <c r="J47" s="9">
        <v>101131064033</v>
      </c>
      <c r="K47" t="s">
        <v>948</v>
      </c>
      <c r="L47" t="s">
        <v>848</v>
      </c>
      <c r="M47" t="s">
        <v>949</v>
      </c>
      <c r="N47" s="1">
        <v>45813</v>
      </c>
      <c r="O47">
        <v>5</v>
      </c>
      <c r="P47" s="11">
        <v>46192</v>
      </c>
      <c r="Q47" s="17">
        <f t="shared" si="0"/>
        <v>0</v>
      </c>
      <c r="R47" s="3">
        <v>10</v>
      </c>
      <c r="S47" s="3">
        <v>2970</v>
      </c>
      <c r="T47" s="2">
        <v>46731</v>
      </c>
      <c r="U47" s="3">
        <v>1963</v>
      </c>
      <c r="X47" s="17">
        <v>0</v>
      </c>
      <c r="Y47" s="23">
        <v>0</v>
      </c>
      <c r="Z47" s="24"/>
    </row>
    <row r="48" spans="1:26">
      <c r="A48" s="6" t="s">
        <v>14</v>
      </c>
      <c r="B48" t="s">
        <v>322</v>
      </c>
      <c r="C48" t="s">
        <v>841</v>
      </c>
      <c r="D48" s="4">
        <v>46185</v>
      </c>
      <c r="E48">
        <v>19454</v>
      </c>
      <c r="F48" s="5">
        <v>12155</v>
      </c>
      <c r="G48" s="5">
        <v>7299</v>
      </c>
      <c r="H48" t="s">
        <v>842</v>
      </c>
      <c r="I48" s="1">
        <v>46367</v>
      </c>
      <c r="J48" s="9">
        <v>107111763962</v>
      </c>
      <c r="K48" t="s">
        <v>950</v>
      </c>
      <c r="L48" t="s">
        <v>844</v>
      </c>
      <c r="M48" t="s">
        <v>951</v>
      </c>
      <c r="N48" s="1">
        <v>45723</v>
      </c>
      <c r="O48">
        <v>3</v>
      </c>
      <c r="P48" s="11">
        <v>46192</v>
      </c>
      <c r="Q48" s="17">
        <f t="shared" si="0"/>
        <v>0</v>
      </c>
      <c r="R48" s="3">
        <v>10</v>
      </c>
      <c r="S48" s="3">
        <v>1105</v>
      </c>
      <c r="T48" s="2">
        <v>46397</v>
      </c>
      <c r="U48" s="3">
        <v>669</v>
      </c>
      <c r="X48" s="17">
        <v>0</v>
      </c>
      <c r="Y48" s="23">
        <v>0</v>
      </c>
      <c r="Z48" s="24"/>
    </row>
    <row r="49" spans="1:26">
      <c r="A49" s="6" t="s">
        <v>14</v>
      </c>
      <c r="B49" t="s">
        <v>622</v>
      </c>
      <c r="C49" t="s">
        <v>853</v>
      </c>
      <c r="D49" s="4">
        <v>46185</v>
      </c>
      <c r="E49">
        <v>89000</v>
      </c>
      <c r="F49" s="5">
        <v>25024</v>
      </c>
      <c r="G49" s="5">
        <v>63976</v>
      </c>
      <c r="H49" t="s">
        <v>842</v>
      </c>
      <c r="I49" s="1">
        <v>46794</v>
      </c>
      <c r="J49" s="9">
        <v>107112697786</v>
      </c>
      <c r="K49" t="s">
        <v>952</v>
      </c>
      <c r="L49" t="s">
        <v>844</v>
      </c>
      <c r="M49" t="s">
        <v>953</v>
      </c>
      <c r="N49" s="1">
        <v>45774</v>
      </c>
      <c r="O49">
        <v>5</v>
      </c>
      <c r="P49" s="11">
        <v>46192</v>
      </c>
      <c r="Q49" s="17">
        <f t="shared" si="0"/>
        <v>0</v>
      </c>
      <c r="R49" s="3">
        <v>21</v>
      </c>
      <c r="S49" s="3">
        <v>2976</v>
      </c>
      <c r="T49" s="2">
        <v>46833</v>
      </c>
      <c r="U49" s="3">
        <v>216</v>
      </c>
      <c r="X49" s="17">
        <v>0</v>
      </c>
      <c r="Y49" s="23">
        <v>0</v>
      </c>
      <c r="Z49" s="24"/>
    </row>
    <row r="50" spans="1:26">
      <c r="A50" s="6" t="s">
        <v>14</v>
      </c>
      <c r="B50" t="s">
        <v>611</v>
      </c>
      <c r="C50" t="s">
        <v>841</v>
      </c>
      <c r="D50" s="4">
        <v>46185</v>
      </c>
      <c r="E50">
        <v>91593</v>
      </c>
      <c r="F50" s="5">
        <v>28946</v>
      </c>
      <c r="G50" s="5">
        <v>62647</v>
      </c>
      <c r="H50" t="s">
        <v>842</v>
      </c>
      <c r="I50" s="1">
        <v>46794</v>
      </c>
      <c r="J50" s="9">
        <v>107112670693</v>
      </c>
      <c r="K50" t="s">
        <v>954</v>
      </c>
      <c r="L50" t="s">
        <v>844</v>
      </c>
      <c r="M50" t="s">
        <v>955</v>
      </c>
      <c r="N50" s="1">
        <v>45769</v>
      </c>
      <c r="O50">
        <v>5</v>
      </c>
      <c r="P50" s="11">
        <v>46192</v>
      </c>
      <c r="Q50" s="17">
        <f t="shared" si="0"/>
        <v>3034</v>
      </c>
      <c r="R50" s="3">
        <v>3</v>
      </c>
      <c r="S50" s="3">
        <v>3034</v>
      </c>
      <c r="T50" s="2">
        <v>46815</v>
      </c>
      <c r="U50" s="3">
        <v>1967</v>
      </c>
      <c r="X50" s="17">
        <v>3034</v>
      </c>
      <c r="Y50" s="23">
        <v>0</v>
      </c>
      <c r="Z50" s="24"/>
    </row>
    <row r="51" spans="1:26">
      <c r="A51" s="6" t="s">
        <v>14</v>
      </c>
      <c r="B51" t="s">
        <v>582</v>
      </c>
      <c r="C51" t="s">
        <v>841</v>
      </c>
      <c r="D51" s="4">
        <v>46185</v>
      </c>
      <c r="E51">
        <v>67000</v>
      </c>
      <c r="F51" s="5">
        <v>23564</v>
      </c>
      <c r="G51" s="5">
        <v>43436</v>
      </c>
      <c r="H51" t="s">
        <v>842</v>
      </c>
      <c r="I51" s="1">
        <v>46794</v>
      </c>
      <c r="J51" s="9">
        <v>107112640722</v>
      </c>
      <c r="K51" t="s">
        <v>956</v>
      </c>
      <c r="L51" t="s">
        <v>844</v>
      </c>
      <c r="M51" t="s">
        <v>957</v>
      </c>
      <c r="N51" s="1">
        <v>45766</v>
      </c>
      <c r="O51">
        <v>5</v>
      </c>
      <c r="P51" s="11">
        <v>46192</v>
      </c>
      <c r="Q51" s="17">
        <f t="shared" si="0"/>
        <v>0</v>
      </c>
      <c r="R51" s="3">
        <v>24</v>
      </c>
      <c r="S51" s="3">
        <v>2236</v>
      </c>
      <c r="T51" s="2">
        <v>46807</v>
      </c>
      <c r="U51" s="3">
        <v>436</v>
      </c>
      <c r="X51" s="17">
        <v>0</v>
      </c>
      <c r="Y51" s="23">
        <v>0</v>
      </c>
      <c r="Z51" s="24"/>
    </row>
    <row r="52" spans="1:26">
      <c r="A52" s="6" t="s">
        <v>14</v>
      </c>
      <c r="B52" t="s">
        <v>771</v>
      </c>
      <c r="C52" t="s">
        <v>880</v>
      </c>
      <c r="D52" s="4">
        <v>46185</v>
      </c>
      <c r="E52">
        <v>158407</v>
      </c>
      <c r="F52" s="5">
        <v>50925</v>
      </c>
      <c r="G52" s="5">
        <v>107482</v>
      </c>
      <c r="H52" t="s">
        <v>842</v>
      </c>
      <c r="I52" s="1">
        <v>46794</v>
      </c>
      <c r="J52" s="9">
        <v>107112988971</v>
      </c>
      <c r="K52" t="s">
        <v>958</v>
      </c>
      <c r="L52" t="s">
        <v>844</v>
      </c>
      <c r="M52" t="s">
        <v>959</v>
      </c>
      <c r="N52" s="1">
        <v>45803</v>
      </c>
      <c r="O52">
        <v>5</v>
      </c>
      <c r="P52" s="11">
        <v>46192</v>
      </c>
      <c r="Q52" s="17">
        <f t="shared" si="0"/>
        <v>0</v>
      </c>
      <c r="R52" s="3">
        <v>17</v>
      </c>
      <c r="S52" s="3">
        <v>5325</v>
      </c>
      <c r="T52" s="2">
        <v>46829</v>
      </c>
      <c r="U52" s="3">
        <v>982</v>
      </c>
      <c r="X52" s="17">
        <v>0</v>
      </c>
      <c r="Y52" s="23">
        <v>0</v>
      </c>
      <c r="Z52" s="24"/>
    </row>
    <row r="53" spans="1:26">
      <c r="A53" s="6" t="s">
        <v>14</v>
      </c>
      <c r="B53" t="s">
        <v>163</v>
      </c>
      <c r="C53" t="s">
        <v>850</v>
      </c>
      <c r="D53" s="4">
        <v>46185</v>
      </c>
      <c r="E53">
        <v>97065</v>
      </c>
      <c r="F53" s="5">
        <v>29162.67</v>
      </c>
      <c r="G53" s="5">
        <v>67902.33</v>
      </c>
      <c r="H53" t="s">
        <v>842</v>
      </c>
      <c r="I53" s="1">
        <v>46884</v>
      </c>
      <c r="J53" s="9">
        <v>101129909458</v>
      </c>
      <c r="K53" t="s">
        <v>960</v>
      </c>
      <c r="L53" t="s">
        <v>848</v>
      </c>
      <c r="M53" t="s">
        <v>961</v>
      </c>
      <c r="N53" s="1">
        <v>45764</v>
      </c>
      <c r="O53">
        <v>5</v>
      </c>
      <c r="P53" s="11">
        <v>46192</v>
      </c>
      <c r="Q53" s="17">
        <f t="shared" si="0"/>
        <v>0</v>
      </c>
      <c r="R53" s="3">
        <v>3</v>
      </c>
      <c r="S53" s="3">
        <v>2964</v>
      </c>
      <c r="T53" s="2">
        <v>46876</v>
      </c>
      <c r="U53" s="3">
        <v>2694.33</v>
      </c>
      <c r="X53" s="17">
        <v>0</v>
      </c>
      <c r="Y53" s="23">
        <v>0</v>
      </c>
      <c r="Z53" s="24"/>
    </row>
    <row r="54" spans="1:26">
      <c r="A54" s="6" t="s">
        <v>14</v>
      </c>
      <c r="B54" t="s">
        <v>606</v>
      </c>
      <c r="C54" t="s">
        <v>853</v>
      </c>
      <c r="D54" s="4">
        <v>46185</v>
      </c>
      <c r="E54">
        <v>19087</v>
      </c>
      <c r="F54" s="5">
        <v>13080</v>
      </c>
      <c r="G54" s="5">
        <v>6007</v>
      </c>
      <c r="H54" t="s">
        <v>842</v>
      </c>
      <c r="I54" s="1">
        <v>46367</v>
      </c>
      <c r="J54" s="9">
        <v>107112663876</v>
      </c>
      <c r="K54" t="s">
        <v>962</v>
      </c>
      <c r="L54" t="s">
        <v>844</v>
      </c>
      <c r="M54" t="s">
        <v>963</v>
      </c>
      <c r="N54" s="1">
        <v>45768</v>
      </c>
      <c r="O54">
        <v>3</v>
      </c>
      <c r="P54" s="11">
        <v>46192</v>
      </c>
      <c r="Q54" s="17">
        <f t="shared" si="0"/>
        <v>0</v>
      </c>
      <c r="R54" s="3">
        <v>31</v>
      </c>
      <c r="S54" s="3">
        <v>1080</v>
      </c>
      <c r="T54" s="2">
        <v>46387</v>
      </c>
      <c r="U54" s="3">
        <v>727</v>
      </c>
      <c r="X54" s="17">
        <v>0</v>
      </c>
      <c r="Y54" s="23">
        <v>0</v>
      </c>
      <c r="Z54" s="24"/>
    </row>
    <row r="55" spans="1:26">
      <c r="A55" s="6" t="s">
        <v>14</v>
      </c>
      <c r="B55" t="s">
        <v>741</v>
      </c>
      <c r="C55" t="s">
        <v>853</v>
      </c>
      <c r="D55" s="4">
        <v>46185</v>
      </c>
      <c r="E55">
        <v>86000</v>
      </c>
      <c r="F55" s="5">
        <v>28618</v>
      </c>
      <c r="G55" s="5">
        <v>57382</v>
      </c>
      <c r="H55" t="s">
        <v>842</v>
      </c>
      <c r="I55" s="1">
        <v>46763</v>
      </c>
      <c r="J55" s="9">
        <v>107112908287</v>
      </c>
      <c r="K55" t="s">
        <v>964</v>
      </c>
      <c r="L55" t="s">
        <v>844</v>
      </c>
      <c r="M55" t="s">
        <v>965</v>
      </c>
      <c r="N55" s="1">
        <v>45796</v>
      </c>
      <c r="O55">
        <v>5</v>
      </c>
      <c r="P55" s="11">
        <v>46192</v>
      </c>
      <c r="Q55" s="17">
        <f t="shared" si="0"/>
        <v>2982</v>
      </c>
      <c r="R55" s="3">
        <v>3</v>
      </c>
      <c r="S55" s="3">
        <v>2982</v>
      </c>
      <c r="T55" s="2">
        <v>46786</v>
      </c>
      <c r="U55" s="3">
        <v>724</v>
      </c>
      <c r="X55" s="17">
        <v>2982</v>
      </c>
      <c r="Y55" s="23">
        <v>0</v>
      </c>
      <c r="Z55" s="24"/>
    </row>
    <row r="56" spans="1:26">
      <c r="A56" s="6" t="s">
        <v>14</v>
      </c>
      <c r="B56" t="s">
        <v>704</v>
      </c>
      <c r="C56" t="s">
        <v>880</v>
      </c>
      <c r="D56" s="4">
        <v>46185</v>
      </c>
      <c r="E56">
        <v>76656</v>
      </c>
      <c r="F56" s="5">
        <v>24615</v>
      </c>
      <c r="G56" s="5">
        <v>52041</v>
      </c>
      <c r="H56" t="s">
        <v>842</v>
      </c>
      <c r="I56" s="1">
        <v>46794</v>
      </c>
      <c r="J56" s="9">
        <v>107112843925</v>
      </c>
      <c r="K56" t="s">
        <v>966</v>
      </c>
      <c r="L56" t="s">
        <v>844</v>
      </c>
      <c r="M56" t="s">
        <v>967</v>
      </c>
      <c r="N56" s="1">
        <v>45787</v>
      </c>
      <c r="O56">
        <v>5</v>
      </c>
      <c r="P56" s="11">
        <v>46192</v>
      </c>
      <c r="Q56" s="17">
        <f t="shared" si="0"/>
        <v>2520</v>
      </c>
      <c r="R56" s="3">
        <v>3</v>
      </c>
      <c r="S56" s="3">
        <v>2520</v>
      </c>
      <c r="T56" s="2">
        <v>46815</v>
      </c>
      <c r="U56" s="3">
        <v>1776</v>
      </c>
      <c r="X56" s="17">
        <v>2520</v>
      </c>
      <c r="Y56" s="23">
        <v>0</v>
      </c>
      <c r="Z56" s="24"/>
    </row>
    <row r="57" spans="1:26">
      <c r="A57" s="6" t="s">
        <v>14</v>
      </c>
      <c r="B57" t="s">
        <v>544</v>
      </c>
      <c r="C57" t="s">
        <v>853</v>
      </c>
      <c r="D57" s="4">
        <v>46185</v>
      </c>
      <c r="E57">
        <v>101368</v>
      </c>
      <c r="F57" s="5">
        <v>35510</v>
      </c>
      <c r="G57" s="5">
        <v>65858</v>
      </c>
      <c r="H57" t="s">
        <v>842</v>
      </c>
      <c r="I57" s="1">
        <v>46763</v>
      </c>
      <c r="J57" s="9">
        <v>107112602426</v>
      </c>
      <c r="K57" t="s">
        <v>968</v>
      </c>
      <c r="L57" t="s">
        <v>844</v>
      </c>
      <c r="M57" t="s">
        <v>969</v>
      </c>
      <c r="N57" s="1">
        <v>45761</v>
      </c>
      <c r="O57">
        <v>5</v>
      </c>
      <c r="P57" s="11">
        <v>46192</v>
      </c>
      <c r="Q57" s="17">
        <f t="shared" si="0"/>
        <v>0</v>
      </c>
      <c r="R57" s="3">
        <v>10</v>
      </c>
      <c r="S57" s="3">
        <v>3339</v>
      </c>
      <c r="T57" s="2">
        <v>46793</v>
      </c>
      <c r="U57" s="3">
        <v>2417</v>
      </c>
      <c r="X57" s="17">
        <v>0</v>
      </c>
      <c r="Y57" s="23">
        <v>0</v>
      </c>
      <c r="Z57" s="24"/>
    </row>
    <row r="58" spans="1:26">
      <c r="A58" s="6" t="s">
        <v>14</v>
      </c>
      <c r="B58" t="s">
        <v>552</v>
      </c>
      <c r="C58" t="s">
        <v>880</v>
      </c>
      <c r="D58" s="4">
        <v>46185</v>
      </c>
      <c r="E58">
        <v>25490</v>
      </c>
      <c r="F58" s="5">
        <v>14448</v>
      </c>
      <c r="G58" s="5">
        <v>11042</v>
      </c>
      <c r="H58" t="s">
        <v>842</v>
      </c>
      <c r="I58" s="1">
        <v>46367</v>
      </c>
      <c r="J58" s="9">
        <v>107112610123</v>
      </c>
      <c r="K58" t="s">
        <v>970</v>
      </c>
      <c r="L58" t="s">
        <v>844</v>
      </c>
      <c r="M58" t="s">
        <v>971</v>
      </c>
      <c r="N58" s="1">
        <v>45766</v>
      </c>
      <c r="O58">
        <v>3</v>
      </c>
      <c r="P58" s="11">
        <v>46192</v>
      </c>
      <c r="Q58" s="17">
        <f t="shared" si="0"/>
        <v>0</v>
      </c>
      <c r="R58" s="3">
        <v>17</v>
      </c>
      <c r="S58" s="3">
        <v>1470</v>
      </c>
      <c r="T58" s="2">
        <v>46404</v>
      </c>
      <c r="U58" s="3">
        <v>500</v>
      </c>
      <c r="X58" s="17">
        <v>0</v>
      </c>
      <c r="Y58" s="23">
        <v>0</v>
      </c>
      <c r="Z58" s="24"/>
    </row>
    <row r="59" spans="1:26">
      <c r="A59" s="6" t="s">
        <v>14</v>
      </c>
      <c r="B59" t="s">
        <v>788</v>
      </c>
      <c r="C59" t="s">
        <v>864</v>
      </c>
      <c r="D59" s="4">
        <v>46185</v>
      </c>
      <c r="E59">
        <v>87928</v>
      </c>
      <c r="F59" s="5">
        <v>24450</v>
      </c>
      <c r="G59" s="5">
        <v>63478</v>
      </c>
      <c r="H59" t="s">
        <v>842</v>
      </c>
      <c r="I59" s="1">
        <v>46794</v>
      </c>
      <c r="J59" s="9">
        <v>107113013923</v>
      </c>
      <c r="K59" t="s">
        <v>972</v>
      </c>
      <c r="L59" t="s">
        <v>844</v>
      </c>
      <c r="M59" t="s">
        <v>973</v>
      </c>
      <c r="N59" s="1">
        <v>45809</v>
      </c>
      <c r="O59">
        <v>5</v>
      </c>
      <c r="P59" s="11">
        <v>46192</v>
      </c>
      <c r="Q59" s="17">
        <f t="shared" si="0"/>
        <v>0</v>
      </c>
      <c r="R59" s="3">
        <v>3</v>
      </c>
      <c r="S59" s="3">
        <v>3010</v>
      </c>
      <c r="T59" s="2">
        <v>46815</v>
      </c>
      <c r="U59" s="3">
        <v>1878</v>
      </c>
      <c r="X59" s="17">
        <v>0</v>
      </c>
      <c r="Y59" s="23">
        <v>0</v>
      </c>
      <c r="Z59" s="24"/>
    </row>
    <row r="60" spans="1:26">
      <c r="A60" s="6" t="s">
        <v>14</v>
      </c>
      <c r="B60" t="s">
        <v>137</v>
      </c>
      <c r="C60" t="s">
        <v>846</v>
      </c>
      <c r="D60" s="4">
        <v>46185</v>
      </c>
      <c r="E60">
        <v>140559</v>
      </c>
      <c r="F60" s="5">
        <v>50160</v>
      </c>
      <c r="G60" s="5">
        <v>90399</v>
      </c>
      <c r="H60" t="s">
        <v>842</v>
      </c>
      <c r="I60" s="1">
        <v>46763</v>
      </c>
      <c r="J60" s="9">
        <v>101129645009</v>
      </c>
      <c r="K60" t="s">
        <v>974</v>
      </c>
      <c r="L60" t="s">
        <v>848</v>
      </c>
      <c r="M60" t="s">
        <v>975</v>
      </c>
      <c r="N60" s="1">
        <v>45740</v>
      </c>
      <c r="O60">
        <v>5</v>
      </c>
      <c r="P60" s="11">
        <v>46192</v>
      </c>
      <c r="Q60" s="17">
        <f t="shared" si="0"/>
        <v>0</v>
      </c>
      <c r="R60" s="3">
        <v>3</v>
      </c>
      <c r="S60" s="3">
        <v>4664</v>
      </c>
      <c r="T60" s="2">
        <v>46786</v>
      </c>
      <c r="U60" s="3">
        <v>1783</v>
      </c>
      <c r="X60" s="17">
        <v>0</v>
      </c>
      <c r="Y60" s="23">
        <v>0</v>
      </c>
      <c r="Z60" s="24"/>
    </row>
    <row r="61" spans="1:26">
      <c r="A61" s="6" t="s">
        <v>14</v>
      </c>
      <c r="B61" t="s">
        <v>469</v>
      </c>
      <c r="C61" t="s">
        <v>880</v>
      </c>
      <c r="D61" s="4">
        <v>46185</v>
      </c>
      <c r="E61">
        <v>89000</v>
      </c>
      <c r="F61" s="5">
        <v>22650</v>
      </c>
      <c r="G61" s="5">
        <v>66350</v>
      </c>
      <c r="H61" t="s">
        <v>842</v>
      </c>
      <c r="I61" s="1">
        <v>46854</v>
      </c>
      <c r="J61" s="9">
        <v>107112464864</v>
      </c>
      <c r="K61" t="s">
        <v>976</v>
      </c>
      <c r="L61" t="s">
        <v>844</v>
      </c>
      <c r="M61" t="s">
        <v>977</v>
      </c>
      <c r="N61" s="1">
        <v>45748</v>
      </c>
      <c r="O61">
        <v>5</v>
      </c>
      <c r="P61" s="11">
        <v>46192</v>
      </c>
      <c r="Q61" s="17">
        <f t="shared" si="0"/>
        <v>0</v>
      </c>
      <c r="R61" s="3">
        <v>17</v>
      </c>
      <c r="S61" s="3">
        <v>2964</v>
      </c>
      <c r="T61" s="2">
        <v>46860</v>
      </c>
      <c r="U61" s="3">
        <v>2</v>
      </c>
      <c r="X61" s="17">
        <v>0</v>
      </c>
      <c r="Y61" s="23">
        <v>0</v>
      </c>
      <c r="Z61" s="24"/>
    </row>
    <row r="62" spans="1:26">
      <c r="A62" s="6" t="s">
        <v>14</v>
      </c>
      <c r="B62" t="s">
        <v>95</v>
      </c>
      <c r="C62" t="s">
        <v>890</v>
      </c>
      <c r="D62" s="4">
        <v>46185</v>
      </c>
      <c r="E62">
        <v>80000</v>
      </c>
      <c r="F62" s="5">
        <v>29400</v>
      </c>
      <c r="G62" s="5">
        <v>50600</v>
      </c>
      <c r="H62" t="s">
        <v>842</v>
      </c>
      <c r="I62" s="1">
        <v>46732</v>
      </c>
      <c r="J62" s="9">
        <v>101129349340</v>
      </c>
      <c r="K62" t="s">
        <v>978</v>
      </c>
      <c r="L62" t="s">
        <v>848</v>
      </c>
      <c r="M62" t="s">
        <v>979</v>
      </c>
      <c r="N62" s="1">
        <v>45725</v>
      </c>
      <c r="O62">
        <v>5</v>
      </c>
      <c r="P62" s="11">
        <v>46192</v>
      </c>
      <c r="Q62" s="17">
        <f t="shared" si="0"/>
        <v>0</v>
      </c>
      <c r="R62" s="3">
        <v>31</v>
      </c>
      <c r="S62" s="3">
        <v>2700</v>
      </c>
      <c r="T62" s="2">
        <v>46752</v>
      </c>
      <c r="U62" s="3">
        <v>1700</v>
      </c>
      <c r="X62" s="17">
        <v>0</v>
      </c>
      <c r="Y62" s="23">
        <v>0</v>
      </c>
      <c r="Z62" s="24"/>
    </row>
    <row r="63" spans="1:26">
      <c r="A63" s="6" t="s">
        <v>14</v>
      </c>
      <c r="B63" t="s">
        <v>161</v>
      </c>
      <c r="C63" t="s">
        <v>890</v>
      </c>
      <c r="D63" s="4">
        <v>46185</v>
      </c>
      <c r="E63">
        <v>86000</v>
      </c>
      <c r="F63" s="5">
        <v>33602</v>
      </c>
      <c r="G63" s="5">
        <v>52398</v>
      </c>
      <c r="H63" t="s">
        <v>842</v>
      </c>
      <c r="I63" s="1">
        <v>46763</v>
      </c>
      <c r="J63" s="9">
        <v>101129894230</v>
      </c>
      <c r="K63" t="s">
        <v>980</v>
      </c>
      <c r="L63" t="s">
        <v>848</v>
      </c>
      <c r="M63" t="s">
        <v>981</v>
      </c>
      <c r="N63" s="1">
        <v>45753</v>
      </c>
      <c r="O63">
        <v>5</v>
      </c>
      <c r="P63" s="11">
        <v>46192</v>
      </c>
      <c r="Q63" s="17">
        <f t="shared" si="0"/>
        <v>0</v>
      </c>
      <c r="R63" s="3">
        <v>24</v>
      </c>
      <c r="S63" s="3">
        <v>2862</v>
      </c>
      <c r="T63" s="2">
        <v>46776</v>
      </c>
      <c r="U63" s="3">
        <v>882</v>
      </c>
      <c r="X63" s="17">
        <v>0</v>
      </c>
      <c r="Y63" s="23">
        <v>0</v>
      </c>
      <c r="Z63" s="24"/>
    </row>
    <row r="64" spans="1:26">
      <c r="A64" s="6" t="s">
        <v>14</v>
      </c>
      <c r="B64" t="s">
        <v>254</v>
      </c>
      <c r="C64" t="s">
        <v>890</v>
      </c>
      <c r="D64" s="4">
        <v>46185</v>
      </c>
      <c r="E64">
        <v>115413</v>
      </c>
      <c r="F64" s="5">
        <v>38400</v>
      </c>
      <c r="G64" s="5">
        <v>77013</v>
      </c>
      <c r="H64" t="s">
        <v>842</v>
      </c>
      <c r="I64" s="1">
        <v>46823</v>
      </c>
      <c r="J64" s="9">
        <v>101130620233</v>
      </c>
      <c r="K64" t="s">
        <v>982</v>
      </c>
      <c r="L64" t="s">
        <v>848</v>
      </c>
      <c r="M64" t="s">
        <v>983</v>
      </c>
      <c r="N64" s="1">
        <v>45805</v>
      </c>
      <c r="O64">
        <v>5</v>
      </c>
      <c r="P64" s="11">
        <v>46192</v>
      </c>
      <c r="Q64" s="17">
        <f t="shared" si="0"/>
        <v>3840</v>
      </c>
      <c r="R64" s="3">
        <v>24</v>
      </c>
      <c r="S64" s="3">
        <v>3840</v>
      </c>
      <c r="T64" s="2">
        <v>46836</v>
      </c>
      <c r="U64" s="3">
        <v>213</v>
      </c>
      <c r="X64" s="17">
        <v>3840</v>
      </c>
      <c r="Y64" s="23">
        <v>0</v>
      </c>
      <c r="Z64" s="24"/>
    </row>
    <row r="65" spans="1:26">
      <c r="A65" s="6" t="s">
        <v>14</v>
      </c>
      <c r="B65" t="s">
        <v>342</v>
      </c>
      <c r="C65" t="s">
        <v>841</v>
      </c>
      <c r="D65" s="4">
        <v>46185</v>
      </c>
      <c r="E65">
        <v>173888</v>
      </c>
      <c r="F65" s="5">
        <v>61200</v>
      </c>
      <c r="G65" s="5">
        <v>112688</v>
      </c>
      <c r="H65" t="s">
        <v>842</v>
      </c>
      <c r="I65" s="1">
        <v>46763</v>
      </c>
      <c r="J65" s="9">
        <v>107112069545</v>
      </c>
      <c r="K65" t="s">
        <v>984</v>
      </c>
      <c r="L65" t="s">
        <v>844</v>
      </c>
      <c r="M65" t="s">
        <v>985</v>
      </c>
      <c r="N65" s="1">
        <v>45759</v>
      </c>
      <c r="O65">
        <v>5</v>
      </c>
      <c r="P65" s="11">
        <v>46192</v>
      </c>
      <c r="Q65" s="17">
        <f t="shared" si="0"/>
        <v>0</v>
      </c>
      <c r="R65" s="3">
        <v>10</v>
      </c>
      <c r="S65" s="3">
        <v>5760</v>
      </c>
      <c r="T65" s="2">
        <v>46793</v>
      </c>
      <c r="U65" s="3">
        <v>3248</v>
      </c>
      <c r="X65" s="17">
        <v>0</v>
      </c>
      <c r="Y65" s="23">
        <v>0</v>
      </c>
      <c r="Z65" s="24"/>
    </row>
    <row r="66" spans="1:26">
      <c r="A66" s="6" t="s">
        <v>14</v>
      </c>
      <c r="B66" t="s">
        <v>181</v>
      </c>
      <c r="C66" t="s">
        <v>890</v>
      </c>
      <c r="D66" s="4">
        <v>46185</v>
      </c>
      <c r="E66">
        <v>84886</v>
      </c>
      <c r="F66" s="5">
        <v>45400</v>
      </c>
      <c r="G66" s="5">
        <v>39486</v>
      </c>
      <c r="H66" t="s">
        <v>842</v>
      </c>
      <c r="I66" s="1">
        <v>46429</v>
      </c>
      <c r="J66" s="9">
        <v>101130017111</v>
      </c>
      <c r="K66" t="s">
        <v>986</v>
      </c>
      <c r="L66" t="s">
        <v>848</v>
      </c>
      <c r="M66" t="s">
        <v>987</v>
      </c>
      <c r="N66" s="1">
        <v>45775</v>
      </c>
      <c r="O66">
        <v>3</v>
      </c>
      <c r="P66" s="11">
        <v>46192</v>
      </c>
      <c r="Q66" s="17">
        <f t="shared" si="0"/>
        <v>0</v>
      </c>
      <c r="R66" s="3">
        <v>31</v>
      </c>
      <c r="S66" s="3">
        <v>4600</v>
      </c>
      <c r="T66" s="2">
        <v>46446</v>
      </c>
      <c r="U66" s="3">
        <v>2686</v>
      </c>
      <c r="X66" s="17">
        <v>0</v>
      </c>
      <c r="Y66" s="23">
        <v>0</v>
      </c>
      <c r="Z66" s="24"/>
    </row>
    <row r="67" spans="1:26">
      <c r="A67" s="6" t="s">
        <v>14</v>
      </c>
      <c r="B67" t="s">
        <v>649</v>
      </c>
      <c r="C67" t="s">
        <v>864</v>
      </c>
      <c r="D67" s="4">
        <v>46185</v>
      </c>
      <c r="E67">
        <v>106000</v>
      </c>
      <c r="F67" s="5">
        <v>35308</v>
      </c>
      <c r="G67" s="5">
        <v>70692</v>
      </c>
      <c r="H67" t="s">
        <v>842</v>
      </c>
      <c r="I67" s="1">
        <v>46763</v>
      </c>
      <c r="J67" s="9">
        <v>107112740368</v>
      </c>
      <c r="K67" t="s">
        <v>988</v>
      </c>
      <c r="L67" t="s">
        <v>844</v>
      </c>
      <c r="M67" t="s">
        <v>989</v>
      </c>
      <c r="N67" s="1">
        <v>45776</v>
      </c>
      <c r="O67">
        <v>5</v>
      </c>
      <c r="P67" s="11">
        <v>46192</v>
      </c>
      <c r="Q67" s="17">
        <f t="shared" ref="Q67:Q130" si="1">SUM(X67:Y67)</f>
        <v>0</v>
      </c>
      <c r="R67" s="3">
        <v>24</v>
      </c>
      <c r="S67" s="3">
        <v>3672</v>
      </c>
      <c r="T67" s="2">
        <v>46807</v>
      </c>
      <c r="U67" s="3">
        <v>924</v>
      </c>
      <c r="X67" s="17">
        <v>0</v>
      </c>
      <c r="Y67" s="23">
        <v>0</v>
      </c>
      <c r="Z67" s="24"/>
    </row>
    <row r="68" spans="1:26">
      <c r="A68" s="6" t="s">
        <v>14</v>
      </c>
      <c r="B68" t="s">
        <v>485</v>
      </c>
      <c r="C68" t="s">
        <v>990</v>
      </c>
      <c r="D68" s="4">
        <v>46185</v>
      </c>
      <c r="E68">
        <v>93980</v>
      </c>
      <c r="F68" s="5">
        <v>32615</v>
      </c>
      <c r="G68" s="5">
        <v>61365</v>
      </c>
      <c r="H68" t="s">
        <v>842</v>
      </c>
      <c r="I68" s="1">
        <v>46794</v>
      </c>
      <c r="J68" s="9">
        <v>107112498413</v>
      </c>
      <c r="K68" t="s">
        <v>991</v>
      </c>
      <c r="L68" t="s">
        <v>844</v>
      </c>
      <c r="M68" t="s">
        <v>992</v>
      </c>
      <c r="N68" s="1">
        <v>45750</v>
      </c>
      <c r="O68">
        <v>5</v>
      </c>
      <c r="P68" s="11">
        <v>46192</v>
      </c>
      <c r="Q68" s="17">
        <f t="shared" si="1"/>
        <v>0</v>
      </c>
      <c r="R68" s="3">
        <v>31</v>
      </c>
      <c r="S68" s="3">
        <v>3135</v>
      </c>
      <c r="T68" s="2">
        <v>46812</v>
      </c>
      <c r="U68" s="3">
        <v>865</v>
      </c>
      <c r="X68" s="17">
        <v>0</v>
      </c>
      <c r="Y68" s="23">
        <v>0</v>
      </c>
      <c r="Z68" s="24"/>
    </row>
    <row r="69" spans="1:26">
      <c r="A69" s="6" t="s">
        <v>14</v>
      </c>
      <c r="B69" t="s">
        <v>499</v>
      </c>
      <c r="C69" t="s">
        <v>990</v>
      </c>
      <c r="D69" s="4">
        <v>46185</v>
      </c>
      <c r="E69">
        <v>101346</v>
      </c>
      <c r="F69" s="5">
        <v>25422</v>
      </c>
      <c r="G69" s="5">
        <v>75924</v>
      </c>
      <c r="H69" t="s">
        <v>842</v>
      </c>
      <c r="I69" s="1">
        <v>46854</v>
      </c>
      <c r="J69" s="9">
        <v>107112535561</v>
      </c>
      <c r="K69" t="s">
        <v>993</v>
      </c>
      <c r="L69" t="s">
        <v>844</v>
      </c>
      <c r="M69" t="s">
        <v>994</v>
      </c>
      <c r="N69" s="1">
        <v>45760</v>
      </c>
      <c r="O69">
        <v>5</v>
      </c>
      <c r="P69" s="11">
        <v>46192</v>
      </c>
      <c r="Q69" s="17">
        <f t="shared" si="1"/>
        <v>0</v>
      </c>
      <c r="R69" s="3">
        <v>17</v>
      </c>
      <c r="S69" s="3">
        <v>3108</v>
      </c>
      <c r="T69" s="2">
        <v>46890</v>
      </c>
      <c r="U69" s="3">
        <v>2338</v>
      </c>
      <c r="X69" s="17">
        <v>0</v>
      </c>
      <c r="Y69" s="23">
        <v>0</v>
      </c>
      <c r="Z69" s="24"/>
    </row>
    <row r="70" spans="1:26">
      <c r="A70" s="6" t="s">
        <v>14</v>
      </c>
      <c r="B70" t="s">
        <v>790</v>
      </c>
      <c r="C70" t="s">
        <v>887</v>
      </c>
      <c r="D70" s="4">
        <v>46185</v>
      </c>
      <c r="E70">
        <v>115818</v>
      </c>
      <c r="F70" s="5">
        <v>38820</v>
      </c>
      <c r="G70" s="5">
        <v>76998</v>
      </c>
      <c r="H70" t="s">
        <v>842</v>
      </c>
      <c r="I70" s="1">
        <v>46794</v>
      </c>
      <c r="J70" s="9">
        <v>107113015577</v>
      </c>
      <c r="K70" t="s">
        <v>995</v>
      </c>
      <c r="L70" t="s">
        <v>844</v>
      </c>
      <c r="M70" t="s">
        <v>996</v>
      </c>
      <c r="N70" s="1">
        <v>45805</v>
      </c>
      <c r="O70">
        <v>5</v>
      </c>
      <c r="P70" s="11">
        <v>46192</v>
      </c>
      <c r="Q70" s="17">
        <f t="shared" si="1"/>
        <v>0</v>
      </c>
      <c r="R70" s="3">
        <v>3</v>
      </c>
      <c r="S70" s="3">
        <v>3780</v>
      </c>
      <c r="T70" s="2">
        <v>46815</v>
      </c>
      <c r="U70" s="3">
        <v>18</v>
      </c>
      <c r="X70" s="17">
        <v>0</v>
      </c>
      <c r="Y70" s="23">
        <v>0</v>
      </c>
      <c r="Z70" s="24"/>
    </row>
    <row r="71" spans="1:26">
      <c r="A71" s="6" t="s">
        <v>14</v>
      </c>
      <c r="B71" t="s">
        <v>548</v>
      </c>
      <c r="C71" t="s">
        <v>990</v>
      </c>
      <c r="D71" s="4">
        <v>46185</v>
      </c>
      <c r="E71">
        <v>78025</v>
      </c>
      <c r="F71" s="5">
        <v>28250</v>
      </c>
      <c r="G71" s="5">
        <v>49775</v>
      </c>
      <c r="H71" t="s">
        <v>842</v>
      </c>
      <c r="I71" s="1">
        <v>46763</v>
      </c>
      <c r="J71" s="9">
        <v>107112608464</v>
      </c>
      <c r="K71" t="s">
        <v>997</v>
      </c>
      <c r="L71" t="s">
        <v>844</v>
      </c>
      <c r="M71" t="s">
        <v>998</v>
      </c>
      <c r="N71" s="1">
        <v>45760</v>
      </c>
      <c r="O71">
        <v>5</v>
      </c>
      <c r="P71" s="11">
        <v>46192</v>
      </c>
      <c r="Q71" s="17">
        <f t="shared" si="1"/>
        <v>0</v>
      </c>
      <c r="R71" s="3">
        <v>24</v>
      </c>
      <c r="S71" s="3">
        <v>2632</v>
      </c>
      <c r="T71" s="2">
        <v>46776</v>
      </c>
      <c r="U71" s="3">
        <v>2399</v>
      </c>
      <c r="X71" s="17">
        <v>0</v>
      </c>
      <c r="Y71" s="23">
        <v>0</v>
      </c>
      <c r="Z71" s="24"/>
    </row>
    <row r="72" spans="1:26">
      <c r="A72" s="6" t="s">
        <v>14</v>
      </c>
      <c r="B72" t="s">
        <v>778</v>
      </c>
      <c r="C72" t="s">
        <v>853</v>
      </c>
      <c r="D72" s="4">
        <v>46185</v>
      </c>
      <c r="E72">
        <v>17949</v>
      </c>
      <c r="F72" s="5">
        <v>11154</v>
      </c>
      <c r="G72" s="5">
        <v>6795</v>
      </c>
      <c r="H72" t="s">
        <v>842</v>
      </c>
      <c r="I72" s="1">
        <v>46398</v>
      </c>
      <c r="J72" s="9">
        <v>107113002705</v>
      </c>
      <c r="K72" t="s">
        <v>999</v>
      </c>
      <c r="L72" t="s">
        <v>844</v>
      </c>
      <c r="M72" t="s">
        <v>1000</v>
      </c>
      <c r="N72" s="1">
        <v>45810</v>
      </c>
      <c r="O72">
        <v>3</v>
      </c>
      <c r="P72" s="11">
        <v>46192</v>
      </c>
      <c r="Q72" s="17">
        <f t="shared" si="1"/>
        <v>0</v>
      </c>
      <c r="R72" s="3">
        <v>24</v>
      </c>
      <c r="S72" s="3">
        <v>1014</v>
      </c>
      <c r="T72" s="2">
        <v>46411</v>
      </c>
      <c r="U72" s="3">
        <v>711</v>
      </c>
      <c r="X72" s="17">
        <v>0</v>
      </c>
      <c r="Y72" s="23">
        <v>0</v>
      </c>
      <c r="Z72" s="24"/>
    </row>
    <row r="73" spans="1:26">
      <c r="A73" s="6" t="s">
        <v>14</v>
      </c>
      <c r="B73" t="s">
        <v>600</v>
      </c>
      <c r="C73" t="s">
        <v>907</v>
      </c>
      <c r="D73" s="4">
        <v>46185</v>
      </c>
      <c r="E73">
        <v>136666</v>
      </c>
      <c r="F73" s="5">
        <v>47320</v>
      </c>
      <c r="G73" s="5">
        <v>89346</v>
      </c>
      <c r="H73" t="s">
        <v>842</v>
      </c>
      <c r="I73" s="1">
        <v>46763</v>
      </c>
      <c r="J73" s="9">
        <v>107112657404</v>
      </c>
      <c r="K73" t="s">
        <v>1001</v>
      </c>
      <c r="L73" t="s">
        <v>844</v>
      </c>
      <c r="M73" t="s">
        <v>1002</v>
      </c>
      <c r="N73" s="1">
        <v>45766</v>
      </c>
      <c r="O73">
        <v>5</v>
      </c>
      <c r="P73" s="11">
        <v>46192</v>
      </c>
      <c r="Q73" s="17">
        <f t="shared" si="1"/>
        <v>0</v>
      </c>
      <c r="R73" s="3">
        <v>10</v>
      </c>
      <c r="S73" s="3">
        <v>4524</v>
      </c>
      <c r="T73" s="2">
        <v>46793</v>
      </c>
      <c r="U73" s="3">
        <v>3390</v>
      </c>
      <c r="X73" s="17">
        <v>0</v>
      </c>
      <c r="Y73" s="23">
        <v>0</v>
      </c>
      <c r="Z73" s="24"/>
    </row>
    <row r="74" spans="1:26">
      <c r="A74" s="6" t="s">
        <v>14</v>
      </c>
      <c r="B74" t="s">
        <v>145</v>
      </c>
      <c r="C74" t="s">
        <v>846</v>
      </c>
      <c r="D74" s="4">
        <v>46185</v>
      </c>
      <c r="E74">
        <v>78000</v>
      </c>
      <c r="F74" s="5">
        <v>26793.200000000001</v>
      </c>
      <c r="G74" s="5">
        <v>51206.8</v>
      </c>
      <c r="H74" t="s">
        <v>842</v>
      </c>
      <c r="I74" s="1">
        <v>46884</v>
      </c>
      <c r="J74" s="9">
        <v>101129692832</v>
      </c>
      <c r="K74" t="s">
        <v>1003</v>
      </c>
      <c r="L74" t="s">
        <v>848</v>
      </c>
      <c r="M74" t="s">
        <v>1004</v>
      </c>
      <c r="N74" s="1">
        <v>45743</v>
      </c>
      <c r="O74">
        <v>6</v>
      </c>
      <c r="P74" s="11">
        <v>46192</v>
      </c>
      <c r="Q74" s="17">
        <f t="shared" si="1"/>
        <v>0</v>
      </c>
      <c r="R74" s="3">
        <v>3</v>
      </c>
      <c r="S74" s="3">
        <v>2237.1999999999998</v>
      </c>
      <c r="T74" s="2">
        <v>46876</v>
      </c>
      <c r="U74" s="3">
        <v>1935.2</v>
      </c>
      <c r="X74" s="17">
        <v>0</v>
      </c>
      <c r="Y74" s="23">
        <v>0</v>
      </c>
      <c r="Z74" s="24"/>
    </row>
    <row r="75" spans="1:26">
      <c r="A75" s="6" t="s">
        <v>14</v>
      </c>
      <c r="B75" t="s">
        <v>385</v>
      </c>
      <c r="C75" t="s">
        <v>870</v>
      </c>
      <c r="D75" s="4">
        <v>46185</v>
      </c>
      <c r="E75">
        <v>87624</v>
      </c>
      <c r="F75" s="5">
        <v>32900</v>
      </c>
      <c r="G75" s="5">
        <v>54724</v>
      </c>
      <c r="H75" t="s">
        <v>842</v>
      </c>
      <c r="I75" s="1">
        <v>46732</v>
      </c>
      <c r="J75" s="9">
        <v>107112246859</v>
      </c>
      <c r="K75" t="s">
        <v>1005</v>
      </c>
      <c r="L75" t="s">
        <v>844</v>
      </c>
      <c r="M75" t="s">
        <v>1006</v>
      </c>
      <c r="N75" s="1">
        <v>45726</v>
      </c>
      <c r="O75">
        <v>5</v>
      </c>
      <c r="P75" s="11">
        <v>46192</v>
      </c>
      <c r="Q75" s="17">
        <f t="shared" si="1"/>
        <v>0</v>
      </c>
      <c r="R75" s="3">
        <v>10</v>
      </c>
      <c r="S75" s="3">
        <v>2914</v>
      </c>
      <c r="T75" s="2">
        <v>46762</v>
      </c>
      <c r="U75" s="3">
        <v>1238</v>
      </c>
      <c r="X75" s="17">
        <v>0</v>
      </c>
      <c r="Y75" s="23">
        <v>0</v>
      </c>
      <c r="Z75" s="24"/>
    </row>
    <row r="76" spans="1:26">
      <c r="A76" s="6" t="s">
        <v>14</v>
      </c>
      <c r="B76" t="s">
        <v>794</v>
      </c>
      <c r="C76" t="s">
        <v>856</v>
      </c>
      <c r="D76" s="4">
        <v>46185</v>
      </c>
      <c r="E76">
        <v>86288</v>
      </c>
      <c r="F76" s="5">
        <v>28996</v>
      </c>
      <c r="G76" s="5">
        <v>57292</v>
      </c>
      <c r="H76" t="s">
        <v>842</v>
      </c>
      <c r="I76" s="1">
        <v>46763</v>
      </c>
      <c r="J76" s="9">
        <v>107113026035</v>
      </c>
      <c r="K76" t="s">
        <v>1007</v>
      </c>
      <c r="L76" t="s">
        <v>844</v>
      </c>
      <c r="M76" t="s">
        <v>1008</v>
      </c>
      <c r="N76" s="1">
        <v>45807</v>
      </c>
      <c r="O76">
        <v>5</v>
      </c>
      <c r="P76" s="11">
        <v>46192</v>
      </c>
      <c r="Q76" s="17">
        <f t="shared" si="1"/>
        <v>0</v>
      </c>
      <c r="R76" s="3">
        <v>24</v>
      </c>
      <c r="S76" s="3">
        <v>3024</v>
      </c>
      <c r="T76" s="2">
        <v>46776</v>
      </c>
      <c r="U76" s="3">
        <v>2860</v>
      </c>
      <c r="X76" s="17">
        <v>0</v>
      </c>
      <c r="Y76" s="23">
        <v>0</v>
      </c>
      <c r="Z76" s="24"/>
    </row>
    <row r="77" spans="1:26">
      <c r="A77" s="6" t="s">
        <v>14</v>
      </c>
      <c r="B77" t="s">
        <v>83</v>
      </c>
      <c r="C77" t="s">
        <v>890</v>
      </c>
      <c r="D77" s="4">
        <v>46185</v>
      </c>
      <c r="E77">
        <v>92789</v>
      </c>
      <c r="F77" s="5">
        <v>35640</v>
      </c>
      <c r="G77" s="5">
        <v>57149</v>
      </c>
      <c r="H77" t="s">
        <v>842</v>
      </c>
      <c r="I77" s="1">
        <v>46823</v>
      </c>
      <c r="J77" s="9">
        <v>101129319780</v>
      </c>
      <c r="K77" t="s">
        <v>1009</v>
      </c>
      <c r="L77" t="s">
        <v>848</v>
      </c>
      <c r="M77" t="s">
        <v>1010</v>
      </c>
      <c r="N77" s="1">
        <v>45729</v>
      </c>
      <c r="O77">
        <v>5</v>
      </c>
      <c r="P77" s="11">
        <v>46192</v>
      </c>
      <c r="Q77" s="17">
        <f t="shared" si="1"/>
        <v>0</v>
      </c>
      <c r="R77" s="3">
        <v>10</v>
      </c>
      <c r="S77" s="3">
        <v>2970</v>
      </c>
      <c r="T77" s="2">
        <v>46822</v>
      </c>
      <c r="U77" s="3">
        <v>719</v>
      </c>
      <c r="X77" s="17">
        <v>0</v>
      </c>
      <c r="Y77" s="23">
        <v>0</v>
      </c>
      <c r="Z77" s="24"/>
    </row>
    <row r="78" spans="1:26">
      <c r="A78" s="6" t="s">
        <v>14</v>
      </c>
      <c r="B78" t="s">
        <v>50</v>
      </c>
      <c r="C78" t="s">
        <v>877</v>
      </c>
      <c r="D78" s="4">
        <v>46185</v>
      </c>
      <c r="E78">
        <v>98000</v>
      </c>
      <c r="F78" s="5">
        <v>43679.97</v>
      </c>
      <c r="G78" s="5">
        <v>54320.03</v>
      </c>
      <c r="H78" t="s">
        <v>842</v>
      </c>
      <c r="I78" s="1">
        <v>46429</v>
      </c>
      <c r="J78" s="9">
        <v>101128409796</v>
      </c>
      <c r="K78" t="s">
        <v>1011</v>
      </c>
      <c r="L78" t="s">
        <v>848</v>
      </c>
      <c r="M78" t="s">
        <v>1012</v>
      </c>
      <c r="N78" s="1">
        <v>45668</v>
      </c>
      <c r="O78">
        <v>3</v>
      </c>
      <c r="P78" s="11">
        <v>46192</v>
      </c>
      <c r="Q78" s="17">
        <f t="shared" si="1"/>
        <v>0</v>
      </c>
      <c r="R78" s="3">
        <v>31</v>
      </c>
      <c r="S78" s="3">
        <v>5488</v>
      </c>
      <c r="T78" s="2">
        <v>46477</v>
      </c>
      <c r="U78" s="3">
        <v>485.33999999999702</v>
      </c>
      <c r="X78" s="17">
        <v>0</v>
      </c>
      <c r="Y78" s="23">
        <v>0</v>
      </c>
      <c r="Z78" s="24"/>
    </row>
    <row r="79" spans="1:26">
      <c r="A79" s="6" t="s">
        <v>14</v>
      </c>
      <c r="B79" t="s">
        <v>638</v>
      </c>
      <c r="C79" t="s">
        <v>880</v>
      </c>
      <c r="D79" s="4">
        <v>46185</v>
      </c>
      <c r="E79">
        <v>22732</v>
      </c>
      <c r="F79" s="5">
        <v>14003</v>
      </c>
      <c r="G79" s="5">
        <v>8729</v>
      </c>
      <c r="H79" t="s">
        <v>842</v>
      </c>
      <c r="I79" s="1">
        <v>46367</v>
      </c>
      <c r="J79" s="9">
        <v>107112708646</v>
      </c>
      <c r="K79" t="s">
        <v>1013</v>
      </c>
      <c r="L79" t="s">
        <v>844</v>
      </c>
      <c r="M79" t="s">
        <v>1014</v>
      </c>
      <c r="N79" s="1">
        <v>45773</v>
      </c>
      <c r="O79">
        <v>3</v>
      </c>
      <c r="P79" s="11">
        <v>46192</v>
      </c>
      <c r="Q79" s="17">
        <f t="shared" si="1"/>
        <v>0</v>
      </c>
      <c r="R79" s="3">
        <v>10</v>
      </c>
      <c r="S79" s="3">
        <v>1273</v>
      </c>
      <c r="T79" s="2">
        <v>46397</v>
      </c>
      <c r="U79" s="3">
        <v>1091</v>
      </c>
      <c r="X79" s="17">
        <v>0</v>
      </c>
      <c r="Y79" s="23">
        <v>0</v>
      </c>
      <c r="Z79" s="24"/>
    </row>
    <row r="80" spans="1:26">
      <c r="A80" s="6" t="s">
        <v>14</v>
      </c>
      <c r="B80" t="s">
        <v>465</v>
      </c>
      <c r="C80" t="s">
        <v>880</v>
      </c>
      <c r="D80" s="4">
        <v>46185</v>
      </c>
      <c r="E80">
        <v>112715</v>
      </c>
      <c r="F80" s="5">
        <v>39650</v>
      </c>
      <c r="G80" s="5">
        <v>73065</v>
      </c>
      <c r="H80" t="s">
        <v>842</v>
      </c>
      <c r="I80" s="1">
        <v>46763</v>
      </c>
      <c r="J80" s="9">
        <v>107112460003</v>
      </c>
      <c r="K80" t="s">
        <v>1015</v>
      </c>
      <c r="L80" t="s">
        <v>844</v>
      </c>
      <c r="M80" t="s">
        <v>1016</v>
      </c>
      <c r="N80" s="1">
        <v>45747</v>
      </c>
      <c r="O80">
        <v>5</v>
      </c>
      <c r="P80" s="11">
        <v>46192</v>
      </c>
      <c r="Q80" s="17">
        <f t="shared" si="1"/>
        <v>0</v>
      </c>
      <c r="R80" s="3">
        <v>10</v>
      </c>
      <c r="S80" s="3">
        <v>3705</v>
      </c>
      <c r="T80" s="2">
        <v>46793</v>
      </c>
      <c r="U80" s="3">
        <v>2670</v>
      </c>
      <c r="X80" s="17">
        <v>0</v>
      </c>
      <c r="Y80" s="23">
        <v>0</v>
      </c>
      <c r="Z80" s="24"/>
    </row>
    <row r="81" spans="1:26">
      <c r="A81" s="6" t="s">
        <v>14</v>
      </c>
      <c r="B81" t="s">
        <v>149</v>
      </c>
      <c r="C81" t="s">
        <v>850</v>
      </c>
      <c r="D81" s="4">
        <v>46185</v>
      </c>
      <c r="E81">
        <v>104637</v>
      </c>
      <c r="F81" s="5">
        <v>40278.33</v>
      </c>
      <c r="G81" s="5">
        <v>64358.67</v>
      </c>
      <c r="H81" t="s">
        <v>842</v>
      </c>
      <c r="I81" s="1">
        <v>46763</v>
      </c>
      <c r="J81" s="9">
        <v>101129727695</v>
      </c>
      <c r="K81" t="s">
        <v>1017</v>
      </c>
      <c r="L81" t="s">
        <v>848</v>
      </c>
      <c r="M81" t="s">
        <v>1018</v>
      </c>
      <c r="N81" s="1">
        <v>45745</v>
      </c>
      <c r="O81">
        <v>5</v>
      </c>
      <c r="P81" s="11">
        <v>46192</v>
      </c>
      <c r="Q81" s="17">
        <f t="shared" si="1"/>
        <v>2346.67</v>
      </c>
      <c r="R81" s="3">
        <v>17</v>
      </c>
      <c r="S81" s="3">
        <v>3445</v>
      </c>
      <c r="T81" s="2">
        <v>46769</v>
      </c>
      <c r="U81" s="3">
        <v>2348.67</v>
      </c>
      <c r="X81" s="17">
        <v>2346.67</v>
      </c>
      <c r="Y81" s="23">
        <v>0</v>
      </c>
      <c r="Z81" s="24"/>
    </row>
    <row r="82" spans="1:26">
      <c r="A82" s="6" t="s">
        <v>14</v>
      </c>
      <c r="B82" t="s">
        <v>143</v>
      </c>
      <c r="C82" t="s">
        <v>890</v>
      </c>
      <c r="D82" s="4">
        <v>46185</v>
      </c>
      <c r="E82">
        <v>108000</v>
      </c>
      <c r="F82" s="5">
        <v>60416.67</v>
      </c>
      <c r="G82" s="5">
        <v>47583.33</v>
      </c>
      <c r="H82" t="s">
        <v>842</v>
      </c>
      <c r="I82" s="1">
        <v>46429</v>
      </c>
      <c r="J82" s="9">
        <v>101129689132</v>
      </c>
      <c r="K82" t="s">
        <v>1019</v>
      </c>
      <c r="L82" t="s">
        <v>848</v>
      </c>
      <c r="M82" t="s">
        <v>1020</v>
      </c>
      <c r="N82" s="1">
        <v>45747</v>
      </c>
      <c r="O82">
        <v>3</v>
      </c>
      <c r="P82" s="11">
        <v>46192</v>
      </c>
      <c r="Q82" s="17">
        <f t="shared" si="1"/>
        <v>0</v>
      </c>
      <c r="R82" s="3">
        <v>3</v>
      </c>
      <c r="S82" s="3">
        <v>5704</v>
      </c>
      <c r="T82" s="2">
        <v>46449</v>
      </c>
      <c r="U82" s="3">
        <v>1951.33</v>
      </c>
      <c r="X82" s="17">
        <v>0</v>
      </c>
      <c r="Y82" s="23">
        <v>0</v>
      </c>
      <c r="Z82" s="24"/>
    </row>
    <row r="83" spans="1:26">
      <c r="A83" s="6" t="s">
        <v>14</v>
      </c>
      <c r="B83" t="s">
        <v>298</v>
      </c>
      <c r="C83" t="s">
        <v>846</v>
      </c>
      <c r="D83" s="4">
        <v>46185</v>
      </c>
      <c r="E83">
        <v>85872</v>
      </c>
      <c r="F83" s="5">
        <v>28197.33</v>
      </c>
      <c r="G83" s="5">
        <v>57674.67</v>
      </c>
      <c r="H83" t="s">
        <v>842</v>
      </c>
      <c r="I83" s="1">
        <v>46823</v>
      </c>
      <c r="J83" s="9">
        <v>101131094358</v>
      </c>
      <c r="K83" t="s">
        <v>1021</v>
      </c>
      <c r="L83" t="s">
        <v>848</v>
      </c>
      <c r="M83" t="s">
        <v>1022</v>
      </c>
      <c r="N83" s="1">
        <v>45813</v>
      </c>
      <c r="O83">
        <v>5</v>
      </c>
      <c r="P83" s="11">
        <v>46192</v>
      </c>
      <c r="Q83" s="17">
        <f t="shared" si="1"/>
        <v>0</v>
      </c>
      <c r="R83" s="3">
        <v>24</v>
      </c>
      <c r="S83" s="3">
        <v>2856</v>
      </c>
      <c r="T83" s="2">
        <v>46836</v>
      </c>
      <c r="U83" s="3">
        <v>554.66999999999803</v>
      </c>
      <c r="X83" s="17">
        <v>0</v>
      </c>
      <c r="Y83" s="23">
        <v>0</v>
      </c>
      <c r="Z83" s="24"/>
    </row>
    <row r="84" spans="1:26">
      <c r="A84" s="6" t="s">
        <v>14</v>
      </c>
      <c r="B84" t="s">
        <v>449</v>
      </c>
      <c r="C84" t="s">
        <v>853</v>
      </c>
      <c r="D84" s="4">
        <v>46185</v>
      </c>
      <c r="E84">
        <v>69900</v>
      </c>
      <c r="F84" s="5">
        <v>20800</v>
      </c>
      <c r="G84" s="5">
        <v>49100</v>
      </c>
      <c r="H84" t="s">
        <v>842</v>
      </c>
      <c r="I84" s="1">
        <v>46945</v>
      </c>
      <c r="J84" s="9">
        <v>107112392532</v>
      </c>
      <c r="K84" t="s">
        <v>1023</v>
      </c>
      <c r="L84" t="s">
        <v>844</v>
      </c>
      <c r="M84" t="s">
        <v>1024</v>
      </c>
      <c r="N84" s="1">
        <v>45740</v>
      </c>
      <c r="O84">
        <v>6</v>
      </c>
      <c r="P84" s="11">
        <v>46192</v>
      </c>
      <c r="Q84" s="17">
        <f t="shared" si="1"/>
        <v>0</v>
      </c>
      <c r="R84" s="3">
        <v>3</v>
      </c>
      <c r="S84" s="3">
        <v>1920</v>
      </c>
      <c r="T84" s="2">
        <v>46968</v>
      </c>
      <c r="U84" s="3">
        <v>1100</v>
      </c>
      <c r="X84" s="17">
        <v>0</v>
      </c>
      <c r="Y84" s="23">
        <v>0</v>
      </c>
      <c r="Z84" s="24"/>
    </row>
    <row r="85" spans="1:26">
      <c r="A85" s="6" t="s">
        <v>14</v>
      </c>
      <c r="B85" t="s">
        <v>421</v>
      </c>
      <c r="C85" t="s">
        <v>841</v>
      </c>
      <c r="D85" s="4">
        <v>46185</v>
      </c>
      <c r="E85">
        <v>70000</v>
      </c>
      <c r="F85" s="5">
        <v>44709</v>
      </c>
      <c r="G85" s="5">
        <v>25291</v>
      </c>
      <c r="H85" t="s">
        <v>842</v>
      </c>
      <c r="I85" s="1">
        <v>46367</v>
      </c>
      <c r="J85" s="9">
        <v>107112331524</v>
      </c>
      <c r="K85" t="s">
        <v>1025</v>
      </c>
      <c r="L85" t="s">
        <v>844</v>
      </c>
      <c r="M85" t="s">
        <v>1026</v>
      </c>
      <c r="N85" s="1">
        <v>45733</v>
      </c>
      <c r="O85">
        <v>3</v>
      </c>
      <c r="P85" s="11">
        <v>46192</v>
      </c>
      <c r="Q85" s="17">
        <f t="shared" si="1"/>
        <v>0</v>
      </c>
      <c r="R85" s="3">
        <v>3</v>
      </c>
      <c r="S85" s="3">
        <v>4100</v>
      </c>
      <c r="T85" s="2">
        <v>46390</v>
      </c>
      <c r="U85" s="3">
        <v>2341</v>
      </c>
      <c r="X85" s="17">
        <v>0</v>
      </c>
      <c r="Y85" s="23">
        <v>0</v>
      </c>
      <c r="Z85" s="24"/>
    </row>
    <row r="86" spans="1:26">
      <c r="A86" s="6" t="s">
        <v>14</v>
      </c>
      <c r="B86" t="s">
        <v>302</v>
      </c>
      <c r="C86" t="s">
        <v>846</v>
      </c>
      <c r="D86" s="4">
        <v>46185</v>
      </c>
      <c r="E86">
        <v>84946</v>
      </c>
      <c r="F86" s="5">
        <v>31250</v>
      </c>
      <c r="G86" s="5">
        <v>53696</v>
      </c>
      <c r="H86" t="s">
        <v>842</v>
      </c>
      <c r="I86" s="1">
        <v>46794</v>
      </c>
      <c r="J86" s="9">
        <v>101131216709</v>
      </c>
      <c r="K86" t="s">
        <v>1027</v>
      </c>
      <c r="L86" t="s">
        <v>848</v>
      </c>
      <c r="M86" t="s">
        <v>1028</v>
      </c>
      <c r="N86" s="1">
        <v>45819</v>
      </c>
      <c r="O86">
        <v>5</v>
      </c>
      <c r="P86" s="11">
        <v>46192</v>
      </c>
      <c r="Q86" s="17">
        <f t="shared" si="1"/>
        <v>0</v>
      </c>
      <c r="R86" s="3">
        <v>17</v>
      </c>
      <c r="S86" s="3">
        <v>2850</v>
      </c>
      <c r="T86" s="2">
        <v>46800</v>
      </c>
      <c r="U86" s="3">
        <v>2396</v>
      </c>
      <c r="X86" s="17">
        <v>0</v>
      </c>
      <c r="Y86" s="23">
        <v>0</v>
      </c>
      <c r="Z86" s="24"/>
    </row>
    <row r="87" spans="1:26">
      <c r="A87" s="6" t="s">
        <v>14</v>
      </c>
      <c r="B87" t="s">
        <v>219</v>
      </c>
      <c r="C87" t="s">
        <v>890</v>
      </c>
      <c r="D87" s="4">
        <v>46185</v>
      </c>
      <c r="E87">
        <v>73000</v>
      </c>
      <c r="F87" s="5">
        <v>39140</v>
      </c>
      <c r="G87" s="5">
        <v>33860</v>
      </c>
      <c r="H87" t="s">
        <v>842</v>
      </c>
      <c r="I87" s="1">
        <v>46429</v>
      </c>
      <c r="J87" s="9">
        <v>101130314638</v>
      </c>
      <c r="K87" t="s">
        <v>1029</v>
      </c>
      <c r="L87" t="s">
        <v>848</v>
      </c>
      <c r="M87" t="s">
        <v>1030</v>
      </c>
      <c r="N87" s="1">
        <v>45789</v>
      </c>
      <c r="O87">
        <v>3</v>
      </c>
      <c r="P87" s="11">
        <v>46192</v>
      </c>
      <c r="Q87" s="17">
        <f t="shared" si="1"/>
        <v>0</v>
      </c>
      <c r="R87" s="3">
        <v>31</v>
      </c>
      <c r="S87" s="3">
        <v>3914</v>
      </c>
      <c r="T87" s="2">
        <v>46446</v>
      </c>
      <c r="U87" s="3">
        <v>2548</v>
      </c>
      <c r="X87" s="17">
        <v>0</v>
      </c>
      <c r="Y87" s="23">
        <v>0</v>
      </c>
      <c r="Z87" s="24"/>
    </row>
    <row r="88" spans="1:26">
      <c r="A88" s="6" t="s">
        <v>14</v>
      </c>
      <c r="B88" t="s">
        <v>129</v>
      </c>
      <c r="C88" t="s">
        <v>910</v>
      </c>
      <c r="D88" s="4">
        <v>46185</v>
      </c>
      <c r="E88">
        <v>94515</v>
      </c>
      <c r="F88" s="5">
        <v>39564</v>
      </c>
      <c r="G88" s="5">
        <v>54951</v>
      </c>
      <c r="H88" t="s">
        <v>842</v>
      </c>
      <c r="I88" s="1">
        <v>46794</v>
      </c>
      <c r="J88" s="9">
        <v>101129590806</v>
      </c>
      <c r="K88" t="s">
        <v>1031</v>
      </c>
      <c r="L88" t="s">
        <v>848</v>
      </c>
      <c r="M88" t="s">
        <v>1032</v>
      </c>
      <c r="N88" s="1">
        <v>45738</v>
      </c>
      <c r="O88">
        <v>5</v>
      </c>
      <c r="P88" s="11">
        <v>46192</v>
      </c>
      <c r="Q88" s="17">
        <f t="shared" si="1"/>
        <v>0</v>
      </c>
      <c r="R88" s="3">
        <v>17</v>
      </c>
      <c r="S88" s="3">
        <v>3036</v>
      </c>
      <c r="T88" s="2">
        <v>46800</v>
      </c>
      <c r="U88" s="3">
        <v>419</v>
      </c>
      <c r="X88" s="17">
        <v>0</v>
      </c>
      <c r="Y88" s="23">
        <v>0</v>
      </c>
      <c r="Z88" s="24"/>
    </row>
    <row r="89" spans="1:26">
      <c r="A89" s="6" t="s">
        <v>14</v>
      </c>
      <c r="B89" t="s">
        <v>85</v>
      </c>
      <c r="C89" t="s">
        <v>890</v>
      </c>
      <c r="D89" s="4">
        <v>46185</v>
      </c>
      <c r="E89">
        <v>88849</v>
      </c>
      <c r="F89" s="5">
        <v>34830</v>
      </c>
      <c r="G89" s="5">
        <v>54019</v>
      </c>
      <c r="H89" t="s">
        <v>842</v>
      </c>
      <c r="I89" s="1">
        <v>46732</v>
      </c>
      <c r="J89" s="9">
        <v>101129320554</v>
      </c>
      <c r="K89" t="s">
        <v>1033</v>
      </c>
      <c r="L89" t="s">
        <v>848</v>
      </c>
      <c r="M89" t="s">
        <v>1034</v>
      </c>
      <c r="N89" s="1">
        <v>45724</v>
      </c>
      <c r="O89">
        <v>5</v>
      </c>
      <c r="P89" s="11">
        <v>46192</v>
      </c>
      <c r="Q89" s="17">
        <f t="shared" si="1"/>
        <v>2970</v>
      </c>
      <c r="R89" s="3">
        <v>24</v>
      </c>
      <c r="S89" s="3">
        <v>2970</v>
      </c>
      <c r="T89" s="2">
        <v>46745</v>
      </c>
      <c r="U89" s="3">
        <v>2719</v>
      </c>
      <c r="X89" s="17">
        <v>2970</v>
      </c>
      <c r="Y89" s="23">
        <v>0</v>
      </c>
      <c r="Z89" s="24"/>
    </row>
    <row r="90" spans="1:26">
      <c r="A90" s="6" t="s">
        <v>14</v>
      </c>
      <c r="B90" t="s">
        <v>630</v>
      </c>
      <c r="C90" t="s">
        <v>841</v>
      </c>
      <c r="D90" s="4">
        <v>46185</v>
      </c>
      <c r="E90">
        <v>107350</v>
      </c>
      <c r="F90" s="5">
        <v>39710</v>
      </c>
      <c r="G90" s="5">
        <v>67640</v>
      </c>
      <c r="H90" t="s">
        <v>842</v>
      </c>
      <c r="I90" s="1">
        <v>46732</v>
      </c>
      <c r="J90" s="9">
        <v>107112701286</v>
      </c>
      <c r="K90" t="s">
        <v>1035</v>
      </c>
      <c r="L90" t="s">
        <v>844</v>
      </c>
      <c r="M90" t="s">
        <v>1036</v>
      </c>
      <c r="N90" s="1">
        <v>45777</v>
      </c>
      <c r="O90">
        <v>5</v>
      </c>
      <c r="P90" s="11">
        <v>46192</v>
      </c>
      <c r="Q90" s="17">
        <f t="shared" si="1"/>
        <v>0</v>
      </c>
      <c r="R90" s="3">
        <v>31</v>
      </c>
      <c r="S90" s="3">
        <v>3772</v>
      </c>
      <c r="T90" s="2">
        <v>46752</v>
      </c>
      <c r="U90" s="3">
        <v>3516</v>
      </c>
      <c r="X90" s="17">
        <v>0</v>
      </c>
      <c r="Y90" s="23">
        <v>0</v>
      </c>
      <c r="Z90" s="24"/>
    </row>
    <row r="91" spans="1:26">
      <c r="A91" s="6" t="s">
        <v>14</v>
      </c>
      <c r="B91" t="s">
        <v>763</v>
      </c>
      <c r="C91" t="s">
        <v>907</v>
      </c>
      <c r="D91" s="4">
        <v>46185</v>
      </c>
      <c r="E91">
        <v>103000</v>
      </c>
      <c r="F91" s="5">
        <v>29376</v>
      </c>
      <c r="G91" s="5">
        <v>73624</v>
      </c>
      <c r="H91" t="s">
        <v>842</v>
      </c>
      <c r="I91" s="1">
        <v>46823</v>
      </c>
      <c r="J91" s="9">
        <v>107112967766</v>
      </c>
      <c r="K91" t="s">
        <v>1037</v>
      </c>
      <c r="L91" t="s">
        <v>844</v>
      </c>
      <c r="M91" t="s">
        <v>1038</v>
      </c>
      <c r="N91" s="1">
        <v>45800</v>
      </c>
      <c r="O91">
        <v>5</v>
      </c>
      <c r="P91" s="11">
        <v>46192</v>
      </c>
      <c r="Q91" s="17">
        <f t="shared" si="1"/>
        <v>3402</v>
      </c>
      <c r="R91" s="3">
        <v>3</v>
      </c>
      <c r="S91" s="3">
        <v>3402</v>
      </c>
      <c r="T91" s="2">
        <v>46846</v>
      </c>
      <c r="U91" s="3">
        <v>2182</v>
      </c>
      <c r="X91" s="17">
        <v>3402</v>
      </c>
      <c r="Y91" s="23">
        <v>0</v>
      </c>
      <c r="Z91" s="24"/>
    </row>
    <row r="92" spans="1:26">
      <c r="A92" s="6" t="s">
        <v>14</v>
      </c>
      <c r="B92" t="s">
        <v>61</v>
      </c>
      <c r="C92" t="s">
        <v>850</v>
      </c>
      <c r="D92" s="4">
        <v>46185</v>
      </c>
      <c r="E92">
        <v>93250</v>
      </c>
      <c r="F92" s="5">
        <v>34770</v>
      </c>
      <c r="G92" s="5">
        <v>58480</v>
      </c>
      <c r="H92" t="s">
        <v>842</v>
      </c>
      <c r="I92" s="1">
        <v>46763</v>
      </c>
      <c r="J92" s="9">
        <v>101129075952</v>
      </c>
      <c r="K92" t="s">
        <v>1039</v>
      </c>
      <c r="L92" t="s">
        <v>848</v>
      </c>
      <c r="M92" t="s">
        <v>1040</v>
      </c>
      <c r="N92" s="1">
        <v>45726</v>
      </c>
      <c r="O92">
        <v>5</v>
      </c>
      <c r="P92" s="11">
        <v>46192</v>
      </c>
      <c r="Q92" s="17">
        <f t="shared" si="1"/>
        <v>0</v>
      </c>
      <c r="R92" s="3">
        <v>3</v>
      </c>
      <c r="S92" s="3">
        <v>2992</v>
      </c>
      <c r="T92" s="2">
        <v>46786</v>
      </c>
      <c r="U92" s="3">
        <v>1096.67</v>
      </c>
      <c r="X92" s="17">
        <v>0</v>
      </c>
      <c r="Y92" s="23">
        <v>0</v>
      </c>
      <c r="Z92" s="24"/>
    </row>
    <row r="93" spans="1:26">
      <c r="A93" s="6" t="s">
        <v>14</v>
      </c>
      <c r="B93" t="s">
        <v>596</v>
      </c>
      <c r="C93" t="s">
        <v>856</v>
      </c>
      <c r="D93" s="4">
        <v>46185</v>
      </c>
      <c r="E93">
        <v>107595</v>
      </c>
      <c r="F93" s="5">
        <v>37360</v>
      </c>
      <c r="G93" s="5">
        <v>70235</v>
      </c>
      <c r="H93" t="s">
        <v>842</v>
      </c>
      <c r="I93" s="1">
        <v>46763</v>
      </c>
      <c r="J93" s="9">
        <v>107112654601</v>
      </c>
      <c r="K93" t="s">
        <v>1041</v>
      </c>
      <c r="L93" t="s">
        <v>844</v>
      </c>
      <c r="M93" t="s">
        <v>1042</v>
      </c>
      <c r="N93" s="1">
        <v>45768</v>
      </c>
      <c r="O93">
        <v>5</v>
      </c>
      <c r="P93" s="11">
        <v>46192</v>
      </c>
      <c r="Q93" s="17">
        <f t="shared" si="1"/>
        <v>0</v>
      </c>
      <c r="R93" s="3">
        <v>3</v>
      </c>
      <c r="S93" s="3">
        <v>3567</v>
      </c>
      <c r="T93" s="2">
        <v>46786</v>
      </c>
      <c r="U93" s="3">
        <v>2462</v>
      </c>
      <c r="X93" s="17">
        <v>0</v>
      </c>
      <c r="Y93" s="23">
        <v>0</v>
      </c>
      <c r="Z93" s="24"/>
    </row>
    <row r="94" spans="1:26">
      <c r="A94" s="6" t="s">
        <v>14</v>
      </c>
      <c r="B94" t="s">
        <v>46</v>
      </c>
      <c r="C94" t="s">
        <v>901</v>
      </c>
      <c r="D94" s="4">
        <v>46185</v>
      </c>
      <c r="E94">
        <v>39593</v>
      </c>
      <c r="F94" s="5">
        <v>13340</v>
      </c>
      <c r="G94" s="5">
        <v>26253</v>
      </c>
      <c r="H94" t="s">
        <v>842</v>
      </c>
      <c r="I94" s="1">
        <v>46794</v>
      </c>
      <c r="J94" s="9">
        <v>101128228767</v>
      </c>
      <c r="K94" t="s">
        <v>1043</v>
      </c>
      <c r="L94" t="s">
        <v>848</v>
      </c>
      <c r="M94" t="s">
        <v>1044</v>
      </c>
      <c r="N94" s="1">
        <v>45659</v>
      </c>
      <c r="O94">
        <v>5</v>
      </c>
      <c r="P94" s="11">
        <v>46192</v>
      </c>
      <c r="Q94" s="17">
        <f t="shared" si="1"/>
        <v>0</v>
      </c>
      <c r="R94" s="3">
        <v>3</v>
      </c>
      <c r="S94" s="3">
        <v>1334</v>
      </c>
      <c r="T94" s="2">
        <v>46786</v>
      </c>
      <c r="U94" s="3">
        <v>907</v>
      </c>
      <c r="X94" s="17">
        <v>0</v>
      </c>
      <c r="Y94" s="23">
        <v>0</v>
      </c>
      <c r="Z94" s="24"/>
    </row>
    <row r="95" spans="1:26">
      <c r="A95" s="6" t="s">
        <v>14</v>
      </c>
      <c r="B95" t="s">
        <v>713</v>
      </c>
      <c r="C95" t="s">
        <v>841</v>
      </c>
      <c r="D95" s="4">
        <v>46185</v>
      </c>
      <c r="E95">
        <v>105000</v>
      </c>
      <c r="F95" s="5">
        <v>34766</v>
      </c>
      <c r="G95" s="5">
        <v>70234</v>
      </c>
      <c r="H95" t="s">
        <v>842</v>
      </c>
      <c r="I95" s="1">
        <v>46763</v>
      </c>
      <c r="J95" s="9">
        <v>107112863914</v>
      </c>
      <c r="K95" t="s">
        <v>1045</v>
      </c>
      <c r="L95" t="s">
        <v>844</v>
      </c>
      <c r="M95" t="s">
        <v>1046</v>
      </c>
      <c r="N95" s="1">
        <v>45789</v>
      </c>
      <c r="O95">
        <v>5</v>
      </c>
      <c r="P95" s="11">
        <v>46192</v>
      </c>
      <c r="Q95" s="17">
        <f t="shared" si="1"/>
        <v>0</v>
      </c>
      <c r="R95" s="3">
        <v>10</v>
      </c>
      <c r="S95" s="3">
        <v>3564</v>
      </c>
      <c r="T95" s="2">
        <v>46793</v>
      </c>
      <c r="U95" s="3">
        <v>2518</v>
      </c>
      <c r="X95" s="17">
        <v>0</v>
      </c>
      <c r="Y95" s="23">
        <v>0</v>
      </c>
      <c r="Z95" s="24"/>
    </row>
    <row r="96" spans="1:26">
      <c r="A96" s="6" t="s">
        <v>14</v>
      </c>
      <c r="B96" t="s">
        <v>328</v>
      </c>
      <c r="C96" t="s">
        <v>887</v>
      </c>
      <c r="D96" s="4">
        <v>46185</v>
      </c>
      <c r="E96">
        <v>114888</v>
      </c>
      <c r="F96" s="5">
        <v>42220</v>
      </c>
      <c r="G96" s="5">
        <v>72668</v>
      </c>
      <c r="H96" t="s">
        <v>842</v>
      </c>
      <c r="I96" s="1">
        <v>46732</v>
      </c>
      <c r="J96" s="9">
        <v>107111929603</v>
      </c>
      <c r="K96" t="s">
        <v>1047</v>
      </c>
      <c r="L96" t="s">
        <v>844</v>
      </c>
      <c r="M96" t="s">
        <v>1048</v>
      </c>
      <c r="N96" s="1">
        <v>45710</v>
      </c>
      <c r="O96">
        <v>5</v>
      </c>
      <c r="P96" s="11">
        <v>46192</v>
      </c>
      <c r="Q96" s="17">
        <f t="shared" si="1"/>
        <v>0</v>
      </c>
      <c r="R96" s="3">
        <v>17</v>
      </c>
      <c r="S96" s="3">
        <v>3780</v>
      </c>
      <c r="T96" s="2">
        <v>46769</v>
      </c>
      <c r="U96" s="3">
        <v>3058</v>
      </c>
      <c r="X96" s="17">
        <v>0</v>
      </c>
      <c r="Y96" s="23">
        <v>0</v>
      </c>
      <c r="Z96" s="24"/>
    </row>
    <row r="97" spans="1:26">
      <c r="A97" s="6" t="s">
        <v>14</v>
      </c>
      <c r="B97" t="s">
        <v>102</v>
      </c>
      <c r="C97" t="s">
        <v>890</v>
      </c>
      <c r="D97" s="4">
        <v>46185</v>
      </c>
      <c r="E97">
        <v>100000</v>
      </c>
      <c r="F97" s="5">
        <v>62610</v>
      </c>
      <c r="G97" s="5">
        <v>37390</v>
      </c>
      <c r="H97" t="s">
        <v>842</v>
      </c>
      <c r="I97" s="1">
        <v>46398</v>
      </c>
      <c r="J97" s="9">
        <v>101129405710</v>
      </c>
      <c r="K97" t="s">
        <v>1049</v>
      </c>
      <c r="L97" t="s">
        <v>848</v>
      </c>
      <c r="M97" t="s">
        <v>1050</v>
      </c>
      <c r="N97" s="1">
        <v>45729</v>
      </c>
      <c r="O97">
        <v>3</v>
      </c>
      <c r="P97" s="11">
        <v>46192</v>
      </c>
      <c r="Q97" s="17">
        <f t="shared" si="1"/>
        <v>2800</v>
      </c>
      <c r="R97" s="3">
        <v>17</v>
      </c>
      <c r="S97" s="3">
        <v>5460</v>
      </c>
      <c r="T97" s="2">
        <v>46404</v>
      </c>
      <c r="U97" s="3">
        <v>4630</v>
      </c>
      <c r="X97" s="17">
        <v>2800</v>
      </c>
      <c r="Y97" s="23">
        <v>0</v>
      </c>
      <c r="Z97" s="24"/>
    </row>
    <row r="98" spans="1:26">
      <c r="A98" s="6" t="s">
        <v>14</v>
      </c>
      <c r="B98" t="s">
        <v>195</v>
      </c>
      <c r="C98" t="s">
        <v>890</v>
      </c>
      <c r="D98" s="4">
        <v>46185</v>
      </c>
      <c r="E98">
        <v>69800</v>
      </c>
      <c r="F98" s="5">
        <v>25740</v>
      </c>
      <c r="G98" s="5">
        <v>44060</v>
      </c>
      <c r="H98" t="s">
        <v>842</v>
      </c>
      <c r="I98" s="1">
        <v>46732</v>
      </c>
      <c r="J98" s="9">
        <v>101130125068</v>
      </c>
      <c r="K98" t="s">
        <v>1051</v>
      </c>
      <c r="L98" t="s">
        <v>848</v>
      </c>
      <c r="M98" t="s">
        <v>1052</v>
      </c>
      <c r="N98" s="1">
        <v>45766</v>
      </c>
      <c r="O98">
        <v>5</v>
      </c>
      <c r="P98" s="11">
        <v>46192</v>
      </c>
      <c r="Q98" s="17">
        <f t="shared" si="1"/>
        <v>0</v>
      </c>
      <c r="R98" s="3">
        <v>3</v>
      </c>
      <c r="S98" s="3">
        <v>2340</v>
      </c>
      <c r="T98" s="2">
        <v>46755</v>
      </c>
      <c r="U98" s="3">
        <v>1940</v>
      </c>
      <c r="X98" s="17">
        <v>0</v>
      </c>
      <c r="Y98" s="23">
        <v>0</v>
      </c>
      <c r="Z98" s="24"/>
    </row>
    <row r="99" spans="1:26">
      <c r="A99" s="6" t="s">
        <v>14</v>
      </c>
      <c r="B99" t="s">
        <v>256</v>
      </c>
      <c r="C99" t="s">
        <v>890</v>
      </c>
      <c r="D99" s="4">
        <v>46185</v>
      </c>
      <c r="E99">
        <v>105000</v>
      </c>
      <c r="F99" s="5">
        <v>33750</v>
      </c>
      <c r="G99" s="5">
        <v>71250</v>
      </c>
      <c r="H99" t="s">
        <v>842</v>
      </c>
      <c r="I99" s="1">
        <v>46854</v>
      </c>
      <c r="J99" s="9">
        <v>101130634868</v>
      </c>
      <c r="K99" t="s">
        <v>1053</v>
      </c>
      <c r="L99" t="s">
        <v>848</v>
      </c>
      <c r="M99" t="s">
        <v>1054</v>
      </c>
      <c r="N99" s="1">
        <v>45790</v>
      </c>
      <c r="O99">
        <v>5</v>
      </c>
      <c r="P99" s="11">
        <v>46192</v>
      </c>
      <c r="Q99" s="17">
        <f t="shared" si="1"/>
        <v>0</v>
      </c>
      <c r="R99" s="3">
        <v>3</v>
      </c>
      <c r="S99" s="3">
        <v>3375</v>
      </c>
      <c r="T99" s="2">
        <v>46846</v>
      </c>
      <c r="U99" s="3">
        <v>375</v>
      </c>
      <c r="X99" s="17">
        <v>0</v>
      </c>
      <c r="Y99" s="23">
        <v>0</v>
      </c>
      <c r="Z99" s="24"/>
    </row>
    <row r="100" spans="1:26">
      <c r="A100" s="6" t="s">
        <v>14</v>
      </c>
      <c r="B100" t="s">
        <v>767</v>
      </c>
      <c r="C100" t="s">
        <v>841</v>
      </c>
      <c r="D100" s="4">
        <v>46185</v>
      </c>
      <c r="E100">
        <v>138000</v>
      </c>
      <c r="F100" s="5">
        <v>38688</v>
      </c>
      <c r="G100" s="5">
        <v>99312</v>
      </c>
      <c r="H100" t="s">
        <v>842</v>
      </c>
      <c r="I100" s="1">
        <v>46823</v>
      </c>
      <c r="J100" s="9">
        <v>107112974183</v>
      </c>
      <c r="K100" t="s">
        <v>1055</v>
      </c>
      <c r="L100" t="s">
        <v>844</v>
      </c>
      <c r="M100" t="s">
        <v>1056</v>
      </c>
      <c r="N100" s="1">
        <v>45801</v>
      </c>
      <c r="O100">
        <v>5</v>
      </c>
      <c r="P100" s="11">
        <v>46192</v>
      </c>
      <c r="Q100" s="17">
        <f t="shared" si="1"/>
        <v>0</v>
      </c>
      <c r="R100" s="3">
        <v>10</v>
      </c>
      <c r="S100" s="3">
        <v>4576</v>
      </c>
      <c r="T100" s="2">
        <v>46853</v>
      </c>
      <c r="U100" s="3">
        <v>3216</v>
      </c>
      <c r="X100" s="17">
        <v>0</v>
      </c>
      <c r="Y100" s="23">
        <v>0</v>
      </c>
      <c r="Z100" s="24"/>
    </row>
    <row r="101" spans="1:26">
      <c r="A101" s="6" t="s">
        <v>14</v>
      </c>
      <c r="B101" t="s">
        <v>38</v>
      </c>
      <c r="C101" t="s">
        <v>901</v>
      </c>
      <c r="D101" s="4">
        <v>46185</v>
      </c>
      <c r="E101">
        <v>55000</v>
      </c>
      <c r="F101" s="5">
        <v>22080</v>
      </c>
      <c r="G101" s="5">
        <v>32920</v>
      </c>
      <c r="H101" t="s">
        <v>842</v>
      </c>
      <c r="I101" s="1">
        <v>46732</v>
      </c>
      <c r="J101" s="9">
        <v>101128209031</v>
      </c>
      <c r="K101" t="s">
        <v>1043</v>
      </c>
      <c r="L101" t="s">
        <v>848</v>
      </c>
      <c r="M101" t="s">
        <v>1057</v>
      </c>
      <c r="N101" s="1">
        <v>45652</v>
      </c>
      <c r="O101">
        <v>5</v>
      </c>
      <c r="P101" s="11">
        <v>46192</v>
      </c>
      <c r="Q101" s="17">
        <f t="shared" si="1"/>
        <v>1840</v>
      </c>
      <c r="R101" s="3">
        <v>17</v>
      </c>
      <c r="S101" s="3">
        <v>1840</v>
      </c>
      <c r="T101" s="2">
        <v>46738</v>
      </c>
      <c r="U101" s="3">
        <v>1640</v>
      </c>
      <c r="X101" s="17">
        <v>1840</v>
      </c>
      <c r="Y101" s="23">
        <v>0</v>
      </c>
      <c r="Z101" s="24"/>
    </row>
    <row r="102" spans="1:26">
      <c r="A102" s="6" t="s">
        <v>14</v>
      </c>
      <c r="B102" t="s">
        <v>115</v>
      </c>
      <c r="C102" t="s">
        <v>846</v>
      </c>
      <c r="D102" s="4">
        <v>46185</v>
      </c>
      <c r="E102">
        <v>80000</v>
      </c>
      <c r="F102" s="5">
        <v>42415</v>
      </c>
      <c r="G102" s="5">
        <v>37585</v>
      </c>
      <c r="H102" t="s">
        <v>842</v>
      </c>
      <c r="I102" s="1">
        <v>46457</v>
      </c>
      <c r="J102" s="9">
        <v>101129492083</v>
      </c>
      <c r="K102" t="s">
        <v>1058</v>
      </c>
      <c r="L102" t="s">
        <v>848</v>
      </c>
      <c r="M102" t="s">
        <v>1059</v>
      </c>
      <c r="N102" s="1">
        <v>45793</v>
      </c>
      <c r="O102">
        <v>3</v>
      </c>
      <c r="P102" s="11">
        <v>46192</v>
      </c>
      <c r="Q102" s="17">
        <f t="shared" si="1"/>
        <v>0</v>
      </c>
      <c r="R102" s="3">
        <v>3</v>
      </c>
      <c r="S102" s="3">
        <v>4335</v>
      </c>
      <c r="T102" s="2">
        <v>46449</v>
      </c>
      <c r="U102" s="3">
        <v>2905</v>
      </c>
      <c r="X102" s="17">
        <v>0</v>
      </c>
      <c r="Y102" s="23">
        <v>0</v>
      </c>
      <c r="Z102" s="24"/>
    </row>
    <row r="103" spans="1:26">
      <c r="A103" s="6" t="s">
        <v>14</v>
      </c>
      <c r="B103" t="s">
        <v>543</v>
      </c>
      <c r="C103" t="s">
        <v>841</v>
      </c>
      <c r="D103" s="4">
        <v>46185</v>
      </c>
      <c r="E103">
        <v>26555</v>
      </c>
      <c r="F103" s="5">
        <v>15708</v>
      </c>
      <c r="G103" s="5">
        <v>10847</v>
      </c>
      <c r="H103" t="s">
        <v>842</v>
      </c>
      <c r="I103" s="1">
        <v>46429</v>
      </c>
      <c r="J103" s="9">
        <v>107112601974</v>
      </c>
      <c r="K103" t="s">
        <v>859</v>
      </c>
      <c r="L103" t="s">
        <v>844</v>
      </c>
      <c r="M103" t="s">
        <v>1060</v>
      </c>
      <c r="N103" s="1">
        <v>45784</v>
      </c>
      <c r="O103">
        <v>3</v>
      </c>
      <c r="P103" s="11">
        <v>46192</v>
      </c>
      <c r="Q103" s="17">
        <f t="shared" si="1"/>
        <v>0</v>
      </c>
      <c r="R103" s="3">
        <v>31</v>
      </c>
      <c r="S103" s="3">
        <v>1428</v>
      </c>
      <c r="T103" s="2">
        <v>46446</v>
      </c>
      <c r="U103" s="3">
        <v>851</v>
      </c>
      <c r="X103" s="17">
        <v>0</v>
      </c>
      <c r="Y103" s="23">
        <v>0</v>
      </c>
      <c r="Z103" s="24"/>
    </row>
    <row r="104" spans="1:26">
      <c r="A104" s="6" t="s">
        <v>14</v>
      </c>
      <c r="B104" t="s">
        <v>106</v>
      </c>
      <c r="C104" t="s">
        <v>846</v>
      </c>
      <c r="D104" s="4">
        <v>46185</v>
      </c>
      <c r="E104">
        <v>91996</v>
      </c>
      <c r="F104" s="5">
        <v>35112</v>
      </c>
      <c r="G104" s="5">
        <v>56884</v>
      </c>
      <c r="H104" t="s">
        <v>842</v>
      </c>
      <c r="I104" s="1">
        <v>46795</v>
      </c>
      <c r="J104" s="9">
        <v>101129442765</v>
      </c>
      <c r="K104" t="s">
        <v>1061</v>
      </c>
      <c r="L104" t="s">
        <v>848</v>
      </c>
      <c r="M104" t="s">
        <v>1062</v>
      </c>
      <c r="N104" s="1">
        <v>45730</v>
      </c>
      <c r="O104">
        <v>5</v>
      </c>
      <c r="P104" s="11">
        <v>46192</v>
      </c>
      <c r="Q104" s="17">
        <f t="shared" si="1"/>
        <v>0</v>
      </c>
      <c r="R104" s="3">
        <v>3</v>
      </c>
      <c r="S104" s="3">
        <v>2926</v>
      </c>
      <c r="T104" s="2">
        <v>46786</v>
      </c>
      <c r="U104" s="3">
        <v>1290</v>
      </c>
      <c r="X104" s="17">
        <v>0</v>
      </c>
      <c r="Y104" s="23">
        <v>0</v>
      </c>
      <c r="Z104" s="24"/>
    </row>
    <row r="105" spans="1:26">
      <c r="A105" s="6" t="s">
        <v>14</v>
      </c>
      <c r="B105" t="s">
        <v>238</v>
      </c>
      <c r="C105" t="s">
        <v>850</v>
      </c>
      <c r="D105" s="4">
        <v>46185</v>
      </c>
      <c r="E105">
        <v>74625</v>
      </c>
      <c r="F105" s="5">
        <v>43166.67</v>
      </c>
      <c r="G105" s="5">
        <v>31458.33</v>
      </c>
      <c r="H105" t="s">
        <v>842</v>
      </c>
      <c r="I105" s="1">
        <v>46429</v>
      </c>
      <c r="J105" s="9">
        <v>101130468708</v>
      </c>
      <c r="K105" t="s">
        <v>1063</v>
      </c>
      <c r="L105" t="s">
        <v>848</v>
      </c>
      <c r="M105" t="s">
        <v>1064</v>
      </c>
      <c r="N105" s="1">
        <v>45783</v>
      </c>
      <c r="O105">
        <v>3</v>
      </c>
      <c r="P105" s="11">
        <v>46192</v>
      </c>
      <c r="Q105" s="17">
        <f t="shared" si="1"/>
        <v>4060</v>
      </c>
      <c r="R105" s="3">
        <v>17</v>
      </c>
      <c r="S105" s="3">
        <v>4060</v>
      </c>
      <c r="T105" s="2">
        <v>46435</v>
      </c>
      <c r="U105" s="3">
        <v>3038.33</v>
      </c>
      <c r="X105" s="17">
        <v>4060</v>
      </c>
      <c r="Y105" s="23">
        <v>0</v>
      </c>
      <c r="Z105" s="24"/>
    </row>
    <row r="106" spans="1:26">
      <c r="A106" s="6" t="s">
        <v>14</v>
      </c>
      <c r="B106" t="s">
        <v>818</v>
      </c>
      <c r="C106" t="s">
        <v>1065</v>
      </c>
      <c r="D106" s="4">
        <v>46185</v>
      </c>
      <c r="E106">
        <v>21735</v>
      </c>
      <c r="F106" s="5">
        <v>11136</v>
      </c>
      <c r="G106" s="5">
        <v>10599</v>
      </c>
      <c r="H106" t="s">
        <v>842</v>
      </c>
      <c r="I106" s="1">
        <v>46429</v>
      </c>
      <c r="J106" s="9">
        <v>107113139038</v>
      </c>
      <c r="K106" t="s">
        <v>1066</v>
      </c>
      <c r="L106" t="s">
        <v>844</v>
      </c>
      <c r="M106" t="s">
        <v>1067</v>
      </c>
      <c r="N106" s="1">
        <v>45820</v>
      </c>
      <c r="O106">
        <v>3</v>
      </c>
      <c r="P106" s="11">
        <v>46192</v>
      </c>
      <c r="Q106" s="17">
        <f t="shared" si="1"/>
        <v>0</v>
      </c>
      <c r="R106" s="3">
        <v>17</v>
      </c>
      <c r="S106" s="3">
        <v>1189</v>
      </c>
      <c r="T106" s="2">
        <v>46435</v>
      </c>
      <c r="U106" s="3">
        <v>1087</v>
      </c>
      <c r="X106" s="17">
        <v>0</v>
      </c>
      <c r="Y106" s="23">
        <v>0</v>
      </c>
      <c r="Z106" s="24"/>
    </row>
    <row r="107" spans="1:26">
      <c r="A107" s="6" t="s">
        <v>14</v>
      </c>
      <c r="B107" t="s">
        <v>632</v>
      </c>
      <c r="C107" t="s">
        <v>841</v>
      </c>
      <c r="D107" s="4">
        <v>46185</v>
      </c>
      <c r="E107">
        <v>85000</v>
      </c>
      <c r="F107" s="5">
        <v>31300</v>
      </c>
      <c r="G107" s="5">
        <v>53700</v>
      </c>
      <c r="H107" t="s">
        <v>842</v>
      </c>
      <c r="I107" s="1">
        <v>46732</v>
      </c>
      <c r="J107" s="9">
        <v>107112702614</v>
      </c>
      <c r="K107" t="s">
        <v>883</v>
      </c>
      <c r="L107" t="s">
        <v>844</v>
      </c>
      <c r="M107" t="s">
        <v>1068</v>
      </c>
      <c r="N107" s="1">
        <v>45772</v>
      </c>
      <c r="O107">
        <v>5</v>
      </c>
      <c r="P107" s="11">
        <v>46192</v>
      </c>
      <c r="Q107" s="17">
        <f t="shared" si="1"/>
        <v>0</v>
      </c>
      <c r="R107" s="3">
        <v>10</v>
      </c>
      <c r="S107" s="3">
        <v>2928</v>
      </c>
      <c r="T107" s="2">
        <v>46762</v>
      </c>
      <c r="U107" s="3">
        <v>996</v>
      </c>
      <c r="X107" s="17">
        <v>0</v>
      </c>
      <c r="Y107" s="23">
        <v>0</v>
      </c>
      <c r="Z107" s="24"/>
    </row>
    <row r="108" spans="1:26">
      <c r="A108" s="6" t="s">
        <v>14</v>
      </c>
      <c r="B108" t="s">
        <v>113</v>
      </c>
      <c r="C108" t="s">
        <v>910</v>
      </c>
      <c r="D108" s="4">
        <v>46185</v>
      </c>
      <c r="E108">
        <v>160091</v>
      </c>
      <c r="F108" s="5">
        <v>62880</v>
      </c>
      <c r="G108" s="5">
        <v>97211</v>
      </c>
      <c r="H108" t="s">
        <v>842</v>
      </c>
      <c r="I108" s="1">
        <v>46763</v>
      </c>
      <c r="J108" s="9">
        <v>101129491687</v>
      </c>
      <c r="K108" t="s">
        <v>1069</v>
      </c>
      <c r="L108" t="s">
        <v>848</v>
      </c>
      <c r="M108" t="s">
        <v>1070</v>
      </c>
      <c r="N108" s="1">
        <v>45732</v>
      </c>
      <c r="O108">
        <v>5</v>
      </c>
      <c r="P108" s="11">
        <v>46192</v>
      </c>
      <c r="Q108" s="17">
        <f t="shared" si="1"/>
        <v>0</v>
      </c>
      <c r="R108" s="3">
        <v>24</v>
      </c>
      <c r="S108" s="3">
        <v>5280</v>
      </c>
      <c r="T108" s="2">
        <v>46776</v>
      </c>
      <c r="U108" s="3">
        <v>2171</v>
      </c>
      <c r="X108" s="17">
        <v>0</v>
      </c>
      <c r="Y108" s="23">
        <v>0</v>
      </c>
      <c r="Z108" s="24"/>
    </row>
    <row r="109" spans="1:26">
      <c r="A109" s="6" t="s">
        <v>14</v>
      </c>
      <c r="B109" t="s">
        <v>87</v>
      </c>
      <c r="C109" t="s">
        <v>846</v>
      </c>
      <c r="D109" s="4">
        <v>46185</v>
      </c>
      <c r="E109">
        <v>76000</v>
      </c>
      <c r="F109" s="5">
        <v>27104</v>
      </c>
      <c r="G109" s="5">
        <v>48896</v>
      </c>
      <c r="H109" t="s">
        <v>842</v>
      </c>
      <c r="I109" s="1">
        <v>46794</v>
      </c>
      <c r="J109" s="9">
        <v>101129327544</v>
      </c>
      <c r="K109" t="s">
        <v>1058</v>
      </c>
      <c r="L109" t="s">
        <v>848</v>
      </c>
      <c r="M109" t="s">
        <v>1071</v>
      </c>
      <c r="N109" s="1">
        <v>45732</v>
      </c>
      <c r="O109">
        <v>5</v>
      </c>
      <c r="P109" s="11">
        <v>46192</v>
      </c>
      <c r="Q109" s="17">
        <f t="shared" si="1"/>
        <v>0</v>
      </c>
      <c r="R109" s="3">
        <v>10</v>
      </c>
      <c r="S109" s="3">
        <v>2464</v>
      </c>
      <c r="T109" s="2">
        <v>46793</v>
      </c>
      <c r="U109" s="3">
        <v>2080</v>
      </c>
      <c r="X109" s="17">
        <v>0</v>
      </c>
      <c r="Y109" s="23">
        <v>0</v>
      </c>
      <c r="Z109" s="24"/>
    </row>
    <row r="110" spans="1:26">
      <c r="A110" s="6" t="s">
        <v>14</v>
      </c>
      <c r="B110" t="s">
        <v>417</v>
      </c>
      <c r="C110" t="s">
        <v>841</v>
      </c>
      <c r="D110" s="4">
        <v>46185</v>
      </c>
      <c r="E110">
        <v>26749</v>
      </c>
      <c r="F110" s="5">
        <v>16500</v>
      </c>
      <c r="G110" s="5">
        <v>10249</v>
      </c>
      <c r="H110" t="s">
        <v>842</v>
      </c>
      <c r="I110" s="1">
        <v>46367</v>
      </c>
      <c r="J110" s="9">
        <v>107112327557</v>
      </c>
      <c r="K110" t="s">
        <v>868</v>
      </c>
      <c r="L110" t="s">
        <v>844</v>
      </c>
      <c r="M110" t="s">
        <v>1072</v>
      </c>
      <c r="N110" s="1">
        <v>45739</v>
      </c>
      <c r="O110">
        <v>3</v>
      </c>
      <c r="P110" s="11">
        <v>46192</v>
      </c>
      <c r="Q110" s="17">
        <f t="shared" si="1"/>
        <v>1500</v>
      </c>
      <c r="R110" s="3">
        <v>3</v>
      </c>
      <c r="S110" s="3">
        <v>1500</v>
      </c>
      <c r="T110" s="2">
        <v>46390</v>
      </c>
      <c r="U110" s="3">
        <v>1249</v>
      </c>
      <c r="X110" s="17">
        <v>1500</v>
      </c>
      <c r="Y110" s="23">
        <v>0</v>
      </c>
      <c r="Z110" s="24"/>
    </row>
    <row r="111" spans="1:26">
      <c r="A111" s="6" t="s">
        <v>14</v>
      </c>
      <c r="B111" t="s">
        <v>628</v>
      </c>
      <c r="C111" t="s">
        <v>864</v>
      </c>
      <c r="D111" s="4">
        <v>46185</v>
      </c>
      <c r="E111">
        <v>107767</v>
      </c>
      <c r="F111" s="5">
        <v>34840</v>
      </c>
      <c r="G111" s="5">
        <v>72927</v>
      </c>
      <c r="H111" t="s">
        <v>842</v>
      </c>
      <c r="I111" s="1">
        <v>46794</v>
      </c>
      <c r="J111" s="9">
        <v>107112700798</v>
      </c>
      <c r="K111" t="s">
        <v>1073</v>
      </c>
      <c r="L111" t="s">
        <v>844</v>
      </c>
      <c r="M111" t="s">
        <v>1074</v>
      </c>
      <c r="N111" s="1">
        <v>45771</v>
      </c>
      <c r="O111">
        <v>5</v>
      </c>
      <c r="P111" s="11">
        <v>46192</v>
      </c>
      <c r="Q111" s="17">
        <f t="shared" si="1"/>
        <v>3640</v>
      </c>
      <c r="R111" s="3">
        <v>3</v>
      </c>
      <c r="S111" s="3">
        <v>3640</v>
      </c>
      <c r="T111" s="2">
        <v>46815</v>
      </c>
      <c r="U111" s="3">
        <v>127</v>
      </c>
      <c r="X111" s="17">
        <v>3640</v>
      </c>
      <c r="Y111" s="23">
        <v>0</v>
      </c>
      <c r="Z111" s="24"/>
    </row>
    <row r="112" spans="1:26">
      <c r="A112" s="6" t="s">
        <v>14</v>
      </c>
      <c r="B112" t="s">
        <v>808</v>
      </c>
      <c r="C112" t="s">
        <v>1075</v>
      </c>
      <c r="D112" s="4">
        <v>46185</v>
      </c>
      <c r="E112">
        <v>84000</v>
      </c>
      <c r="F112" s="5">
        <v>23856</v>
      </c>
      <c r="G112" s="5">
        <v>60144</v>
      </c>
      <c r="H112" t="s">
        <v>842</v>
      </c>
      <c r="I112" s="1">
        <v>46823</v>
      </c>
      <c r="J112" s="9">
        <v>107113068233</v>
      </c>
      <c r="K112" t="s">
        <v>1076</v>
      </c>
      <c r="L112" t="s">
        <v>844</v>
      </c>
      <c r="M112" t="s">
        <v>1077</v>
      </c>
      <c r="N112" s="1">
        <v>45814</v>
      </c>
      <c r="O112">
        <v>5</v>
      </c>
      <c r="P112" s="11">
        <v>46192</v>
      </c>
      <c r="Q112" s="17">
        <f t="shared" si="1"/>
        <v>2772</v>
      </c>
      <c r="R112" s="3">
        <v>3</v>
      </c>
      <c r="S112" s="3">
        <v>2772</v>
      </c>
      <c r="T112" s="2">
        <v>46846</v>
      </c>
      <c r="U112" s="3">
        <v>1932</v>
      </c>
      <c r="X112" s="17">
        <v>2772</v>
      </c>
      <c r="Y112" s="23">
        <v>0</v>
      </c>
      <c r="Z112" s="24"/>
    </row>
    <row r="113" spans="1:26">
      <c r="A113" s="6" t="s">
        <v>14</v>
      </c>
      <c r="B113" t="s">
        <v>467</v>
      </c>
      <c r="C113" t="s">
        <v>907</v>
      </c>
      <c r="D113" s="4">
        <v>46185</v>
      </c>
      <c r="E113">
        <v>22853</v>
      </c>
      <c r="F113" s="5">
        <v>14520</v>
      </c>
      <c r="G113" s="5">
        <v>8333</v>
      </c>
      <c r="H113" t="s">
        <v>842</v>
      </c>
      <c r="I113" s="1">
        <v>46367</v>
      </c>
      <c r="J113" s="9">
        <v>107112462651</v>
      </c>
      <c r="K113" t="s">
        <v>1078</v>
      </c>
      <c r="L113" t="s">
        <v>844</v>
      </c>
      <c r="M113" t="s">
        <v>1079</v>
      </c>
      <c r="N113" s="1">
        <v>45749</v>
      </c>
      <c r="O113">
        <v>3</v>
      </c>
      <c r="P113" s="11">
        <v>46192</v>
      </c>
      <c r="Q113" s="17">
        <f t="shared" si="1"/>
        <v>0</v>
      </c>
      <c r="R113" s="3">
        <v>10</v>
      </c>
      <c r="S113" s="3">
        <v>1320</v>
      </c>
      <c r="T113" s="2">
        <v>46397</v>
      </c>
      <c r="U113" s="3">
        <v>413</v>
      </c>
      <c r="X113" s="17">
        <v>0</v>
      </c>
      <c r="Y113" s="23">
        <v>0</v>
      </c>
      <c r="Z113" s="24"/>
    </row>
    <row r="114" spans="1:26">
      <c r="A114" s="6" t="s">
        <v>14</v>
      </c>
      <c r="B114" t="s">
        <v>59</v>
      </c>
      <c r="C114" t="s">
        <v>901</v>
      </c>
      <c r="D114" s="4">
        <v>46185</v>
      </c>
      <c r="E114">
        <v>87339</v>
      </c>
      <c r="F114" s="5">
        <v>48013.99</v>
      </c>
      <c r="G114" s="5">
        <v>39325.01</v>
      </c>
      <c r="H114" t="s">
        <v>842</v>
      </c>
      <c r="I114" s="1">
        <v>46429</v>
      </c>
      <c r="J114" s="9">
        <v>101128692234</v>
      </c>
      <c r="K114" t="s">
        <v>1080</v>
      </c>
      <c r="L114" t="s">
        <v>848</v>
      </c>
      <c r="M114" t="s">
        <v>1081</v>
      </c>
      <c r="N114" s="1">
        <v>45708</v>
      </c>
      <c r="O114">
        <v>3</v>
      </c>
      <c r="P114" s="11">
        <v>46192</v>
      </c>
      <c r="Q114" s="17">
        <f t="shared" si="1"/>
        <v>0</v>
      </c>
      <c r="R114" s="3">
        <v>3</v>
      </c>
      <c r="S114" s="3">
        <v>4897</v>
      </c>
      <c r="T114" s="2">
        <v>46449</v>
      </c>
      <c r="U114" s="3">
        <v>149.00999999999499</v>
      </c>
      <c r="X114" s="17">
        <v>0</v>
      </c>
      <c r="Y114" s="23">
        <v>0</v>
      </c>
      <c r="Z114" s="24"/>
    </row>
    <row r="115" spans="1:26">
      <c r="A115" s="6" t="s">
        <v>14</v>
      </c>
      <c r="B115" t="s">
        <v>379</v>
      </c>
      <c r="C115" t="s">
        <v>841</v>
      </c>
      <c r="D115" s="4">
        <v>46185</v>
      </c>
      <c r="E115">
        <v>33828</v>
      </c>
      <c r="F115" s="5">
        <v>20600</v>
      </c>
      <c r="G115" s="5">
        <v>13228</v>
      </c>
      <c r="H115" t="s">
        <v>842</v>
      </c>
      <c r="I115" s="1">
        <v>46337</v>
      </c>
      <c r="J115" s="9">
        <v>107112233335</v>
      </c>
      <c r="K115" t="s">
        <v>1082</v>
      </c>
      <c r="L115" t="s">
        <v>844</v>
      </c>
      <c r="M115" t="s">
        <v>1083</v>
      </c>
      <c r="N115" s="1">
        <v>45725</v>
      </c>
      <c r="O115">
        <v>3</v>
      </c>
      <c r="P115" s="11">
        <v>46192</v>
      </c>
      <c r="Q115" s="17">
        <f t="shared" si="1"/>
        <v>0</v>
      </c>
      <c r="R115" s="3">
        <v>3</v>
      </c>
      <c r="S115" s="3">
        <v>2000</v>
      </c>
      <c r="T115" s="2">
        <v>46390</v>
      </c>
      <c r="U115" s="3">
        <v>1828</v>
      </c>
      <c r="X115" s="17">
        <v>0</v>
      </c>
      <c r="Y115" s="23">
        <v>0</v>
      </c>
      <c r="Z115" s="24"/>
    </row>
    <row r="116" spans="1:26">
      <c r="A116" s="6" t="s">
        <v>14</v>
      </c>
      <c r="B116" t="s">
        <v>167</v>
      </c>
      <c r="C116" t="s">
        <v>910</v>
      </c>
      <c r="D116" s="4">
        <v>46185</v>
      </c>
      <c r="E116">
        <v>86485</v>
      </c>
      <c r="F116" s="5">
        <v>52506</v>
      </c>
      <c r="G116" s="5">
        <v>33979</v>
      </c>
      <c r="H116" t="s">
        <v>842</v>
      </c>
      <c r="I116" s="1">
        <v>46457</v>
      </c>
      <c r="J116" s="9">
        <v>101129927216</v>
      </c>
      <c r="K116" t="s">
        <v>1084</v>
      </c>
      <c r="L116" t="s">
        <v>848</v>
      </c>
      <c r="M116" t="s">
        <v>1085</v>
      </c>
      <c r="N116" s="1">
        <v>45754</v>
      </c>
      <c r="O116">
        <v>3</v>
      </c>
      <c r="P116" s="11">
        <v>46192</v>
      </c>
      <c r="Q116" s="17">
        <f t="shared" si="1"/>
        <v>0</v>
      </c>
      <c r="R116" s="3">
        <v>10</v>
      </c>
      <c r="S116" s="3">
        <v>4536</v>
      </c>
      <c r="T116" s="2">
        <v>46456</v>
      </c>
      <c r="U116" s="3">
        <v>2227</v>
      </c>
      <c r="X116" s="17">
        <v>0</v>
      </c>
      <c r="Y116" s="23">
        <v>0</v>
      </c>
      <c r="Z116" s="24"/>
    </row>
    <row r="117" spans="1:26">
      <c r="A117" s="6" t="s">
        <v>14</v>
      </c>
      <c r="B117" t="s">
        <v>280</v>
      </c>
      <c r="C117" t="s">
        <v>890</v>
      </c>
      <c r="D117" s="4">
        <v>46185</v>
      </c>
      <c r="E117">
        <v>95000</v>
      </c>
      <c r="F117" s="5">
        <v>30536.67</v>
      </c>
      <c r="G117" s="5">
        <v>64463.33</v>
      </c>
      <c r="H117" t="s">
        <v>842</v>
      </c>
      <c r="I117" s="1">
        <v>46794</v>
      </c>
      <c r="J117" s="9">
        <v>101130877911</v>
      </c>
      <c r="K117" t="s">
        <v>1086</v>
      </c>
      <c r="L117" t="s">
        <v>848</v>
      </c>
      <c r="M117" t="s">
        <v>1087</v>
      </c>
      <c r="N117" s="1">
        <v>45803</v>
      </c>
      <c r="O117">
        <v>5</v>
      </c>
      <c r="P117" s="11">
        <v>46192</v>
      </c>
      <c r="Q117" s="17">
        <f t="shared" si="1"/>
        <v>0</v>
      </c>
      <c r="R117" s="3">
        <v>3</v>
      </c>
      <c r="S117" s="3">
        <v>3180</v>
      </c>
      <c r="T117" s="2">
        <v>46815</v>
      </c>
      <c r="U117" s="3">
        <v>698.33000000000197</v>
      </c>
      <c r="X117" s="17">
        <v>0</v>
      </c>
      <c r="Y117" s="23">
        <v>0</v>
      </c>
      <c r="Z117" s="24"/>
    </row>
    <row r="118" spans="1:26">
      <c r="A118" s="6" t="s">
        <v>14</v>
      </c>
      <c r="B118" t="s">
        <v>727</v>
      </c>
      <c r="C118" t="s">
        <v>864</v>
      </c>
      <c r="D118" s="4">
        <v>46185</v>
      </c>
      <c r="E118">
        <v>128253</v>
      </c>
      <c r="F118" s="5">
        <v>40924</v>
      </c>
      <c r="G118" s="5">
        <v>87329</v>
      </c>
      <c r="H118" t="s">
        <v>842</v>
      </c>
      <c r="I118" s="1">
        <v>46794</v>
      </c>
      <c r="J118" s="9">
        <v>107112887212</v>
      </c>
      <c r="K118" t="s">
        <v>1088</v>
      </c>
      <c r="L118" t="s">
        <v>844</v>
      </c>
      <c r="M118" t="s">
        <v>1089</v>
      </c>
      <c r="N118" s="1">
        <v>45795</v>
      </c>
      <c r="O118">
        <v>5</v>
      </c>
      <c r="P118" s="11">
        <v>46192</v>
      </c>
      <c r="Q118" s="17">
        <f t="shared" si="1"/>
        <v>0</v>
      </c>
      <c r="R118" s="3">
        <v>17</v>
      </c>
      <c r="S118" s="3">
        <v>4316</v>
      </c>
      <c r="T118" s="2">
        <v>46829</v>
      </c>
      <c r="U118" s="3">
        <v>1009</v>
      </c>
      <c r="X118" s="17">
        <v>0</v>
      </c>
      <c r="Y118" s="23">
        <v>0</v>
      </c>
      <c r="Z118" s="24"/>
    </row>
    <row r="119" spans="1:26">
      <c r="A119" s="6" t="s">
        <v>14</v>
      </c>
      <c r="B119" t="s">
        <v>479</v>
      </c>
      <c r="C119" t="s">
        <v>880</v>
      </c>
      <c r="D119" s="4">
        <v>46185</v>
      </c>
      <c r="E119">
        <v>19456</v>
      </c>
      <c r="F119" s="5">
        <v>10062</v>
      </c>
      <c r="G119" s="5">
        <v>9394</v>
      </c>
      <c r="H119" t="s">
        <v>842</v>
      </c>
      <c r="I119" s="1">
        <v>46398</v>
      </c>
      <c r="J119" s="9">
        <v>107112493987</v>
      </c>
      <c r="K119" t="s">
        <v>1090</v>
      </c>
      <c r="L119" t="s">
        <v>844</v>
      </c>
      <c r="M119" t="s">
        <v>1091</v>
      </c>
      <c r="N119" s="1">
        <v>45779</v>
      </c>
      <c r="O119">
        <v>3</v>
      </c>
      <c r="P119" s="11">
        <v>46192</v>
      </c>
      <c r="Q119" s="17">
        <f t="shared" si="1"/>
        <v>0</v>
      </c>
      <c r="R119" s="3">
        <v>3</v>
      </c>
      <c r="S119" s="3">
        <v>1118</v>
      </c>
      <c r="T119" s="2">
        <v>46449</v>
      </c>
      <c r="U119" s="3">
        <v>450</v>
      </c>
      <c r="X119" s="17">
        <v>0</v>
      </c>
      <c r="Y119" s="23">
        <v>0</v>
      </c>
      <c r="Z119" s="24"/>
    </row>
    <row r="120" spans="1:26">
      <c r="A120" s="6" t="s">
        <v>14</v>
      </c>
      <c r="B120" t="s">
        <v>169</v>
      </c>
      <c r="C120" t="s">
        <v>850</v>
      </c>
      <c r="D120" s="4">
        <v>46185</v>
      </c>
      <c r="E120">
        <v>83860</v>
      </c>
      <c r="F120" s="5">
        <v>30855</v>
      </c>
      <c r="G120" s="5">
        <v>53005</v>
      </c>
      <c r="H120" t="s">
        <v>842</v>
      </c>
      <c r="I120" s="1">
        <v>46763</v>
      </c>
      <c r="J120" s="9">
        <v>101129954626</v>
      </c>
      <c r="K120" t="s">
        <v>1092</v>
      </c>
      <c r="L120" t="s">
        <v>848</v>
      </c>
      <c r="M120" t="s">
        <v>1093</v>
      </c>
      <c r="N120" s="1">
        <v>45756</v>
      </c>
      <c r="O120">
        <v>5</v>
      </c>
      <c r="P120" s="11">
        <v>46192</v>
      </c>
      <c r="Q120" s="17">
        <f t="shared" si="1"/>
        <v>2805</v>
      </c>
      <c r="R120" s="3">
        <v>17</v>
      </c>
      <c r="S120" s="3">
        <v>2805</v>
      </c>
      <c r="T120" s="2">
        <v>46769</v>
      </c>
      <c r="U120" s="3">
        <v>2515</v>
      </c>
      <c r="X120" s="17">
        <v>2805</v>
      </c>
      <c r="Y120" s="23">
        <v>0</v>
      </c>
      <c r="Z120" s="24"/>
    </row>
    <row r="121" spans="1:26">
      <c r="A121" s="6" t="s">
        <v>14</v>
      </c>
      <c r="B121" t="s">
        <v>541</v>
      </c>
      <c r="C121" t="s">
        <v>853</v>
      </c>
      <c r="D121" s="4">
        <v>46185</v>
      </c>
      <c r="E121">
        <v>130000</v>
      </c>
      <c r="F121" s="5">
        <v>45100</v>
      </c>
      <c r="G121" s="5">
        <v>84900</v>
      </c>
      <c r="H121" t="s">
        <v>842</v>
      </c>
      <c r="I121" s="1">
        <v>46763</v>
      </c>
      <c r="J121" s="9">
        <v>107112600219</v>
      </c>
      <c r="K121" t="s">
        <v>1094</v>
      </c>
      <c r="L121" t="s">
        <v>844</v>
      </c>
      <c r="M121" t="s">
        <v>1095</v>
      </c>
      <c r="N121" s="1">
        <v>45760</v>
      </c>
      <c r="O121">
        <v>5</v>
      </c>
      <c r="P121" s="11">
        <v>46192</v>
      </c>
      <c r="Q121" s="17">
        <f t="shared" si="1"/>
        <v>0</v>
      </c>
      <c r="R121" s="3">
        <v>17</v>
      </c>
      <c r="S121" s="3">
        <v>4290</v>
      </c>
      <c r="T121" s="2">
        <v>46800</v>
      </c>
      <c r="U121" s="3">
        <v>3390</v>
      </c>
      <c r="X121" s="17">
        <v>0</v>
      </c>
      <c r="Y121" s="23">
        <v>0</v>
      </c>
      <c r="Z121" s="24"/>
    </row>
    <row r="122" spans="1:26">
      <c r="A122" s="6" t="s">
        <v>14</v>
      </c>
      <c r="B122" t="s">
        <v>320</v>
      </c>
      <c r="C122" t="s">
        <v>887</v>
      </c>
      <c r="D122" s="4">
        <v>46185</v>
      </c>
      <c r="E122">
        <v>85000</v>
      </c>
      <c r="F122" s="5">
        <v>27483.33</v>
      </c>
      <c r="G122" s="5">
        <v>57516.67</v>
      </c>
      <c r="H122" t="s">
        <v>842</v>
      </c>
      <c r="I122" s="1">
        <v>46763</v>
      </c>
      <c r="J122" s="9">
        <v>107111727169</v>
      </c>
      <c r="K122" t="s">
        <v>1096</v>
      </c>
      <c r="L122" t="s">
        <v>844</v>
      </c>
      <c r="M122" t="s">
        <v>1097</v>
      </c>
      <c r="N122" s="1">
        <v>45657</v>
      </c>
      <c r="O122">
        <v>5</v>
      </c>
      <c r="P122" s="11">
        <v>46192</v>
      </c>
      <c r="Q122" s="17">
        <f t="shared" si="1"/>
        <v>0</v>
      </c>
      <c r="R122" s="3">
        <v>10</v>
      </c>
      <c r="S122" s="3">
        <v>2850</v>
      </c>
      <c r="T122" s="2">
        <v>46793</v>
      </c>
      <c r="U122" s="3">
        <v>2350</v>
      </c>
      <c r="X122" s="17">
        <v>0</v>
      </c>
      <c r="Y122" s="23">
        <v>0</v>
      </c>
      <c r="Z122" s="24"/>
    </row>
    <row r="123" spans="1:26">
      <c r="A123" s="6" t="s">
        <v>14</v>
      </c>
      <c r="B123" t="s">
        <v>111</v>
      </c>
      <c r="C123" t="s">
        <v>846</v>
      </c>
      <c r="D123" s="4">
        <v>46185</v>
      </c>
      <c r="E123">
        <v>78900</v>
      </c>
      <c r="F123" s="5">
        <v>24242</v>
      </c>
      <c r="G123" s="5">
        <v>54658</v>
      </c>
      <c r="H123" t="s">
        <v>842</v>
      </c>
      <c r="I123" s="1">
        <v>46915</v>
      </c>
      <c r="J123" s="9">
        <v>101129472286</v>
      </c>
      <c r="K123" t="s">
        <v>1098</v>
      </c>
      <c r="L123" t="s">
        <v>848</v>
      </c>
      <c r="M123" t="s">
        <v>1099</v>
      </c>
      <c r="N123" s="1">
        <v>45732</v>
      </c>
      <c r="O123">
        <v>6</v>
      </c>
      <c r="P123" s="11">
        <v>46192</v>
      </c>
      <c r="Q123" s="17">
        <f t="shared" si="1"/>
        <v>0</v>
      </c>
      <c r="R123" s="3">
        <v>3</v>
      </c>
      <c r="S123" s="3">
        <v>2210</v>
      </c>
      <c r="T123" s="2">
        <v>46937</v>
      </c>
      <c r="U123" s="3">
        <v>1550</v>
      </c>
      <c r="X123" s="17">
        <v>0</v>
      </c>
      <c r="Y123" s="23">
        <v>0</v>
      </c>
      <c r="Z123" s="24"/>
    </row>
    <row r="124" spans="1:26">
      <c r="A124" s="6" t="s">
        <v>14</v>
      </c>
      <c r="B124" t="s">
        <v>340</v>
      </c>
      <c r="C124" t="s">
        <v>887</v>
      </c>
      <c r="D124" s="4">
        <v>46185</v>
      </c>
      <c r="E124">
        <v>118000</v>
      </c>
      <c r="F124" s="5">
        <v>40800</v>
      </c>
      <c r="G124" s="5">
        <v>77200</v>
      </c>
      <c r="H124" t="s">
        <v>842</v>
      </c>
      <c r="I124" s="1">
        <v>46794</v>
      </c>
      <c r="J124" s="9">
        <v>107112028534</v>
      </c>
      <c r="K124" t="s">
        <v>995</v>
      </c>
      <c r="L124" t="s">
        <v>844</v>
      </c>
      <c r="M124" t="s">
        <v>1100</v>
      </c>
      <c r="N124" s="1">
        <v>45707</v>
      </c>
      <c r="O124">
        <v>5</v>
      </c>
      <c r="P124" s="11">
        <v>46192</v>
      </c>
      <c r="Q124" s="17">
        <f t="shared" si="1"/>
        <v>0</v>
      </c>
      <c r="R124" s="3">
        <v>10</v>
      </c>
      <c r="S124" s="3">
        <v>3835</v>
      </c>
      <c r="T124" s="2">
        <v>46822</v>
      </c>
      <c r="U124" s="3">
        <v>500</v>
      </c>
      <c r="X124" s="17">
        <v>0</v>
      </c>
      <c r="Y124" s="23">
        <v>0</v>
      </c>
      <c r="Z124" s="24"/>
    </row>
    <row r="125" spans="1:26">
      <c r="A125" s="6" t="s">
        <v>14</v>
      </c>
      <c r="B125" t="s">
        <v>409</v>
      </c>
      <c r="C125" t="s">
        <v>864</v>
      </c>
      <c r="D125" s="4">
        <v>46185</v>
      </c>
      <c r="E125">
        <v>88101</v>
      </c>
      <c r="F125" s="5">
        <v>30660</v>
      </c>
      <c r="G125" s="5">
        <v>57441</v>
      </c>
      <c r="H125" t="s">
        <v>842</v>
      </c>
      <c r="I125" s="1">
        <v>46763</v>
      </c>
      <c r="J125" s="9">
        <v>107112306856</v>
      </c>
      <c r="K125" t="s">
        <v>1101</v>
      </c>
      <c r="L125" t="s">
        <v>844</v>
      </c>
      <c r="M125" t="s">
        <v>1102</v>
      </c>
      <c r="N125" s="1">
        <v>45732</v>
      </c>
      <c r="O125">
        <v>5</v>
      </c>
      <c r="P125" s="11">
        <v>46192</v>
      </c>
      <c r="Q125" s="17">
        <f t="shared" si="1"/>
        <v>0</v>
      </c>
      <c r="R125" s="3">
        <v>24</v>
      </c>
      <c r="S125" s="3">
        <v>2898</v>
      </c>
      <c r="T125" s="2">
        <v>46807</v>
      </c>
      <c r="U125" s="3">
        <v>1161</v>
      </c>
      <c r="X125" s="17">
        <v>0</v>
      </c>
      <c r="Y125" s="23">
        <v>0</v>
      </c>
      <c r="Z125" s="24"/>
    </row>
    <row r="126" spans="1:26">
      <c r="A126" s="6" t="s">
        <v>14</v>
      </c>
      <c r="B126" t="s">
        <v>598</v>
      </c>
      <c r="C126" t="s">
        <v>907</v>
      </c>
      <c r="D126" s="4">
        <v>46185</v>
      </c>
      <c r="E126">
        <v>138500</v>
      </c>
      <c r="F126" s="5">
        <v>49080</v>
      </c>
      <c r="G126" s="5">
        <v>89420</v>
      </c>
      <c r="H126" t="s">
        <v>842</v>
      </c>
      <c r="I126" s="1">
        <v>46763</v>
      </c>
      <c r="J126" s="9">
        <v>107112656077</v>
      </c>
      <c r="K126" t="s">
        <v>1103</v>
      </c>
      <c r="L126" t="s">
        <v>844</v>
      </c>
      <c r="M126" t="s">
        <v>1104</v>
      </c>
      <c r="N126" s="1">
        <v>45767</v>
      </c>
      <c r="O126">
        <v>5</v>
      </c>
      <c r="P126" s="11">
        <v>46192</v>
      </c>
      <c r="Q126" s="17">
        <f t="shared" si="1"/>
        <v>0</v>
      </c>
      <c r="R126" s="3">
        <v>17</v>
      </c>
      <c r="S126" s="3">
        <v>4650</v>
      </c>
      <c r="T126" s="2">
        <v>46800</v>
      </c>
      <c r="U126" s="3">
        <v>1070</v>
      </c>
      <c r="X126" s="17">
        <v>0</v>
      </c>
      <c r="Y126" s="23">
        <v>0</v>
      </c>
      <c r="Z126" s="24"/>
    </row>
    <row r="127" spans="1:26">
      <c r="A127" s="6" t="s">
        <v>14</v>
      </c>
      <c r="B127" t="s">
        <v>529</v>
      </c>
      <c r="C127" t="s">
        <v>864</v>
      </c>
      <c r="D127" s="4">
        <v>46185</v>
      </c>
      <c r="E127">
        <v>84000</v>
      </c>
      <c r="F127" s="5">
        <v>29700</v>
      </c>
      <c r="G127" s="5">
        <v>54300</v>
      </c>
      <c r="H127" t="s">
        <v>842</v>
      </c>
      <c r="I127" s="1">
        <v>46763</v>
      </c>
      <c r="J127" s="9">
        <v>107112590250</v>
      </c>
      <c r="K127" t="s">
        <v>1105</v>
      </c>
      <c r="L127" t="s">
        <v>844</v>
      </c>
      <c r="M127" t="s">
        <v>1106</v>
      </c>
      <c r="N127" s="1">
        <v>45761</v>
      </c>
      <c r="O127">
        <v>5</v>
      </c>
      <c r="P127" s="11">
        <v>46192</v>
      </c>
      <c r="Q127" s="17">
        <f t="shared" si="1"/>
        <v>0</v>
      </c>
      <c r="R127" s="3">
        <v>24</v>
      </c>
      <c r="S127" s="3">
        <v>2970</v>
      </c>
      <c r="T127" s="2">
        <v>46776</v>
      </c>
      <c r="U127" s="3">
        <v>840</v>
      </c>
      <c r="X127" s="17">
        <v>0</v>
      </c>
      <c r="Y127" s="23">
        <v>0</v>
      </c>
      <c r="Z127" s="24"/>
    </row>
    <row r="128" spans="1:26">
      <c r="A128" s="6" t="s">
        <v>14</v>
      </c>
      <c r="B128" t="s">
        <v>816</v>
      </c>
      <c r="C128" t="s">
        <v>880</v>
      </c>
      <c r="D128" s="4">
        <v>46185</v>
      </c>
      <c r="E128">
        <v>39074</v>
      </c>
      <c r="F128" s="5">
        <v>22176</v>
      </c>
      <c r="G128" s="5">
        <v>16898</v>
      </c>
      <c r="H128" t="s">
        <v>842</v>
      </c>
      <c r="I128" s="1">
        <v>46398</v>
      </c>
      <c r="J128" s="9">
        <v>107113116925</v>
      </c>
      <c r="K128" t="s">
        <v>1107</v>
      </c>
      <c r="L128" t="s">
        <v>844</v>
      </c>
      <c r="M128" t="s">
        <v>1108</v>
      </c>
      <c r="N128" s="1">
        <v>45816</v>
      </c>
      <c r="O128">
        <v>3</v>
      </c>
      <c r="P128" s="11">
        <v>46192</v>
      </c>
      <c r="Q128" s="17">
        <f t="shared" si="1"/>
        <v>0</v>
      </c>
      <c r="R128" s="3">
        <v>10</v>
      </c>
      <c r="S128" s="3">
        <v>2254</v>
      </c>
      <c r="T128" s="2">
        <v>46428</v>
      </c>
      <c r="U128" s="3">
        <v>1120</v>
      </c>
      <c r="X128" s="17">
        <v>0</v>
      </c>
      <c r="Y128" s="23">
        <v>0</v>
      </c>
      <c r="Z128" s="24"/>
    </row>
    <row r="129" spans="1:26">
      <c r="A129" s="6" t="s">
        <v>14</v>
      </c>
      <c r="B129" t="s">
        <v>824</v>
      </c>
      <c r="C129" t="s">
        <v>853</v>
      </c>
      <c r="D129" s="4">
        <v>46185</v>
      </c>
      <c r="E129">
        <v>75265</v>
      </c>
      <c r="F129" s="5">
        <v>25174</v>
      </c>
      <c r="G129" s="5">
        <v>50091</v>
      </c>
      <c r="H129" t="s">
        <v>842</v>
      </c>
      <c r="I129" s="1">
        <v>46763</v>
      </c>
      <c r="J129" s="9">
        <v>107113387330</v>
      </c>
      <c r="K129" t="s">
        <v>1109</v>
      </c>
      <c r="L129" t="s">
        <v>844</v>
      </c>
      <c r="M129" t="s">
        <v>1110</v>
      </c>
      <c r="N129" s="1">
        <v>45842</v>
      </c>
      <c r="O129">
        <v>5</v>
      </c>
      <c r="P129" s="11">
        <v>46192</v>
      </c>
      <c r="Q129" s="17">
        <f t="shared" si="1"/>
        <v>0</v>
      </c>
      <c r="R129" s="3">
        <v>17</v>
      </c>
      <c r="S129" s="3">
        <v>2596</v>
      </c>
      <c r="T129" s="2">
        <v>46800</v>
      </c>
      <c r="U129" s="3">
        <v>767</v>
      </c>
      <c r="X129" s="17">
        <v>0</v>
      </c>
      <c r="Y129" s="23">
        <v>0</v>
      </c>
      <c r="Z129" s="24"/>
    </row>
    <row r="130" spans="1:26">
      <c r="A130" s="6" t="s">
        <v>14</v>
      </c>
      <c r="B130" t="s">
        <v>91</v>
      </c>
      <c r="C130" t="s">
        <v>890</v>
      </c>
      <c r="D130" s="4">
        <v>46185</v>
      </c>
      <c r="E130">
        <v>73000</v>
      </c>
      <c r="F130" s="5">
        <v>29025</v>
      </c>
      <c r="G130" s="5">
        <v>43975</v>
      </c>
      <c r="H130" t="s">
        <v>842</v>
      </c>
      <c r="I130" s="1">
        <v>46732</v>
      </c>
      <c r="J130" s="9">
        <v>101129348286</v>
      </c>
      <c r="K130" t="s">
        <v>1111</v>
      </c>
      <c r="L130" t="s">
        <v>848</v>
      </c>
      <c r="M130" t="s">
        <v>1112</v>
      </c>
      <c r="N130" s="1">
        <v>45732</v>
      </c>
      <c r="O130">
        <v>5</v>
      </c>
      <c r="P130" s="11">
        <v>46192</v>
      </c>
      <c r="Q130" s="17">
        <f t="shared" si="1"/>
        <v>0</v>
      </c>
      <c r="R130" s="3">
        <v>24</v>
      </c>
      <c r="S130" s="3">
        <v>2475</v>
      </c>
      <c r="T130" s="2">
        <v>46745</v>
      </c>
      <c r="U130" s="3">
        <v>1225</v>
      </c>
      <c r="X130" s="17">
        <v>0</v>
      </c>
      <c r="Y130" s="23">
        <v>0</v>
      </c>
      <c r="Z130" s="24"/>
    </row>
    <row r="131" spans="1:26">
      <c r="A131" s="6" t="s">
        <v>14</v>
      </c>
      <c r="B131" t="s">
        <v>586</v>
      </c>
      <c r="C131" t="s">
        <v>841</v>
      </c>
      <c r="D131" s="4">
        <v>46185</v>
      </c>
      <c r="E131">
        <v>160380</v>
      </c>
      <c r="F131" s="5">
        <v>55200</v>
      </c>
      <c r="G131" s="5">
        <v>105180</v>
      </c>
      <c r="H131" t="s">
        <v>842</v>
      </c>
      <c r="I131" s="1">
        <v>46763</v>
      </c>
      <c r="J131" s="9">
        <v>107112645406</v>
      </c>
      <c r="K131" t="s">
        <v>1113</v>
      </c>
      <c r="L131" t="s">
        <v>844</v>
      </c>
      <c r="M131" t="s">
        <v>1114</v>
      </c>
      <c r="N131" s="1">
        <v>45765</v>
      </c>
      <c r="O131">
        <v>5</v>
      </c>
      <c r="P131" s="11">
        <v>46192</v>
      </c>
      <c r="Q131" s="17">
        <f t="shared" ref="Q131:Q194" si="2">SUM(X131:Y131)</f>
        <v>0</v>
      </c>
      <c r="R131" s="3">
        <v>17</v>
      </c>
      <c r="S131" s="3">
        <v>5280</v>
      </c>
      <c r="T131" s="2">
        <v>46800</v>
      </c>
      <c r="U131" s="3">
        <v>3420</v>
      </c>
      <c r="X131" s="17">
        <v>0</v>
      </c>
      <c r="Y131" s="23">
        <v>0</v>
      </c>
      <c r="Z131" s="24"/>
    </row>
    <row r="132" spans="1:26">
      <c r="A132" s="6" t="s">
        <v>14</v>
      </c>
      <c r="B132" t="s">
        <v>40</v>
      </c>
      <c r="C132" t="s">
        <v>901</v>
      </c>
      <c r="D132" s="4">
        <v>46185</v>
      </c>
      <c r="E132">
        <v>55000</v>
      </c>
      <c r="F132" s="5">
        <v>20240</v>
      </c>
      <c r="G132" s="5">
        <v>34760</v>
      </c>
      <c r="H132" t="s">
        <v>842</v>
      </c>
      <c r="I132" s="1">
        <v>46732</v>
      </c>
      <c r="J132" s="9">
        <v>101128209033</v>
      </c>
      <c r="K132" t="s">
        <v>1043</v>
      </c>
      <c r="L132" t="s">
        <v>848</v>
      </c>
      <c r="M132" t="s">
        <v>1115</v>
      </c>
      <c r="N132" s="1">
        <v>45652</v>
      </c>
      <c r="O132">
        <v>5</v>
      </c>
      <c r="P132" s="11">
        <v>46192</v>
      </c>
      <c r="Q132" s="17">
        <f t="shared" si="2"/>
        <v>0</v>
      </c>
      <c r="R132" s="3">
        <v>24</v>
      </c>
      <c r="S132" s="3">
        <v>1840</v>
      </c>
      <c r="T132" s="2">
        <v>46745</v>
      </c>
      <c r="U132" s="3">
        <v>1640</v>
      </c>
      <c r="X132" s="17">
        <v>0</v>
      </c>
      <c r="Y132" s="23">
        <v>0</v>
      </c>
      <c r="Z132" s="24"/>
    </row>
    <row r="133" spans="1:26">
      <c r="A133" s="6" t="s">
        <v>14</v>
      </c>
      <c r="B133" t="s">
        <v>461</v>
      </c>
      <c r="C133" t="s">
        <v>853</v>
      </c>
      <c r="D133" s="4">
        <v>46185</v>
      </c>
      <c r="E133">
        <v>78259</v>
      </c>
      <c r="F133" s="5">
        <v>29260</v>
      </c>
      <c r="G133" s="5">
        <v>48999</v>
      </c>
      <c r="H133" t="s">
        <v>842</v>
      </c>
      <c r="I133" s="1">
        <v>46732</v>
      </c>
      <c r="J133" s="9">
        <v>107112452906</v>
      </c>
      <c r="K133" t="s">
        <v>1116</v>
      </c>
      <c r="L133" t="s">
        <v>844</v>
      </c>
      <c r="M133" t="s">
        <v>1117</v>
      </c>
      <c r="N133" s="1">
        <v>45746</v>
      </c>
      <c r="O133">
        <v>5</v>
      </c>
      <c r="P133" s="11">
        <v>46192</v>
      </c>
      <c r="Q133" s="17">
        <f t="shared" si="2"/>
        <v>0</v>
      </c>
      <c r="R133" s="3">
        <v>3</v>
      </c>
      <c r="S133" s="3">
        <v>2700</v>
      </c>
      <c r="T133" s="2">
        <v>46755</v>
      </c>
      <c r="U133" s="3">
        <v>399</v>
      </c>
      <c r="X133" s="17">
        <v>0</v>
      </c>
      <c r="Y133" s="23">
        <v>0</v>
      </c>
      <c r="Z133" s="24"/>
    </row>
    <row r="134" spans="1:26">
      <c r="A134" s="6" t="s">
        <v>14</v>
      </c>
      <c r="B134" t="s">
        <v>439</v>
      </c>
      <c r="C134" t="s">
        <v>841</v>
      </c>
      <c r="D134" s="4">
        <v>46185</v>
      </c>
      <c r="E134">
        <v>20000</v>
      </c>
      <c r="F134" s="5">
        <v>13490</v>
      </c>
      <c r="G134" s="5">
        <v>6510</v>
      </c>
      <c r="H134" t="s">
        <v>842</v>
      </c>
      <c r="I134" s="1">
        <v>46398</v>
      </c>
      <c r="J134" s="9">
        <v>107112376144</v>
      </c>
      <c r="K134" t="s">
        <v>868</v>
      </c>
      <c r="L134" t="s">
        <v>844</v>
      </c>
      <c r="M134" t="s">
        <v>1118</v>
      </c>
      <c r="N134" s="1">
        <v>45740</v>
      </c>
      <c r="O134">
        <v>3</v>
      </c>
      <c r="P134" s="11">
        <v>46192</v>
      </c>
      <c r="Q134" s="17">
        <f t="shared" si="2"/>
        <v>0</v>
      </c>
      <c r="R134" s="3">
        <v>24</v>
      </c>
      <c r="S134" s="3">
        <v>1083</v>
      </c>
      <c r="T134" s="2">
        <v>46411</v>
      </c>
      <c r="U134" s="3">
        <v>506</v>
      </c>
      <c r="X134" s="17">
        <v>0</v>
      </c>
      <c r="Y134" s="23">
        <v>0</v>
      </c>
      <c r="Z134" s="24"/>
    </row>
    <row r="135" spans="1:26">
      <c r="A135" s="6" t="s">
        <v>14</v>
      </c>
      <c r="B135" t="s">
        <v>715</v>
      </c>
      <c r="C135" t="s">
        <v>864</v>
      </c>
      <c r="D135" s="4">
        <v>46185</v>
      </c>
      <c r="E135">
        <v>85000</v>
      </c>
      <c r="F135" s="5">
        <v>28175</v>
      </c>
      <c r="G135" s="5">
        <v>56825</v>
      </c>
      <c r="H135" t="s">
        <v>842</v>
      </c>
      <c r="I135" s="1">
        <v>46763</v>
      </c>
      <c r="J135" s="9">
        <v>107112869884</v>
      </c>
      <c r="K135" t="s">
        <v>1119</v>
      </c>
      <c r="L135" t="s">
        <v>844</v>
      </c>
      <c r="M135" t="s">
        <v>1120</v>
      </c>
      <c r="N135" s="1">
        <v>45793</v>
      </c>
      <c r="O135">
        <v>5</v>
      </c>
      <c r="P135" s="11">
        <v>46192</v>
      </c>
      <c r="Q135" s="17">
        <f t="shared" si="2"/>
        <v>0</v>
      </c>
      <c r="R135" s="3">
        <v>10</v>
      </c>
      <c r="S135" s="3">
        <v>2925</v>
      </c>
      <c r="T135" s="2">
        <v>46793</v>
      </c>
      <c r="U135" s="3">
        <v>1250</v>
      </c>
      <c r="X135" s="17">
        <v>0</v>
      </c>
      <c r="Y135" s="23">
        <v>0</v>
      </c>
      <c r="Z135" s="24"/>
    </row>
    <row r="136" spans="1:26">
      <c r="A136" s="6" t="s">
        <v>14</v>
      </c>
      <c r="B136" t="s">
        <v>48</v>
      </c>
      <c r="C136" t="s">
        <v>877</v>
      </c>
      <c r="D136" s="4">
        <v>46185</v>
      </c>
      <c r="E136">
        <v>166113</v>
      </c>
      <c r="F136" s="5">
        <v>41625</v>
      </c>
      <c r="G136" s="5">
        <v>124488</v>
      </c>
      <c r="H136" t="s">
        <v>842</v>
      </c>
      <c r="I136" s="1">
        <v>46976</v>
      </c>
      <c r="J136" s="9">
        <v>101128371669</v>
      </c>
      <c r="K136" t="s">
        <v>1058</v>
      </c>
      <c r="L136" t="s">
        <v>848</v>
      </c>
      <c r="M136" t="s">
        <v>1121</v>
      </c>
      <c r="N136" s="1">
        <v>45663</v>
      </c>
      <c r="O136">
        <v>6</v>
      </c>
      <c r="P136" s="11">
        <v>46192</v>
      </c>
      <c r="Q136" s="17">
        <f t="shared" si="2"/>
        <v>0</v>
      </c>
      <c r="R136" s="3">
        <v>3</v>
      </c>
      <c r="S136" s="3">
        <v>4625</v>
      </c>
      <c r="T136" s="2">
        <v>46999</v>
      </c>
      <c r="U136" s="3">
        <v>4238</v>
      </c>
      <c r="X136" s="17">
        <v>0</v>
      </c>
      <c r="Y136" s="23">
        <v>0</v>
      </c>
      <c r="Z136" s="24"/>
    </row>
    <row r="137" spans="1:26">
      <c r="A137" s="6" t="s">
        <v>14</v>
      </c>
      <c r="B137" t="s">
        <v>682</v>
      </c>
      <c r="C137" t="s">
        <v>864</v>
      </c>
      <c r="D137" s="4">
        <v>46185</v>
      </c>
      <c r="E137">
        <v>22342</v>
      </c>
      <c r="F137" s="5">
        <v>16068</v>
      </c>
      <c r="G137" s="5">
        <v>6274</v>
      </c>
      <c r="H137" t="s">
        <v>842</v>
      </c>
      <c r="I137" s="1">
        <v>46337</v>
      </c>
      <c r="J137" s="9">
        <v>107112803295</v>
      </c>
      <c r="K137" t="s">
        <v>1122</v>
      </c>
      <c r="L137" t="s">
        <v>844</v>
      </c>
      <c r="M137" t="s">
        <v>1123</v>
      </c>
      <c r="N137" s="1">
        <v>45786</v>
      </c>
      <c r="O137">
        <v>3</v>
      </c>
      <c r="P137" s="11">
        <v>46192</v>
      </c>
      <c r="Q137" s="17">
        <f t="shared" si="2"/>
        <v>0</v>
      </c>
      <c r="R137" s="3">
        <v>17</v>
      </c>
      <c r="S137" s="3">
        <v>1339</v>
      </c>
      <c r="T137" s="2">
        <v>46343</v>
      </c>
      <c r="U137" s="3">
        <v>918</v>
      </c>
      <c r="X137" s="17">
        <v>0</v>
      </c>
      <c r="Y137" s="23">
        <v>0</v>
      </c>
      <c r="Z137" s="24"/>
    </row>
    <row r="138" spans="1:26">
      <c r="A138" s="6" t="s">
        <v>14</v>
      </c>
      <c r="B138" t="s">
        <v>358</v>
      </c>
      <c r="C138" t="s">
        <v>1124</v>
      </c>
      <c r="D138" s="4">
        <v>46185</v>
      </c>
      <c r="E138">
        <v>121800</v>
      </c>
      <c r="F138" s="5">
        <v>38560</v>
      </c>
      <c r="G138" s="5">
        <v>83240</v>
      </c>
      <c r="H138" t="s">
        <v>842</v>
      </c>
      <c r="I138" s="1">
        <v>46945</v>
      </c>
      <c r="J138" s="9">
        <v>107112154444</v>
      </c>
      <c r="K138" t="s">
        <v>926</v>
      </c>
      <c r="L138" t="s">
        <v>844</v>
      </c>
      <c r="M138" t="s">
        <v>1125</v>
      </c>
      <c r="N138" s="1">
        <v>45722</v>
      </c>
      <c r="O138">
        <v>6</v>
      </c>
      <c r="P138" s="11">
        <v>46192</v>
      </c>
      <c r="Q138" s="17">
        <f t="shared" si="2"/>
        <v>0</v>
      </c>
      <c r="R138" s="3">
        <v>24</v>
      </c>
      <c r="S138" s="3">
        <v>3360</v>
      </c>
      <c r="T138" s="2">
        <v>46958</v>
      </c>
      <c r="U138" s="3">
        <v>2600</v>
      </c>
      <c r="X138" s="17">
        <v>0</v>
      </c>
      <c r="Y138" s="23">
        <v>0</v>
      </c>
      <c r="Z138" s="24"/>
    </row>
    <row r="139" spans="1:26">
      <c r="A139" s="6" t="s">
        <v>14</v>
      </c>
      <c r="B139" t="s">
        <v>30</v>
      </c>
      <c r="C139" t="s">
        <v>877</v>
      </c>
      <c r="D139" s="4">
        <v>46185</v>
      </c>
      <c r="E139">
        <v>84000</v>
      </c>
      <c r="F139" s="5">
        <v>25515</v>
      </c>
      <c r="G139" s="5">
        <v>58485</v>
      </c>
      <c r="H139" t="s">
        <v>842</v>
      </c>
      <c r="I139" s="1">
        <v>46794</v>
      </c>
      <c r="J139" s="9">
        <v>101127962550</v>
      </c>
      <c r="K139" t="s">
        <v>1126</v>
      </c>
      <c r="L139" t="s">
        <v>848</v>
      </c>
      <c r="M139" t="s">
        <v>1127</v>
      </c>
      <c r="N139" s="1">
        <v>45635</v>
      </c>
      <c r="O139">
        <v>5</v>
      </c>
      <c r="P139" s="11">
        <v>46192</v>
      </c>
      <c r="Q139" s="17">
        <f t="shared" si="2"/>
        <v>0</v>
      </c>
      <c r="R139" s="3">
        <v>31</v>
      </c>
      <c r="S139" s="3">
        <v>2835</v>
      </c>
      <c r="T139" s="2">
        <v>46812</v>
      </c>
      <c r="U139" s="3">
        <v>1785</v>
      </c>
      <c r="X139" s="17">
        <v>0</v>
      </c>
      <c r="Y139" s="23">
        <v>0</v>
      </c>
      <c r="Z139" s="24"/>
    </row>
    <row r="140" spans="1:26">
      <c r="A140" s="6" t="s">
        <v>14</v>
      </c>
      <c r="B140" t="s">
        <v>368</v>
      </c>
      <c r="C140" t="s">
        <v>887</v>
      </c>
      <c r="D140" s="4">
        <v>46185</v>
      </c>
      <c r="E140">
        <v>28553</v>
      </c>
      <c r="F140" s="5">
        <v>19550</v>
      </c>
      <c r="G140" s="5">
        <v>9003</v>
      </c>
      <c r="H140" t="s">
        <v>842</v>
      </c>
      <c r="I140" s="1">
        <v>46337</v>
      </c>
      <c r="J140" s="9">
        <v>107112197937</v>
      </c>
      <c r="K140" t="s">
        <v>962</v>
      </c>
      <c r="L140" t="s">
        <v>844</v>
      </c>
      <c r="M140" t="s">
        <v>1128</v>
      </c>
      <c r="N140" s="1">
        <v>45729</v>
      </c>
      <c r="O140">
        <v>3</v>
      </c>
      <c r="P140" s="11">
        <v>46192</v>
      </c>
      <c r="Q140" s="17">
        <f t="shared" si="2"/>
        <v>0</v>
      </c>
      <c r="R140" s="3">
        <v>10</v>
      </c>
      <c r="S140" s="3">
        <v>1615</v>
      </c>
      <c r="T140" s="2">
        <v>46366</v>
      </c>
      <c r="U140" s="3">
        <v>1098</v>
      </c>
      <c r="X140" s="17">
        <v>0</v>
      </c>
      <c r="Y140" s="23">
        <v>0</v>
      </c>
      <c r="Z140" s="24"/>
    </row>
    <row r="141" spans="1:26">
      <c r="A141" s="6" t="s">
        <v>14</v>
      </c>
      <c r="B141" t="s">
        <v>310</v>
      </c>
      <c r="C141" t="s">
        <v>853</v>
      </c>
      <c r="D141" s="4">
        <v>46185</v>
      </c>
      <c r="E141">
        <v>98000</v>
      </c>
      <c r="F141" s="5">
        <v>27606</v>
      </c>
      <c r="G141" s="5">
        <v>70394</v>
      </c>
      <c r="H141" t="s">
        <v>842</v>
      </c>
      <c r="I141" s="1">
        <v>46945</v>
      </c>
      <c r="J141" s="9">
        <v>107106888322</v>
      </c>
      <c r="K141" t="s">
        <v>1129</v>
      </c>
      <c r="L141" t="s">
        <v>844</v>
      </c>
      <c r="M141" t="s">
        <v>1130</v>
      </c>
      <c r="N141" s="1">
        <v>45766</v>
      </c>
      <c r="O141">
        <v>6</v>
      </c>
      <c r="P141" s="11">
        <v>46192</v>
      </c>
      <c r="Q141" s="17">
        <f t="shared" si="2"/>
        <v>0</v>
      </c>
      <c r="R141" s="3">
        <v>10</v>
      </c>
      <c r="S141" s="3">
        <v>2754</v>
      </c>
      <c r="T141" s="2">
        <v>46975</v>
      </c>
      <c r="U141" s="3">
        <v>1544</v>
      </c>
      <c r="X141" s="17">
        <v>0</v>
      </c>
      <c r="Y141" s="23">
        <v>0</v>
      </c>
      <c r="Z141" s="24"/>
    </row>
    <row r="142" spans="1:26">
      <c r="A142" s="6" t="s">
        <v>14</v>
      </c>
      <c r="B142" t="s">
        <v>491</v>
      </c>
      <c r="C142" t="s">
        <v>1131</v>
      </c>
      <c r="D142" s="4">
        <v>46185</v>
      </c>
      <c r="E142">
        <v>132000</v>
      </c>
      <c r="F142" s="5">
        <v>47515</v>
      </c>
      <c r="G142" s="5">
        <v>84485</v>
      </c>
      <c r="H142" t="s">
        <v>842</v>
      </c>
      <c r="I142" s="1">
        <v>46763</v>
      </c>
      <c r="J142" s="9">
        <v>107112509729</v>
      </c>
      <c r="K142" t="s">
        <v>1132</v>
      </c>
      <c r="L142" t="s">
        <v>844</v>
      </c>
      <c r="M142" t="s">
        <v>1133</v>
      </c>
      <c r="N142" s="1">
        <v>45753</v>
      </c>
      <c r="O142">
        <v>5</v>
      </c>
      <c r="P142" s="11">
        <v>46192</v>
      </c>
      <c r="Q142" s="17">
        <f t="shared" si="2"/>
        <v>0</v>
      </c>
      <c r="R142" s="3">
        <v>10</v>
      </c>
      <c r="S142" s="3">
        <v>4450</v>
      </c>
      <c r="T142" s="2">
        <v>46793</v>
      </c>
      <c r="U142" s="3">
        <v>900</v>
      </c>
      <c r="X142" s="17">
        <v>0</v>
      </c>
      <c r="Y142" s="23">
        <v>0</v>
      </c>
      <c r="Z142" s="24"/>
    </row>
    <row r="143" spans="1:26">
      <c r="A143" s="6" t="s">
        <v>14</v>
      </c>
      <c r="B143" t="s">
        <v>292</v>
      </c>
      <c r="C143" t="s">
        <v>850</v>
      </c>
      <c r="D143" s="4">
        <v>46185</v>
      </c>
      <c r="E143">
        <v>78580</v>
      </c>
      <c r="F143" s="5">
        <v>22500</v>
      </c>
      <c r="G143" s="5">
        <v>56080</v>
      </c>
      <c r="H143" t="s">
        <v>842</v>
      </c>
      <c r="I143" s="1">
        <v>46945</v>
      </c>
      <c r="J143" s="9">
        <v>101130959533</v>
      </c>
      <c r="K143" t="s">
        <v>873</v>
      </c>
      <c r="L143" t="s">
        <v>848</v>
      </c>
      <c r="M143" t="s">
        <v>1134</v>
      </c>
      <c r="N143" s="1">
        <v>45806</v>
      </c>
      <c r="O143">
        <v>3</v>
      </c>
      <c r="P143" s="11">
        <v>46192</v>
      </c>
      <c r="Q143" s="17">
        <f t="shared" si="2"/>
        <v>2250</v>
      </c>
      <c r="R143" s="3">
        <v>17</v>
      </c>
      <c r="S143" s="3">
        <v>2250</v>
      </c>
      <c r="T143" s="2">
        <v>46951</v>
      </c>
      <c r="U143" s="3">
        <v>2080</v>
      </c>
      <c r="X143" s="17">
        <v>2250</v>
      </c>
      <c r="Y143" s="23">
        <v>0</v>
      </c>
      <c r="Z143" s="24"/>
    </row>
    <row r="144" spans="1:26">
      <c r="A144" s="6" t="s">
        <v>14</v>
      </c>
      <c r="B144" t="s">
        <v>108</v>
      </c>
      <c r="C144" t="s">
        <v>1135</v>
      </c>
      <c r="D144" s="4">
        <v>46185</v>
      </c>
      <c r="E144">
        <v>85845</v>
      </c>
      <c r="F144" s="5">
        <v>31980</v>
      </c>
      <c r="G144" s="5">
        <v>53865</v>
      </c>
      <c r="H144" t="s">
        <v>842</v>
      </c>
      <c r="I144" s="1">
        <v>46794</v>
      </c>
      <c r="J144" s="9">
        <v>101129452604</v>
      </c>
      <c r="K144" t="s">
        <v>1136</v>
      </c>
      <c r="L144" t="s">
        <v>848</v>
      </c>
      <c r="M144" t="s">
        <v>1137</v>
      </c>
      <c r="N144" s="1">
        <v>45730</v>
      </c>
      <c r="O144">
        <v>5</v>
      </c>
      <c r="P144" s="11">
        <v>46192</v>
      </c>
      <c r="Q144" s="17">
        <f t="shared" si="2"/>
        <v>0</v>
      </c>
      <c r="R144" s="3">
        <v>3</v>
      </c>
      <c r="S144" s="3">
        <v>2709</v>
      </c>
      <c r="T144" s="2">
        <v>46786</v>
      </c>
      <c r="U144" s="3">
        <v>2205</v>
      </c>
      <c r="X144" s="17">
        <v>0</v>
      </c>
      <c r="Y144" s="23">
        <v>0</v>
      </c>
      <c r="Z144" s="24"/>
    </row>
    <row r="145" spans="1:26">
      <c r="A145" s="6" t="s">
        <v>14</v>
      </c>
      <c r="B145" t="s">
        <v>276</v>
      </c>
      <c r="C145" t="s">
        <v>890</v>
      </c>
      <c r="D145" s="4">
        <v>46185</v>
      </c>
      <c r="E145">
        <v>82751</v>
      </c>
      <c r="F145" s="5">
        <v>32560</v>
      </c>
      <c r="G145" s="5">
        <v>50191</v>
      </c>
      <c r="H145" t="s">
        <v>842</v>
      </c>
      <c r="I145" s="1">
        <v>46702</v>
      </c>
      <c r="J145" s="9">
        <v>101130853603</v>
      </c>
      <c r="K145" t="s">
        <v>1138</v>
      </c>
      <c r="L145" t="s">
        <v>848</v>
      </c>
      <c r="M145" t="s">
        <v>1139</v>
      </c>
      <c r="N145" s="1">
        <v>45801</v>
      </c>
      <c r="O145">
        <v>5</v>
      </c>
      <c r="P145" s="11">
        <v>46192</v>
      </c>
      <c r="Q145" s="17">
        <f t="shared" si="2"/>
        <v>0</v>
      </c>
      <c r="R145" s="3">
        <v>10</v>
      </c>
      <c r="S145" s="3">
        <v>2960</v>
      </c>
      <c r="T145" s="2">
        <v>46731</v>
      </c>
      <c r="U145" s="3">
        <v>2831</v>
      </c>
      <c r="X145" s="17">
        <v>0</v>
      </c>
      <c r="Y145" s="23">
        <v>0</v>
      </c>
      <c r="Z145" s="24"/>
    </row>
    <row r="146" spans="1:26">
      <c r="A146" s="6" t="s">
        <v>14</v>
      </c>
      <c r="B146" t="s">
        <v>702</v>
      </c>
      <c r="C146" t="s">
        <v>1140</v>
      </c>
      <c r="D146" s="4">
        <v>46185</v>
      </c>
      <c r="E146">
        <v>98800</v>
      </c>
      <c r="F146" s="5">
        <v>33154</v>
      </c>
      <c r="G146" s="5">
        <v>65646</v>
      </c>
      <c r="H146" t="s">
        <v>842</v>
      </c>
      <c r="I146" s="1">
        <v>46732</v>
      </c>
      <c r="J146" s="9">
        <v>107112841182</v>
      </c>
      <c r="K146" t="s">
        <v>1141</v>
      </c>
      <c r="L146" t="s">
        <v>844</v>
      </c>
      <c r="M146" t="s">
        <v>1142</v>
      </c>
      <c r="N146" s="1">
        <v>45789</v>
      </c>
      <c r="O146">
        <v>5</v>
      </c>
      <c r="P146" s="11">
        <v>46192</v>
      </c>
      <c r="Q146" s="17">
        <f t="shared" si="2"/>
        <v>0</v>
      </c>
      <c r="R146" s="3">
        <v>3</v>
      </c>
      <c r="S146" s="3">
        <v>3486</v>
      </c>
      <c r="T146" s="2">
        <v>46755</v>
      </c>
      <c r="U146" s="3">
        <v>2898</v>
      </c>
      <c r="X146" s="17">
        <v>0</v>
      </c>
      <c r="Y146" s="23">
        <v>0</v>
      </c>
      <c r="Z146" s="24"/>
    </row>
    <row r="147" spans="1:26">
      <c r="A147" s="6" t="s">
        <v>14</v>
      </c>
      <c r="B147" t="s">
        <v>395</v>
      </c>
      <c r="C147" t="s">
        <v>841</v>
      </c>
      <c r="D147" s="4">
        <v>46185</v>
      </c>
      <c r="E147">
        <v>27000</v>
      </c>
      <c r="F147" s="5">
        <v>16632</v>
      </c>
      <c r="G147" s="5">
        <v>10368</v>
      </c>
      <c r="H147" t="s">
        <v>842</v>
      </c>
      <c r="I147" s="1">
        <v>46367</v>
      </c>
      <c r="J147" s="9">
        <v>107112283513</v>
      </c>
      <c r="K147" t="s">
        <v>868</v>
      </c>
      <c r="L147" t="s">
        <v>844</v>
      </c>
      <c r="M147" t="s">
        <v>1143</v>
      </c>
      <c r="N147" s="1">
        <v>45741</v>
      </c>
      <c r="O147">
        <v>3</v>
      </c>
      <c r="P147" s="11">
        <v>46192</v>
      </c>
      <c r="Q147" s="17">
        <f t="shared" si="2"/>
        <v>1512</v>
      </c>
      <c r="R147" s="3">
        <v>3</v>
      </c>
      <c r="S147" s="3">
        <v>1512</v>
      </c>
      <c r="T147" s="2">
        <v>46390</v>
      </c>
      <c r="U147" s="3">
        <v>1296</v>
      </c>
      <c r="X147" s="17">
        <v>1512</v>
      </c>
      <c r="Y147" s="23">
        <v>0</v>
      </c>
      <c r="Z147" s="24"/>
    </row>
    <row r="148" spans="1:26">
      <c r="A148" s="6" t="s">
        <v>14</v>
      </c>
      <c r="B148" t="s">
        <v>81</v>
      </c>
      <c r="C148" t="s">
        <v>890</v>
      </c>
      <c r="D148" s="4">
        <v>46185</v>
      </c>
      <c r="E148">
        <v>88947</v>
      </c>
      <c r="F148" s="5">
        <v>50625</v>
      </c>
      <c r="G148" s="5">
        <v>38322</v>
      </c>
      <c r="H148" t="s">
        <v>842</v>
      </c>
      <c r="I148" s="1">
        <v>46457</v>
      </c>
      <c r="J148" s="9">
        <v>101129313456</v>
      </c>
      <c r="K148" t="s">
        <v>1144</v>
      </c>
      <c r="L148" t="s">
        <v>848</v>
      </c>
      <c r="M148" t="s">
        <v>1145</v>
      </c>
      <c r="N148" s="1">
        <v>45757</v>
      </c>
      <c r="O148">
        <v>3</v>
      </c>
      <c r="P148" s="11">
        <v>46192</v>
      </c>
      <c r="Q148" s="17">
        <f t="shared" si="2"/>
        <v>4732</v>
      </c>
      <c r="R148" s="3">
        <v>24</v>
      </c>
      <c r="S148" s="3">
        <v>4732</v>
      </c>
      <c r="T148" s="2">
        <v>46470</v>
      </c>
      <c r="U148" s="3">
        <v>466</v>
      </c>
      <c r="X148" s="17">
        <v>4732</v>
      </c>
      <c r="Y148" s="23">
        <v>0</v>
      </c>
      <c r="Z148" s="24"/>
    </row>
    <row r="149" spans="1:26">
      <c r="A149" s="6" t="s">
        <v>14</v>
      </c>
      <c r="B149" t="s">
        <v>651</v>
      </c>
      <c r="C149" t="s">
        <v>870</v>
      </c>
      <c r="D149" s="4">
        <v>46185</v>
      </c>
      <c r="E149">
        <v>148000</v>
      </c>
      <c r="F149" s="5">
        <v>51350</v>
      </c>
      <c r="G149" s="5">
        <v>96650</v>
      </c>
      <c r="H149" t="s">
        <v>842</v>
      </c>
      <c r="I149" s="1">
        <v>46763</v>
      </c>
      <c r="J149" s="9">
        <v>107112745462</v>
      </c>
      <c r="K149" t="s">
        <v>1146</v>
      </c>
      <c r="L149" t="s">
        <v>844</v>
      </c>
      <c r="M149" t="s">
        <v>1147</v>
      </c>
      <c r="N149" s="1">
        <v>45776</v>
      </c>
      <c r="O149">
        <v>5</v>
      </c>
      <c r="P149" s="11">
        <v>46192</v>
      </c>
      <c r="Q149" s="17">
        <f t="shared" si="2"/>
        <v>0</v>
      </c>
      <c r="R149" s="3">
        <v>17</v>
      </c>
      <c r="S149" s="3">
        <v>4875</v>
      </c>
      <c r="T149" s="2">
        <v>46800</v>
      </c>
      <c r="U149" s="3">
        <v>4025</v>
      </c>
      <c r="X149" s="17">
        <v>0</v>
      </c>
      <c r="Y149" s="23">
        <v>0</v>
      </c>
      <c r="Z149" s="24"/>
    </row>
    <row r="150" spans="1:26">
      <c r="A150" s="6" t="s">
        <v>14</v>
      </c>
      <c r="B150" t="s">
        <v>731</v>
      </c>
      <c r="C150" t="s">
        <v>841</v>
      </c>
      <c r="D150" s="4">
        <v>46185</v>
      </c>
      <c r="E150">
        <v>35714</v>
      </c>
      <c r="F150" s="5">
        <v>17500</v>
      </c>
      <c r="G150" s="5">
        <v>18214</v>
      </c>
      <c r="H150" t="s">
        <v>842</v>
      </c>
      <c r="I150" s="1">
        <v>46518</v>
      </c>
      <c r="J150" s="9">
        <v>107112892665</v>
      </c>
      <c r="K150" t="s">
        <v>1148</v>
      </c>
      <c r="L150" t="s">
        <v>844</v>
      </c>
      <c r="M150" t="s">
        <v>1149</v>
      </c>
      <c r="N150" s="1">
        <v>45796</v>
      </c>
      <c r="O150">
        <v>3</v>
      </c>
      <c r="P150" s="11">
        <v>46192</v>
      </c>
      <c r="Q150" s="17">
        <f t="shared" si="2"/>
        <v>0</v>
      </c>
      <c r="R150" s="3">
        <v>17</v>
      </c>
      <c r="S150" s="3">
        <v>1750</v>
      </c>
      <c r="T150" s="2">
        <v>46524</v>
      </c>
      <c r="U150" s="3">
        <v>714</v>
      </c>
      <c r="X150" s="17">
        <v>0</v>
      </c>
      <c r="Y150" s="23">
        <v>0</v>
      </c>
      <c r="Z150" s="24"/>
    </row>
    <row r="151" spans="1:26">
      <c r="A151" s="6" t="s">
        <v>14</v>
      </c>
      <c r="B151" t="s">
        <v>573</v>
      </c>
      <c r="C151" t="s">
        <v>841</v>
      </c>
      <c r="D151" s="4">
        <v>46185</v>
      </c>
      <c r="E151">
        <v>25912</v>
      </c>
      <c r="F151" s="5">
        <v>13800</v>
      </c>
      <c r="G151" s="5">
        <v>12112</v>
      </c>
      <c r="H151" t="s">
        <v>842</v>
      </c>
      <c r="I151" s="1">
        <v>46457</v>
      </c>
      <c r="J151" s="9">
        <v>107112629770</v>
      </c>
      <c r="K151" t="s">
        <v>859</v>
      </c>
      <c r="L151" t="s">
        <v>844</v>
      </c>
      <c r="M151" t="s">
        <v>1150</v>
      </c>
      <c r="N151" s="1">
        <v>45767</v>
      </c>
      <c r="O151">
        <v>3</v>
      </c>
      <c r="P151" s="11">
        <v>46192</v>
      </c>
      <c r="Q151" s="17">
        <f t="shared" si="2"/>
        <v>0</v>
      </c>
      <c r="R151" s="3">
        <v>17</v>
      </c>
      <c r="S151" s="3">
        <v>1380</v>
      </c>
      <c r="T151" s="2">
        <v>46463</v>
      </c>
      <c r="U151" s="3">
        <v>1072</v>
      </c>
      <c r="X151" s="17">
        <v>0</v>
      </c>
      <c r="Y151" s="23">
        <v>0</v>
      </c>
      <c r="Z151" s="24"/>
    </row>
    <row r="152" spans="1:26">
      <c r="A152" s="6" t="s">
        <v>14</v>
      </c>
      <c r="B152" t="s">
        <v>119</v>
      </c>
      <c r="C152" t="s">
        <v>890</v>
      </c>
      <c r="D152" s="4">
        <v>46185</v>
      </c>
      <c r="E152">
        <v>95000</v>
      </c>
      <c r="F152" s="5">
        <v>36080</v>
      </c>
      <c r="G152" s="5">
        <v>58920</v>
      </c>
      <c r="H152" t="s">
        <v>842</v>
      </c>
      <c r="I152" s="1">
        <v>46702</v>
      </c>
      <c r="J152" s="9">
        <v>101129527798</v>
      </c>
      <c r="K152" t="s">
        <v>1151</v>
      </c>
      <c r="L152" t="s">
        <v>848</v>
      </c>
      <c r="M152" t="s">
        <v>1152</v>
      </c>
      <c r="N152" s="1">
        <v>45734</v>
      </c>
      <c r="O152">
        <v>5</v>
      </c>
      <c r="P152" s="11">
        <v>46192</v>
      </c>
      <c r="Q152" s="17">
        <f t="shared" si="2"/>
        <v>0</v>
      </c>
      <c r="R152" s="3">
        <v>31</v>
      </c>
      <c r="S152" s="3">
        <v>3280</v>
      </c>
      <c r="T152" s="2">
        <v>46721</v>
      </c>
      <c r="U152" s="3">
        <v>3160</v>
      </c>
      <c r="X152" s="17">
        <v>0</v>
      </c>
      <c r="Y152" s="23">
        <v>0</v>
      </c>
      <c r="Z152" s="24"/>
    </row>
    <row r="153" spans="1:26">
      <c r="A153" s="6" t="s">
        <v>14</v>
      </c>
      <c r="B153" t="s">
        <v>737</v>
      </c>
      <c r="C153" t="s">
        <v>864</v>
      </c>
      <c r="D153" s="4">
        <v>46185</v>
      </c>
      <c r="E153">
        <v>78544</v>
      </c>
      <c r="F153" s="5">
        <v>25174</v>
      </c>
      <c r="G153" s="5">
        <v>53370</v>
      </c>
      <c r="H153" t="s">
        <v>842</v>
      </c>
      <c r="I153" s="1">
        <v>46732</v>
      </c>
      <c r="J153" s="9">
        <v>107112897565</v>
      </c>
      <c r="K153" t="s">
        <v>1153</v>
      </c>
      <c r="L153" t="s">
        <v>844</v>
      </c>
      <c r="M153" t="s">
        <v>1154</v>
      </c>
      <c r="N153" s="1">
        <v>45796</v>
      </c>
      <c r="O153">
        <v>5</v>
      </c>
      <c r="P153" s="11">
        <v>46192</v>
      </c>
      <c r="Q153" s="17">
        <f t="shared" si="2"/>
        <v>0</v>
      </c>
      <c r="R153" s="3">
        <v>17</v>
      </c>
      <c r="S153" s="3">
        <v>2745</v>
      </c>
      <c r="T153" s="2">
        <v>46769</v>
      </c>
      <c r="U153" s="3">
        <v>2529</v>
      </c>
      <c r="X153" s="17">
        <v>0</v>
      </c>
      <c r="Y153" s="23">
        <v>0</v>
      </c>
      <c r="Z153" s="24"/>
    </row>
    <row r="154" spans="1:26">
      <c r="A154" s="6" t="s">
        <v>14</v>
      </c>
      <c r="B154" t="s">
        <v>613</v>
      </c>
      <c r="C154" t="s">
        <v>864</v>
      </c>
      <c r="D154" s="4">
        <v>46185</v>
      </c>
      <c r="E154">
        <v>96397</v>
      </c>
      <c r="F154" s="5">
        <v>31216.5</v>
      </c>
      <c r="G154" s="5">
        <v>65180.5</v>
      </c>
      <c r="H154" t="s">
        <v>842</v>
      </c>
      <c r="I154" s="1">
        <v>46763</v>
      </c>
      <c r="J154" s="9">
        <v>107112672786</v>
      </c>
      <c r="K154" t="s">
        <v>1155</v>
      </c>
      <c r="L154" t="s">
        <v>844</v>
      </c>
      <c r="M154" t="s">
        <v>1156</v>
      </c>
      <c r="N154" s="1">
        <v>45769</v>
      </c>
      <c r="O154">
        <v>5</v>
      </c>
      <c r="P154" s="11">
        <v>46192</v>
      </c>
      <c r="Q154" s="17">
        <f t="shared" si="2"/>
        <v>3278.5</v>
      </c>
      <c r="R154" s="3">
        <v>3</v>
      </c>
      <c r="S154" s="3">
        <v>3278.5</v>
      </c>
      <c r="T154" s="2">
        <v>46786</v>
      </c>
      <c r="U154" s="3">
        <v>2889</v>
      </c>
      <c r="X154" s="17">
        <v>3278.5</v>
      </c>
      <c r="Y154" s="23">
        <v>0</v>
      </c>
      <c r="Z154" s="24"/>
    </row>
    <row r="155" spans="1:26">
      <c r="A155" s="6" t="s">
        <v>14</v>
      </c>
      <c r="B155" t="s">
        <v>437</v>
      </c>
      <c r="C155" t="s">
        <v>990</v>
      </c>
      <c r="D155" s="4">
        <v>46185</v>
      </c>
      <c r="E155">
        <v>105878</v>
      </c>
      <c r="F155" s="5">
        <v>38250</v>
      </c>
      <c r="G155" s="5">
        <v>67628</v>
      </c>
      <c r="H155" t="s">
        <v>842</v>
      </c>
      <c r="I155" s="1">
        <v>46763</v>
      </c>
      <c r="J155" s="9">
        <v>107112369860</v>
      </c>
      <c r="K155" t="s">
        <v>1157</v>
      </c>
      <c r="L155" t="s">
        <v>844</v>
      </c>
      <c r="M155" t="s">
        <v>1158</v>
      </c>
      <c r="N155" s="1">
        <v>45738</v>
      </c>
      <c r="O155">
        <v>5</v>
      </c>
      <c r="P155" s="11">
        <v>46192</v>
      </c>
      <c r="Q155" s="17">
        <f t="shared" si="2"/>
        <v>3000</v>
      </c>
      <c r="R155" s="3">
        <v>3</v>
      </c>
      <c r="S155" s="3">
        <v>3525</v>
      </c>
      <c r="T155" s="2">
        <v>46786</v>
      </c>
      <c r="U155" s="3">
        <v>653</v>
      </c>
      <c r="X155" s="17">
        <v>3000</v>
      </c>
      <c r="Y155" s="23">
        <v>0</v>
      </c>
      <c r="Z155" s="24"/>
    </row>
    <row r="156" spans="1:26">
      <c r="A156" s="6" t="s">
        <v>14</v>
      </c>
      <c r="B156" t="s">
        <v>723</v>
      </c>
      <c r="C156" t="s">
        <v>853</v>
      </c>
      <c r="D156" s="4">
        <v>46185</v>
      </c>
      <c r="E156">
        <v>100000</v>
      </c>
      <c r="F156" s="5">
        <v>28521</v>
      </c>
      <c r="G156" s="5">
        <v>71479</v>
      </c>
      <c r="H156" t="s">
        <v>842</v>
      </c>
      <c r="I156" s="1">
        <v>46732</v>
      </c>
      <c r="J156" s="9">
        <v>107112885798</v>
      </c>
      <c r="K156" t="s">
        <v>1159</v>
      </c>
      <c r="L156" t="s">
        <v>844</v>
      </c>
      <c r="M156" t="s">
        <v>1160</v>
      </c>
      <c r="N156" s="1">
        <v>45791</v>
      </c>
      <c r="O156">
        <v>5</v>
      </c>
      <c r="P156" s="11">
        <v>46192</v>
      </c>
      <c r="Q156" s="17">
        <f t="shared" si="2"/>
        <v>0</v>
      </c>
      <c r="R156" s="3">
        <v>17</v>
      </c>
      <c r="S156" s="3">
        <v>3465</v>
      </c>
      <c r="T156" s="2">
        <v>46829</v>
      </c>
      <c r="U156" s="3">
        <v>323.5</v>
      </c>
      <c r="X156" s="17">
        <v>0</v>
      </c>
      <c r="Y156" s="23">
        <v>0</v>
      </c>
      <c r="Z156" s="24"/>
    </row>
    <row r="157" spans="1:26">
      <c r="A157" s="6" t="s">
        <v>14</v>
      </c>
      <c r="B157" t="s">
        <v>636</v>
      </c>
      <c r="C157" t="s">
        <v>853</v>
      </c>
      <c r="D157" s="4">
        <v>46185</v>
      </c>
      <c r="E157">
        <v>23000</v>
      </c>
      <c r="F157" s="5">
        <v>11700</v>
      </c>
      <c r="G157" s="5">
        <v>11300</v>
      </c>
      <c r="H157" t="s">
        <v>842</v>
      </c>
      <c r="I157" s="1">
        <v>46429</v>
      </c>
      <c r="J157" s="9">
        <v>107112707011</v>
      </c>
      <c r="K157" t="s">
        <v>854</v>
      </c>
      <c r="L157" t="s">
        <v>844</v>
      </c>
      <c r="M157" t="s">
        <v>1161</v>
      </c>
      <c r="N157" s="1">
        <v>45775</v>
      </c>
      <c r="O157">
        <v>3</v>
      </c>
      <c r="P157" s="11">
        <v>46192</v>
      </c>
      <c r="Q157" s="17">
        <f t="shared" si="2"/>
        <v>0</v>
      </c>
      <c r="R157" s="3">
        <v>17</v>
      </c>
      <c r="S157" s="3">
        <v>1300</v>
      </c>
      <c r="T157" s="2">
        <v>46463</v>
      </c>
      <c r="U157" s="3">
        <v>900</v>
      </c>
      <c r="X157" s="17">
        <v>0</v>
      </c>
      <c r="Y157" s="23">
        <v>0</v>
      </c>
      <c r="Z157" s="24"/>
    </row>
    <row r="158" spans="1:26">
      <c r="A158" s="6" t="s">
        <v>14</v>
      </c>
      <c r="B158" t="s">
        <v>620</v>
      </c>
      <c r="C158" t="s">
        <v>853</v>
      </c>
      <c r="D158" s="4">
        <v>46185</v>
      </c>
      <c r="E158">
        <v>24498</v>
      </c>
      <c r="F158" s="5">
        <v>14850</v>
      </c>
      <c r="G158" s="5">
        <v>9648</v>
      </c>
      <c r="H158" t="s">
        <v>842</v>
      </c>
      <c r="I158" s="1">
        <v>46398</v>
      </c>
      <c r="J158" s="9">
        <v>107112682577</v>
      </c>
      <c r="K158" t="s">
        <v>1162</v>
      </c>
      <c r="L158" t="s">
        <v>844</v>
      </c>
      <c r="M158" t="s">
        <v>1163</v>
      </c>
      <c r="N158" s="1">
        <v>45773</v>
      </c>
      <c r="O158">
        <v>3</v>
      </c>
      <c r="P158" s="11">
        <v>46192</v>
      </c>
      <c r="Q158" s="17">
        <f t="shared" si="2"/>
        <v>1350</v>
      </c>
      <c r="R158" s="3">
        <v>3</v>
      </c>
      <c r="S158" s="3">
        <v>1350</v>
      </c>
      <c r="T158" s="2">
        <v>46421</v>
      </c>
      <c r="U158" s="3">
        <v>198</v>
      </c>
      <c r="X158" s="17">
        <v>1350</v>
      </c>
      <c r="Y158" s="23">
        <v>0</v>
      </c>
      <c r="Z158" s="24"/>
    </row>
    <row r="159" spans="1:26">
      <c r="A159" s="6" t="s">
        <v>14</v>
      </c>
      <c r="B159" t="s">
        <v>667</v>
      </c>
      <c r="C159" t="s">
        <v>864</v>
      </c>
      <c r="D159" s="4">
        <v>46185</v>
      </c>
      <c r="E159">
        <v>84279</v>
      </c>
      <c r="F159" s="5">
        <v>21997</v>
      </c>
      <c r="G159" s="5">
        <v>62282</v>
      </c>
      <c r="H159" t="s">
        <v>842</v>
      </c>
      <c r="I159" s="1">
        <v>46763</v>
      </c>
      <c r="J159" s="9">
        <v>107112777756</v>
      </c>
      <c r="K159" t="s">
        <v>1164</v>
      </c>
      <c r="L159" t="s">
        <v>844</v>
      </c>
      <c r="M159" t="s">
        <v>1165</v>
      </c>
      <c r="N159" s="1">
        <v>45787</v>
      </c>
      <c r="O159">
        <v>5</v>
      </c>
      <c r="P159" s="11">
        <v>46192</v>
      </c>
      <c r="Q159" s="17">
        <f t="shared" si="2"/>
        <v>0</v>
      </c>
      <c r="R159" s="3">
        <v>17</v>
      </c>
      <c r="S159" s="3">
        <v>2923</v>
      </c>
      <c r="T159" s="2">
        <v>46800</v>
      </c>
      <c r="U159" s="3">
        <v>2435</v>
      </c>
      <c r="X159" s="17">
        <v>0</v>
      </c>
      <c r="Y159" s="23">
        <v>0</v>
      </c>
      <c r="Z159" s="24"/>
    </row>
    <row r="160" spans="1:26">
      <c r="A160" s="6" t="s">
        <v>14</v>
      </c>
      <c r="B160" t="s">
        <v>407</v>
      </c>
      <c r="C160" t="s">
        <v>907</v>
      </c>
      <c r="D160" s="4">
        <v>46185</v>
      </c>
      <c r="E160">
        <v>98000</v>
      </c>
      <c r="F160" s="5">
        <v>36055</v>
      </c>
      <c r="G160" s="5">
        <v>61945</v>
      </c>
      <c r="H160" t="s">
        <v>842</v>
      </c>
      <c r="I160" s="1">
        <v>46732</v>
      </c>
      <c r="J160" s="9">
        <v>107112305371</v>
      </c>
      <c r="K160" t="s">
        <v>1166</v>
      </c>
      <c r="L160" t="s">
        <v>844</v>
      </c>
      <c r="M160" t="s">
        <v>1167</v>
      </c>
      <c r="N160" s="1">
        <v>45734</v>
      </c>
      <c r="O160">
        <v>5</v>
      </c>
      <c r="P160" s="11">
        <v>46192</v>
      </c>
      <c r="Q160" s="17">
        <f t="shared" si="2"/>
        <v>0</v>
      </c>
      <c r="R160" s="3">
        <v>3</v>
      </c>
      <c r="S160" s="3">
        <v>3375</v>
      </c>
      <c r="T160" s="2">
        <v>46755</v>
      </c>
      <c r="U160" s="3">
        <v>1195</v>
      </c>
      <c r="X160" s="17">
        <v>0</v>
      </c>
      <c r="Y160" s="23">
        <v>0</v>
      </c>
      <c r="Z160" s="24"/>
    </row>
    <row r="161" spans="1:26">
      <c r="A161" s="6" t="s">
        <v>14</v>
      </c>
      <c r="B161" t="s">
        <v>98</v>
      </c>
      <c r="C161" t="s">
        <v>910</v>
      </c>
      <c r="D161" s="4">
        <v>46185</v>
      </c>
      <c r="E161">
        <v>95275</v>
      </c>
      <c r="F161" s="5">
        <v>53832</v>
      </c>
      <c r="G161" s="5">
        <v>41443</v>
      </c>
      <c r="H161" t="s">
        <v>842</v>
      </c>
      <c r="I161" s="1">
        <v>46367</v>
      </c>
      <c r="J161" s="9">
        <v>101129380243</v>
      </c>
      <c r="K161" t="s">
        <v>1168</v>
      </c>
      <c r="L161" t="s">
        <v>848</v>
      </c>
      <c r="M161" t="s">
        <v>1169</v>
      </c>
      <c r="N161" s="1">
        <v>45730</v>
      </c>
      <c r="O161">
        <v>3</v>
      </c>
      <c r="P161" s="11">
        <v>46192</v>
      </c>
      <c r="Q161" s="17">
        <f t="shared" si="2"/>
        <v>0</v>
      </c>
      <c r="R161" s="3">
        <v>24</v>
      </c>
      <c r="S161" s="3">
        <v>5214</v>
      </c>
      <c r="T161" s="2">
        <v>46380</v>
      </c>
      <c r="U161" s="3">
        <v>3997</v>
      </c>
      <c r="X161" s="17">
        <v>0</v>
      </c>
      <c r="Y161" s="23">
        <v>0</v>
      </c>
      <c r="Z161" s="24"/>
    </row>
    <row r="162" spans="1:26">
      <c r="A162" s="6" t="s">
        <v>14</v>
      </c>
      <c r="B162" t="s">
        <v>213</v>
      </c>
      <c r="C162" t="s">
        <v>846</v>
      </c>
      <c r="D162" s="4">
        <v>46185</v>
      </c>
      <c r="E162">
        <v>86200</v>
      </c>
      <c r="F162" s="5">
        <v>32340</v>
      </c>
      <c r="G162" s="5">
        <v>53860</v>
      </c>
      <c r="H162" t="s">
        <v>842</v>
      </c>
      <c r="I162" s="1">
        <v>46763</v>
      </c>
      <c r="J162" s="9">
        <v>101130213157</v>
      </c>
      <c r="K162" t="s">
        <v>1170</v>
      </c>
      <c r="L162" t="s">
        <v>848</v>
      </c>
      <c r="M162" t="s">
        <v>1171</v>
      </c>
      <c r="N162" s="1">
        <v>45768</v>
      </c>
      <c r="O162">
        <v>5</v>
      </c>
      <c r="P162" s="11">
        <v>46192</v>
      </c>
      <c r="Q162" s="17">
        <f t="shared" si="2"/>
        <v>0</v>
      </c>
      <c r="R162" s="3">
        <v>3</v>
      </c>
      <c r="S162" s="3">
        <v>2940</v>
      </c>
      <c r="T162" s="2">
        <v>46755</v>
      </c>
      <c r="U162" s="3">
        <v>940</v>
      </c>
      <c r="X162" s="17">
        <v>0</v>
      </c>
      <c r="Y162" s="23">
        <v>0</v>
      </c>
      <c r="Z162" s="24"/>
    </row>
    <row r="163" spans="1:26">
      <c r="A163" s="6" t="s">
        <v>14</v>
      </c>
      <c r="B163" t="s">
        <v>707</v>
      </c>
      <c r="C163" t="s">
        <v>856</v>
      </c>
      <c r="D163" s="4">
        <v>46185</v>
      </c>
      <c r="E163">
        <v>103822</v>
      </c>
      <c r="F163" s="5">
        <v>35260</v>
      </c>
      <c r="G163" s="5">
        <v>68562</v>
      </c>
      <c r="H163" t="s">
        <v>842</v>
      </c>
      <c r="I163" s="1">
        <v>46794</v>
      </c>
      <c r="J163" s="9">
        <v>107112845911</v>
      </c>
      <c r="K163" t="s">
        <v>1172</v>
      </c>
      <c r="L163" t="s">
        <v>844</v>
      </c>
      <c r="M163" t="s">
        <v>1173</v>
      </c>
      <c r="N163" s="1">
        <v>45787</v>
      </c>
      <c r="O163">
        <v>5</v>
      </c>
      <c r="P163" s="11">
        <v>46192</v>
      </c>
      <c r="Q163" s="17">
        <f t="shared" si="2"/>
        <v>0</v>
      </c>
      <c r="R163" s="3">
        <v>17</v>
      </c>
      <c r="S163" s="3">
        <v>3354</v>
      </c>
      <c r="T163" s="2">
        <v>46829</v>
      </c>
      <c r="U163" s="3">
        <v>1482</v>
      </c>
      <c r="X163" s="17">
        <v>0</v>
      </c>
      <c r="Y163" s="23">
        <v>0</v>
      </c>
      <c r="Z163" s="24"/>
    </row>
    <row r="164" spans="1:26">
      <c r="A164" s="6" t="s">
        <v>14</v>
      </c>
      <c r="B164" t="s">
        <v>240</v>
      </c>
      <c r="C164" t="s">
        <v>846</v>
      </c>
      <c r="D164" s="4">
        <v>46185</v>
      </c>
      <c r="E164">
        <v>100000</v>
      </c>
      <c r="F164" s="5">
        <v>33880</v>
      </c>
      <c r="G164" s="5">
        <v>66120</v>
      </c>
      <c r="H164" t="s">
        <v>842</v>
      </c>
      <c r="I164" s="1">
        <v>46854</v>
      </c>
      <c r="J164" s="9">
        <v>101130479024</v>
      </c>
      <c r="K164" t="s">
        <v>1003</v>
      </c>
      <c r="L164" t="s">
        <v>848</v>
      </c>
      <c r="M164" t="s">
        <v>1174</v>
      </c>
      <c r="N164" s="1">
        <v>45783</v>
      </c>
      <c r="O164">
        <v>5</v>
      </c>
      <c r="P164" s="11">
        <v>46192</v>
      </c>
      <c r="Q164" s="17">
        <f t="shared" si="2"/>
        <v>3080</v>
      </c>
      <c r="R164" s="3">
        <v>17</v>
      </c>
      <c r="S164" s="3">
        <v>3080</v>
      </c>
      <c r="T164" s="2">
        <v>46860</v>
      </c>
      <c r="U164" s="3">
        <v>1440</v>
      </c>
      <c r="X164" s="17">
        <v>3080</v>
      </c>
      <c r="Y164" s="23">
        <v>0</v>
      </c>
      <c r="Z164" s="24"/>
    </row>
    <row r="165" spans="1:26">
      <c r="A165" s="6" t="s">
        <v>14</v>
      </c>
      <c r="B165" t="s">
        <v>769</v>
      </c>
      <c r="C165" t="s">
        <v>856</v>
      </c>
      <c r="D165" s="4">
        <v>46185</v>
      </c>
      <c r="E165">
        <v>100900</v>
      </c>
      <c r="F165" s="5">
        <v>32350</v>
      </c>
      <c r="G165" s="5">
        <v>68550</v>
      </c>
      <c r="H165" t="s">
        <v>842</v>
      </c>
      <c r="I165" s="1">
        <v>46763</v>
      </c>
      <c r="J165" s="9">
        <v>107112983263</v>
      </c>
      <c r="K165" t="s">
        <v>1175</v>
      </c>
      <c r="L165" t="s">
        <v>844</v>
      </c>
      <c r="M165" t="s">
        <v>1176</v>
      </c>
      <c r="N165" s="1">
        <v>45803</v>
      </c>
      <c r="O165">
        <v>5</v>
      </c>
      <c r="P165" s="11">
        <v>46192</v>
      </c>
      <c r="Q165" s="17">
        <f t="shared" si="2"/>
        <v>0</v>
      </c>
      <c r="R165" s="3">
        <v>10</v>
      </c>
      <c r="S165" s="3">
        <v>3458</v>
      </c>
      <c r="T165" s="2">
        <v>46793</v>
      </c>
      <c r="U165" s="3">
        <v>2544</v>
      </c>
      <c r="X165" s="17">
        <v>0</v>
      </c>
      <c r="Y165" s="23">
        <v>0</v>
      </c>
      <c r="Z165" s="24"/>
    </row>
    <row r="166" spans="1:26">
      <c r="A166" s="6" t="s">
        <v>14</v>
      </c>
      <c r="B166" t="s">
        <v>354</v>
      </c>
      <c r="C166" t="s">
        <v>880</v>
      </c>
      <c r="D166" s="4">
        <v>46185</v>
      </c>
      <c r="E166">
        <v>117000</v>
      </c>
      <c r="F166" s="5">
        <v>45540</v>
      </c>
      <c r="G166" s="5">
        <v>71460</v>
      </c>
      <c r="H166" t="s">
        <v>842</v>
      </c>
      <c r="I166" s="1">
        <v>46702</v>
      </c>
      <c r="J166" s="9">
        <v>107112103736</v>
      </c>
      <c r="K166" t="s">
        <v>1177</v>
      </c>
      <c r="L166" t="s">
        <v>844</v>
      </c>
      <c r="M166" t="s">
        <v>1178</v>
      </c>
      <c r="N166" s="1">
        <v>45713</v>
      </c>
      <c r="O166">
        <v>5</v>
      </c>
      <c r="P166" s="11">
        <v>46192</v>
      </c>
      <c r="Q166" s="17">
        <f t="shared" si="2"/>
        <v>0</v>
      </c>
      <c r="R166" s="3">
        <v>10</v>
      </c>
      <c r="S166" s="3">
        <v>3976</v>
      </c>
      <c r="T166" s="2">
        <v>46731</v>
      </c>
      <c r="U166" s="3">
        <v>2782</v>
      </c>
      <c r="X166" s="17">
        <v>0</v>
      </c>
      <c r="Y166" s="23">
        <v>0</v>
      </c>
      <c r="Z166" s="24"/>
    </row>
    <row r="167" spans="1:26">
      <c r="A167" s="6" t="s">
        <v>14</v>
      </c>
      <c r="B167" t="s">
        <v>782</v>
      </c>
      <c r="C167" t="s">
        <v>1179</v>
      </c>
      <c r="D167" s="4">
        <v>46185</v>
      </c>
      <c r="E167">
        <v>81000</v>
      </c>
      <c r="F167" s="5">
        <v>34750</v>
      </c>
      <c r="G167" s="5">
        <v>46250</v>
      </c>
      <c r="H167" t="s">
        <v>842</v>
      </c>
      <c r="I167" s="1">
        <v>46457</v>
      </c>
      <c r="J167" s="9">
        <v>107113006545</v>
      </c>
      <c r="K167" t="s">
        <v>1180</v>
      </c>
      <c r="L167" t="s">
        <v>844</v>
      </c>
      <c r="M167" t="s">
        <v>1181</v>
      </c>
      <c r="N167" s="1">
        <v>45811</v>
      </c>
      <c r="O167">
        <v>3</v>
      </c>
      <c r="P167" s="11">
        <v>46192</v>
      </c>
      <c r="Q167" s="17">
        <f t="shared" si="2"/>
        <v>4400</v>
      </c>
      <c r="R167" s="3">
        <v>3</v>
      </c>
      <c r="S167" s="3">
        <v>4400</v>
      </c>
      <c r="T167" s="2">
        <v>46480</v>
      </c>
      <c r="U167" s="3">
        <v>4200</v>
      </c>
      <c r="X167" s="17">
        <v>4400</v>
      </c>
      <c r="Y167" s="23">
        <v>0</v>
      </c>
      <c r="Z167" s="24"/>
    </row>
    <row r="168" spans="1:26">
      <c r="A168" s="6" t="s">
        <v>14</v>
      </c>
      <c r="B168" t="s">
        <v>229</v>
      </c>
      <c r="C168" t="s">
        <v>846</v>
      </c>
      <c r="D168" s="4">
        <v>46185</v>
      </c>
      <c r="E168">
        <v>77000</v>
      </c>
      <c r="F168" s="5">
        <v>44300</v>
      </c>
      <c r="G168" s="5">
        <v>32700</v>
      </c>
      <c r="H168" t="s">
        <v>842</v>
      </c>
      <c r="I168" s="1">
        <v>46398</v>
      </c>
      <c r="J168" s="9">
        <v>101130388201</v>
      </c>
      <c r="K168" t="s">
        <v>1182</v>
      </c>
      <c r="L168" t="s">
        <v>848</v>
      </c>
      <c r="M168" t="s">
        <v>1183</v>
      </c>
      <c r="N168" s="1">
        <v>45777</v>
      </c>
      <c r="O168">
        <v>3</v>
      </c>
      <c r="P168" s="11">
        <v>46192</v>
      </c>
      <c r="Q168" s="17">
        <f t="shared" si="2"/>
        <v>0</v>
      </c>
      <c r="R168" s="3">
        <v>3</v>
      </c>
      <c r="S168" s="3">
        <v>4200</v>
      </c>
      <c r="T168" s="2">
        <v>46421</v>
      </c>
      <c r="U168" s="3">
        <v>3300</v>
      </c>
      <c r="X168" s="17">
        <v>0</v>
      </c>
      <c r="Y168" s="23">
        <v>0</v>
      </c>
      <c r="Z168" s="24"/>
    </row>
    <row r="169" spans="1:26">
      <c r="A169" s="6" t="s">
        <v>14</v>
      </c>
      <c r="B169" t="s">
        <v>539</v>
      </c>
      <c r="C169" t="s">
        <v>907</v>
      </c>
      <c r="D169" s="4">
        <v>46185</v>
      </c>
      <c r="E169">
        <v>82476</v>
      </c>
      <c r="F169" s="5">
        <v>29250</v>
      </c>
      <c r="G169" s="5">
        <v>53226</v>
      </c>
      <c r="H169" t="s">
        <v>842</v>
      </c>
      <c r="I169" s="1">
        <v>46763</v>
      </c>
      <c r="J169" s="9">
        <v>107112598350</v>
      </c>
      <c r="K169" t="s">
        <v>1184</v>
      </c>
      <c r="L169" t="s">
        <v>844</v>
      </c>
      <c r="M169" t="s">
        <v>1185</v>
      </c>
      <c r="N169" s="1">
        <v>45761</v>
      </c>
      <c r="O169">
        <v>5</v>
      </c>
      <c r="P169" s="11">
        <v>46192</v>
      </c>
      <c r="Q169" s="17">
        <f t="shared" si="2"/>
        <v>0</v>
      </c>
      <c r="R169" s="3">
        <v>17</v>
      </c>
      <c r="S169" s="3">
        <v>2745</v>
      </c>
      <c r="T169" s="2">
        <v>46800</v>
      </c>
      <c r="U169" s="3">
        <v>1071</v>
      </c>
      <c r="X169" s="17">
        <v>0</v>
      </c>
      <c r="Y169" s="23">
        <v>0</v>
      </c>
      <c r="Z169" s="24"/>
    </row>
    <row r="170" spans="1:26">
      <c r="A170" s="6" t="s">
        <v>14</v>
      </c>
      <c r="B170" t="s">
        <v>515</v>
      </c>
      <c r="C170" t="s">
        <v>870</v>
      </c>
      <c r="D170" s="4">
        <v>46185</v>
      </c>
      <c r="E170">
        <v>50038</v>
      </c>
      <c r="F170" s="5">
        <v>30800</v>
      </c>
      <c r="G170" s="5">
        <v>19238</v>
      </c>
      <c r="H170" t="s">
        <v>842</v>
      </c>
      <c r="I170" s="1">
        <v>46367</v>
      </c>
      <c r="J170" s="9">
        <v>107112567640</v>
      </c>
      <c r="K170" t="s">
        <v>1186</v>
      </c>
      <c r="L170" t="s">
        <v>844</v>
      </c>
      <c r="M170" t="s">
        <v>1187</v>
      </c>
      <c r="N170" s="1">
        <v>45758</v>
      </c>
      <c r="O170">
        <v>3</v>
      </c>
      <c r="P170" s="11">
        <v>46192</v>
      </c>
      <c r="Q170" s="17">
        <f t="shared" si="2"/>
        <v>2660</v>
      </c>
      <c r="R170" s="3">
        <v>3</v>
      </c>
      <c r="S170" s="3">
        <v>2800</v>
      </c>
      <c r="T170" s="2">
        <v>46390</v>
      </c>
      <c r="U170" s="3">
        <v>2438</v>
      </c>
      <c r="X170" s="17">
        <v>2660</v>
      </c>
      <c r="Y170" s="23">
        <v>0</v>
      </c>
      <c r="Z170" s="24"/>
    </row>
    <row r="171" spans="1:26">
      <c r="A171" s="6" t="s">
        <v>14</v>
      </c>
      <c r="B171" t="s">
        <v>306</v>
      </c>
      <c r="C171" t="s">
        <v>890</v>
      </c>
      <c r="D171" s="4">
        <v>46185</v>
      </c>
      <c r="E171">
        <v>77921</v>
      </c>
      <c r="F171" s="5">
        <v>29860</v>
      </c>
      <c r="G171" s="5">
        <v>48061</v>
      </c>
      <c r="H171" t="s">
        <v>842</v>
      </c>
      <c r="I171" s="1">
        <v>46732</v>
      </c>
      <c r="J171" s="9">
        <v>101131634595</v>
      </c>
      <c r="K171" t="s">
        <v>1188</v>
      </c>
      <c r="L171" t="s">
        <v>848</v>
      </c>
      <c r="M171" t="s">
        <v>1189</v>
      </c>
      <c r="N171" s="1">
        <v>45838</v>
      </c>
      <c r="O171">
        <v>5</v>
      </c>
      <c r="P171" s="11">
        <v>46192</v>
      </c>
      <c r="Q171" s="17">
        <f t="shared" si="2"/>
        <v>2728</v>
      </c>
      <c r="R171" s="3">
        <v>17</v>
      </c>
      <c r="S171" s="3">
        <v>2728</v>
      </c>
      <c r="T171" s="2">
        <v>46738</v>
      </c>
      <c r="U171" s="3">
        <v>1685</v>
      </c>
      <c r="X171" s="17">
        <v>2728</v>
      </c>
      <c r="Y171" s="23">
        <v>0</v>
      </c>
      <c r="Z171" s="24"/>
    </row>
    <row r="172" spans="1:26">
      <c r="A172" s="6" t="s">
        <v>14</v>
      </c>
      <c r="B172" t="s">
        <v>73</v>
      </c>
      <c r="C172" t="s">
        <v>890</v>
      </c>
      <c r="D172" s="4">
        <v>46185</v>
      </c>
      <c r="E172">
        <v>73000</v>
      </c>
      <c r="F172" s="5">
        <v>26400</v>
      </c>
      <c r="G172" s="5">
        <v>46600</v>
      </c>
      <c r="H172" t="s">
        <v>842</v>
      </c>
      <c r="I172" s="1">
        <v>46794</v>
      </c>
      <c r="J172" s="9">
        <v>101129256334</v>
      </c>
      <c r="K172" t="s">
        <v>1190</v>
      </c>
      <c r="L172" t="s">
        <v>848</v>
      </c>
      <c r="M172" t="s">
        <v>1191</v>
      </c>
      <c r="N172" s="1">
        <v>45722</v>
      </c>
      <c r="O172">
        <v>5</v>
      </c>
      <c r="P172" s="11">
        <v>46192</v>
      </c>
      <c r="Q172" s="17">
        <f t="shared" si="2"/>
        <v>2400</v>
      </c>
      <c r="R172" s="3">
        <v>24</v>
      </c>
      <c r="S172" s="3">
        <v>2400</v>
      </c>
      <c r="T172" s="2">
        <v>46807</v>
      </c>
      <c r="U172" s="3">
        <v>1000</v>
      </c>
      <c r="X172" s="17">
        <v>2400</v>
      </c>
      <c r="Y172" s="23">
        <v>0</v>
      </c>
      <c r="Z172" s="24"/>
    </row>
    <row r="173" spans="1:26">
      <c r="A173" s="6" t="s">
        <v>14</v>
      </c>
      <c r="B173" t="s">
        <v>679</v>
      </c>
      <c r="C173" t="s">
        <v>856</v>
      </c>
      <c r="D173" s="4">
        <v>46185</v>
      </c>
      <c r="E173">
        <v>80999</v>
      </c>
      <c r="F173" s="5">
        <v>28255</v>
      </c>
      <c r="G173" s="5">
        <v>52744</v>
      </c>
      <c r="H173" t="s">
        <v>842</v>
      </c>
      <c r="I173" s="1">
        <v>46763</v>
      </c>
      <c r="J173" s="9">
        <v>107112792457</v>
      </c>
      <c r="K173" t="s">
        <v>1192</v>
      </c>
      <c r="L173" t="s">
        <v>844</v>
      </c>
      <c r="M173" t="s">
        <v>1193</v>
      </c>
      <c r="N173" s="1">
        <v>45782</v>
      </c>
      <c r="O173">
        <v>5</v>
      </c>
      <c r="P173" s="11">
        <v>46192</v>
      </c>
      <c r="Q173" s="17">
        <f t="shared" si="2"/>
        <v>2759</v>
      </c>
      <c r="R173" s="3">
        <v>17</v>
      </c>
      <c r="S173" s="3">
        <v>2670</v>
      </c>
      <c r="T173" s="2">
        <v>46800</v>
      </c>
      <c r="U173" s="3">
        <v>2369</v>
      </c>
      <c r="X173" s="17">
        <v>2759</v>
      </c>
      <c r="Y173" s="23">
        <v>0</v>
      </c>
      <c r="Z173" s="24"/>
    </row>
    <row r="174" spans="1:26">
      <c r="A174" s="6" t="s">
        <v>14</v>
      </c>
      <c r="B174" t="s">
        <v>65</v>
      </c>
      <c r="C174" t="s">
        <v>846</v>
      </c>
      <c r="D174" s="4">
        <v>46185</v>
      </c>
      <c r="E174">
        <v>106200</v>
      </c>
      <c r="F174" s="5">
        <v>38000</v>
      </c>
      <c r="G174" s="5">
        <v>68200</v>
      </c>
      <c r="H174" t="s">
        <v>842</v>
      </c>
      <c r="I174" s="1">
        <v>46702</v>
      </c>
      <c r="J174" s="9">
        <v>101129113001</v>
      </c>
      <c r="K174" t="s">
        <v>1194</v>
      </c>
      <c r="L174" t="s">
        <v>848</v>
      </c>
      <c r="M174" t="s">
        <v>1195</v>
      </c>
      <c r="N174" s="1">
        <v>45721</v>
      </c>
      <c r="O174">
        <v>5</v>
      </c>
      <c r="P174" s="11">
        <v>46192</v>
      </c>
      <c r="Q174" s="17">
        <f t="shared" si="2"/>
        <v>0</v>
      </c>
      <c r="R174" s="3">
        <v>31</v>
      </c>
      <c r="S174" s="3">
        <v>3800</v>
      </c>
      <c r="T174" s="2">
        <v>46721</v>
      </c>
      <c r="U174" s="3">
        <v>3600</v>
      </c>
      <c r="X174" s="17">
        <v>0</v>
      </c>
      <c r="Y174" s="23">
        <v>0</v>
      </c>
      <c r="Z174" s="24"/>
    </row>
    <row r="175" spans="1:26">
      <c r="A175" s="6" t="s">
        <v>14</v>
      </c>
      <c r="B175" t="s">
        <v>425</v>
      </c>
      <c r="C175" t="s">
        <v>887</v>
      </c>
      <c r="D175" s="4">
        <v>46185</v>
      </c>
      <c r="E175">
        <v>89000</v>
      </c>
      <c r="F175" s="5">
        <v>26266</v>
      </c>
      <c r="G175" s="5">
        <v>62734</v>
      </c>
      <c r="H175" t="s">
        <v>842</v>
      </c>
      <c r="I175" s="1">
        <v>46884</v>
      </c>
      <c r="J175" s="9">
        <v>107112333315</v>
      </c>
      <c r="K175" t="s">
        <v>1196</v>
      </c>
      <c r="L175" t="s">
        <v>844</v>
      </c>
      <c r="M175" t="s">
        <v>1197</v>
      </c>
      <c r="N175" s="1">
        <v>45733</v>
      </c>
      <c r="O175">
        <v>5</v>
      </c>
      <c r="P175" s="11">
        <v>46192</v>
      </c>
      <c r="Q175" s="17">
        <f t="shared" si="2"/>
        <v>2714</v>
      </c>
      <c r="R175" s="3">
        <v>3</v>
      </c>
      <c r="S175" s="3">
        <v>2714</v>
      </c>
      <c r="T175" s="2">
        <v>46907</v>
      </c>
      <c r="U175" s="3">
        <v>312</v>
      </c>
      <c r="X175" s="17">
        <v>2714</v>
      </c>
      <c r="Y175" s="23">
        <v>0</v>
      </c>
      <c r="Z175" s="24"/>
    </row>
    <row r="176" spans="1:26">
      <c r="A176" s="6" t="s">
        <v>14</v>
      </c>
      <c r="B176" t="s">
        <v>179</v>
      </c>
      <c r="C176" t="s">
        <v>861</v>
      </c>
      <c r="D176" s="4">
        <v>46185</v>
      </c>
      <c r="E176">
        <v>125000</v>
      </c>
      <c r="F176" s="5">
        <v>45298</v>
      </c>
      <c r="G176" s="5">
        <v>79702</v>
      </c>
      <c r="H176" t="s">
        <v>842</v>
      </c>
      <c r="I176" s="1">
        <v>46854</v>
      </c>
      <c r="J176" s="9">
        <v>101129999271</v>
      </c>
      <c r="K176" t="s">
        <v>1198</v>
      </c>
      <c r="L176" t="s">
        <v>848</v>
      </c>
      <c r="M176" t="s">
        <v>1199</v>
      </c>
      <c r="N176" s="1">
        <v>45762</v>
      </c>
      <c r="O176">
        <v>5</v>
      </c>
      <c r="P176" s="11">
        <v>46192</v>
      </c>
      <c r="Q176" s="17">
        <f t="shared" si="2"/>
        <v>0</v>
      </c>
      <c r="R176" s="3">
        <v>10</v>
      </c>
      <c r="S176" s="3">
        <v>3933</v>
      </c>
      <c r="T176" s="2">
        <v>46853</v>
      </c>
      <c r="U176" s="3">
        <v>1042</v>
      </c>
      <c r="X176" s="17">
        <v>0</v>
      </c>
      <c r="Y176" s="23">
        <v>0</v>
      </c>
      <c r="Z176" s="24"/>
    </row>
    <row r="177" spans="1:26">
      <c r="A177" s="6" t="s">
        <v>14</v>
      </c>
      <c r="B177" t="s">
        <v>431</v>
      </c>
      <c r="C177" t="s">
        <v>856</v>
      </c>
      <c r="D177" s="4">
        <v>46185</v>
      </c>
      <c r="E177">
        <v>159619</v>
      </c>
      <c r="F177" s="5">
        <v>46000</v>
      </c>
      <c r="G177" s="5">
        <v>113619</v>
      </c>
      <c r="H177" t="s">
        <v>842</v>
      </c>
      <c r="I177" s="1">
        <v>46945</v>
      </c>
      <c r="J177" s="9">
        <v>107112346319</v>
      </c>
      <c r="K177" t="s">
        <v>1200</v>
      </c>
      <c r="L177" t="s">
        <v>844</v>
      </c>
      <c r="M177" t="s">
        <v>1201</v>
      </c>
      <c r="N177" s="1">
        <v>45736</v>
      </c>
      <c r="O177">
        <v>6</v>
      </c>
      <c r="P177" s="11">
        <v>46192</v>
      </c>
      <c r="Q177" s="17">
        <f t="shared" si="2"/>
        <v>0</v>
      </c>
      <c r="R177" s="3">
        <v>17</v>
      </c>
      <c r="S177" s="3">
        <v>4400</v>
      </c>
      <c r="T177" s="2">
        <v>46982</v>
      </c>
      <c r="U177" s="3">
        <v>3619</v>
      </c>
      <c r="X177" s="17">
        <v>0</v>
      </c>
      <c r="Y177" s="23">
        <v>0</v>
      </c>
      <c r="Z177" s="24"/>
    </row>
    <row r="178" spans="1:26">
      <c r="A178" s="6" t="s">
        <v>14</v>
      </c>
      <c r="B178" t="s">
        <v>391</v>
      </c>
      <c r="C178" t="s">
        <v>990</v>
      </c>
      <c r="D178" s="4">
        <v>46185</v>
      </c>
      <c r="E178">
        <v>124469</v>
      </c>
      <c r="F178" s="5">
        <v>48446.400000000001</v>
      </c>
      <c r="G178" s="5">
        <v>76022.600000000006</v>
      </c>
      <c r="H178" t="s">
        <v>842</v>
      </c>
      <c r="I178" s="1">
        <v>46732</v>
      </c>
      <c r="J178" s="9">
        <v>107112269067</v>
      </c>
      <c r="K178" t="s">
        <v>1177</v>
      </c>
      <c r="L178" t="s">
        <v>844</v>
      </c>
      <c r="M178" t="s">
        <v>1202</v>
      </c>
      <c r="N178" s="1">
        <v>45729</v>
      </c>
      <c r="O178">
        <v>5</v>
      </c>
      <c r="P178" s="11">
        <v>46192</v>
      </c>
      <c r="Q178" s="17">
        <f t="shared" si="2"/>
        <v>0</v>
      </c>
      <c r="R178" s="3">
        <v>24</v>
      </c>
      <c r="S178" s="3">
        <v>4242.12</v>
      </c>
      <c r="T178" s="2">
        <v>46745</v>
      </c>
      <c r="U178" s="3">
        <v>2677.04000000001</v>
      </c>
      <c r="X178" s="17">
        <v>0</v>
      </c>
      <c r="Y178" s="23">
        <v>0</v>
      </c>
      <c r="Z178" s="24"/>
    </row>
    <row r="179" spans="1:26">
      <c r="A179" s="6" t="s">
        <v>14</v>
      </c>
      <c r="B179" t="s">
        <v>429</v>
      </c>
      <c r="C179" t="s">
        <v>853</v>
      </c>
      <c r="D179" s="4">
        <v>46185</v>
      </c>
      <c r="E179">
        <v>120000</v>
      </c>
      <c r="F179" s="5">
        <v>33584</v>
      </c>
      <c r="G179" s="5">
        <v>86416</v>
      </c>
      <c r="H179" t="s">
        <v>842</v>
      </c>
      <c r="I179" s="1">
        <v>46976</v>
      </c>
      <c r="J179" s="9">
        <v>107112343424</v>
      </c>
      <c r="K179" t="s">
        <v>1203</v>
      </c>
      <c r="L179" t="s">
        <v>844</v>
      </c>
      <c r="M179" t="s">
        <v>1204</v>
      </c>
      <c r="N179" s="1">
        <v>45735</v>
      </c>
      <c r="O179">
        <v>6</v>
      </c>
      <c r="P179" s="11">
        <v>46192</v>
      </c>
      <c r="Q179" s="17">
        <f t="shared" si="2"/>
        <v>0</v>
      </c>
      <c r="R179" s="3">
        <v>17</v>
      </c>
      <c r="S179" s="3">
        <v>3213</v>
      </c>
      <c r="T179" s="2">
        <v>47007</v>
      </c>
      <c r="U179" s="3">
        <v>1912</v>
      </c>
      <c r="X179" s="17">
        <v>0</v>
      </c>
      <c r="Y179" s="23">
        <v>0</v>
      </c>
      <c r="Z179" s="24"/>
    </row>
    <row r="180" spans="1:26">
      <c r="A180" s="6" t="s">
        <v>14</v>
      </c>
      <c r="B180" t="s">
        <v>579</v>
      </c>
      <c r="C180" t="s">
        <v>853</v>
      </c>
      <c r="D180" s="4">
        <v>46185</v>
      </c>
      <c r="E180">
        <v>96000</v>
      </c>
      <c r="F180" s="5">
        <v>25920</v>
      </c>
      <c r="G180" s="5">
        <v>70080</v>
      </c>
      <c r="H180" t="s">
        <v>842</v>
      </c>
      <c r="I180" s="1">
        <v>46763</v>
      </c>
      <c r="J180" s="9">
        <v>107112637443</v>
      </c>
      <c r="K180" t="s">
        <v>1205</v>
      </c>
      <c r="L180" t="s">
        <v>844</v>
      </c>
      <c r="M180" t="s">
        <v>1206</v>
      </c>
      <c r="N180" s="1">
        <v>45765</v>
      </c>
      <c r="O180">
        <v>5</v>
      </c>
      <c r="P180" s="11">
        <v>46192</v>
      </c>
      <c r="Q180" s="17">
        <f t="shared" si="2"/>
        <v>0</v>
      </c>
      <c r="R180" s="3">
        <v>31</v>
      </c>
      <c r="S180" s="3">
        <v>3240</v>
      </c>
      <c r="T180" s="2">
        <v>46812</v>
      </c>
      <c r="U180" s="3">
        <v>2040</v>
      </c>
      <c r="X180" s="17">
        <v>0</v>
      </c>
      <c r="Y180" s="23">
        <v>0</v>
      </c>
      <c r="Z180" s="24"/>
    </row>
    <row r="181" spans="1:26">
      <c r="A181" s="6" t="s">
        <v>14</v>
      </c>
      <c r="B181" t="s">
        <v>677</v>
      </c>
      <c r="C181" t="s">
        <v>853</v>
      </c>
      <c r="D181" s="4">
        <v>46185</v>
      </c>
      <c r="E181">
        <v>75768</v>
      </c>
      <c r="F181" s="5">
        <v>27650</v>
      </c>
      <c r="G181" s="5">
        <v>48118</v>
      </c>
      <c r="H181" t="s">
        <v>842</v>
      </c>
      <c r="I181" s="1">
        <v>46732</v>
      </c>
      <c r="J181" s="9">
        <v>107112791347</v>
      </c>
      <c r="K181" t="s">
        <v>1159</v>
      </c>
      <c r="L181" t="s">
        <v>844</v>
      </c>
      <c r="M181" t="s">
        <v>1207</v>
      </c>
      <c r="N181" s="1">
        <v>45782</v>
      </c>
      <c r="O181">
        <v>5</v>
      </c>
      <c r="P181" s="11">
        <v>46192</v>
      </c>
      <c r="Q181" s="17">
        <f t="shared" si="2"/>
        <v>0</v>
      </c>
      <c r="R181" s="3">
        <v>17</v>
      </c>
      <c r="S181" s="3">
        <v>2576</v>
      </c>
      <c r="T181" s="2">
        <v>46769</v>
      </c>
      <c r="U181" s="3">
        <v>1750</v>
      </c>
      <c r="X181" s="17">
        <v>0</v>
      </c>
      <c r="Y181" s="23">
        <v>0</v>
      </c>
      <c r="Z181" s="24"/>
    </row>
    <row r="182" spans="1:26">
      <c r="A182" s="6" t="s">
        <v>14</v>
      </c>
      <c r="B182" t="s">
        <v>564</v>
      </c>
      <c r="C182" t="s">
        <v>907</v>
      </c>
      <c r="D182" s="4">
        <v>46185</v>
      </c>
      <c r="E182">
        <v>27722</v>
      </c>
      <c r="F182" s="5">
        <v>17160</v>
      </c>
      <c r="G182" s="5">
        <v>10562</v>
      </c>
      <c r="H182" t="s">
        <v>842</v>
      </c>
      <c r="I182" s="1">
        <v>46398</v>
      </c>
      <c r="J182" s="9">
        <v>107112621534</v>
      </c>
      <c r="K182" t="s">
        <v>1208</v>
      </c>
      <c r="L182" t="s">
        <v>844</v>
      </c>
      <c r="M182" t="s">
        <v>1209</v>
      </c>
      <c r="N182" s="1">
        <v>45769</v>
      </c>
      <c r="O182">
        <v>3</v>
      </c>
      <c r="P182" s="11">
        <v>46192</v>
      </c>
      <c r="Q182" s="17">
        <f t="shared" si="2"/>
        <v>0</v>
      </c>
      <c r="R182" s="3">
        <v>3</v>
      </c>
      <c r="S182" s="3">
        <v>1560</v>
      </c>
      <c r="T182" s="2">
        <v>46421</v>
      </c>
      <c r="U182" s="3">
        <v>1202</v>
      </c>
      <c r="X182" s="17">
        <v>0</v>
      </c>
      <c r="Y182" s="23">
        <v>0</v>
      </c>
      <c r="Z182" s="24"/>
    </row>
    <row r="183" spans="1:26">
      <c r="A183" s="6" t="s">
        <v>14</v>
      </c>
      <c r="B183" t="s">
        <v>493</v>
      </c>
      <c r="C183" t="s">
        <v>856</v>
      </c>
      <c r="D183" s="4">
        <v>46185</v>
      </c>
      <c r="E183">
        <v>109196</v>
      </c>
      <c r="F183" s="5">
        <v>37700</v>
      </c>
      <c r="G183" s="5">
        <v>71496</v>
      </c>
      <c r="H183" t="s">
        <v>842</v>
      </c>
      <c r="I183" s="1">
        <v>46794</v>
      </c>
      <c r="J183" s="9">
        <v>107112516665</v>
      </c>
      <c r="K183" t="s">
        <v>1210</v>
      </c>
      <c r="L183" t="s">
        <v>844</v>
      </c>
      <c r="M183" t="s">
        <v>1211</v>
      </c>
      <c r="N183" s="1">
        <v>45752</v>
      </c>
      <c r="O183">
        <v>5</v>
      </c>
      <c r="P183" s="11">
        <v>46192</v>
      </c>
      <c r="Q183" s="17">
        <f t="shared" si="2"/>
        <v>0</v>
      </c>
      <c r="R183" s="3">
        <v>17</v>
      </c>
      <c r="S183" s="3">
        <v>3538</v>
      </c>
      <c r="T183" s="2">
        <v>46829</v>
      </c>
      <c r="U183" s="3">
        <v>736</v>
      </c>
      <c r="X183" s="17">
        <v>0</v>
      </c>
      <c r="Y183" s="23">
        <v>0</v>
      </c>
      <c r="Z183" s="24"/>
    </row>
    <row r="184" spans="1:26">
      <c r="A184" s="6" t="s">
        <v>14</v>
      </c>
      <c r="B184" t="s">
        <v>173</v>
      </c>
      <c r="C184" t="s">
        <v>861</v>
      </c>
      <c r="D184" s="4">
        <v>46185</v>
      </c>
      <c r="E184">
        <v>94861</v>
      </c>
      <c r="F184" s="5">
        <v>32060</v>
      </c>
      <c r="G184" s="5">
        <v>62801</v>
      </c>
      <c r="H184" t="s">
        <v>842</v>
      </c>
      <c r="I184" s="1">
        <v>46794</v>
      </c>
      <c r="J184" s="9">
        <v>101129973517</v>
      </c>
      <c r="K184" t="s">
        <v>1198</v>
      </c>
      <c r="L184" t="s">
        <v>848</v>
      </c>
      <c r="M184" t="s">
        <v>1212</v>
      </c>
      <c r="N184" s="1">
        <v>45758</v>
      </c>
      <c r="O184">
        <v>5</v>
      </c>
      <c r="P184" s="11">
        <v>46192</v>
      </c>
      <c r="Q184" s="17">
        <f t="shared" si="2"/>
        <v>0</v>
      </c>
      <c r="R184" s="3">
        <v>3</v>
      </c>
      <c r="S184" s="3">
        <v>3024</v>
      </c>
      <c r="T184" s="2">
        <v>46815</v>
      </c>
      <c r="U184" s="3">
        <v>2321</v>
      </c>
      <c r="X184" s="17">
        <v>0</v>
      </c>
      <c r="Y184" s="23">
        <v>0</v>
      </c>
      <c r="Z184" s="24"/>
    </row>
    <row r="185" spans="1:26">
      <c r="A185" s="6" t="s">
        <v>14</v>
      </c>
      <c r="B185" t="s">
        <v>282</v>
      </c>
      <c r="C185" t="s">
        <v>846</v>
      </c>
      <c r="D185" s="4">
        <v>46185</v>
      </c>
      <c r="E185">
        <v>73000</v>
      </c>
      <c r="F185" s="5">
        <v>24320</v>
      </c>
      <c r="G185" s="5">
        <v>48680</v>
      </c>
      <c r="H185" t="s">
        <v>842</v>
      </c>
      <c r="I185" s="1">
        <v>46823</v>
      </c>
      <c r="J185" s="9">
        <v>101130890220</v>
      </c>
      <c r="K185" t="s">
        <v>1213</v>
      </c>
      <c r="L185" t="s">
        <v>848</v>
      </c>
      <c r="M185" t="s">
        <v>1214</v>
      </c>
      <c r="N185" s="1">
        <v>45803</v>
      </c>
      <c r="O185">
        <v>5</v>
      </c>
      <c r="P185" s="11">
        <v>46192</v>
      </c>
      <c r="Q185" s="17">
        <f t="shared" si="2"/>
        <v>0</v>
      </c>
      <c r="R185" s="3">
        <v>3</v>
      </c>
      <c r="S185" s="3">
        <v>2432</v>
      </c>
      <c r="T185" s="2">
        <v>46815</v>
      </c>
      <c r="U185" s="3">
        <v>40</v>
      </c>
      <c r="X185" s="17">
        <v>0</v>
      </c>
      <c r="Y185" s="23">
        <v>0</v>
      </c>
      <c r="Z185" s="24"/>
    </row>
    <row r="186" spans="1:26">
      <c r="A186" s="6" t="s">
        <v>14</v>
      </c>
      <c r="B186" t="s">
        <v>822</v>
      </c>
      <c r="C186" t="s">
        <v>1065</v>
      </c>
      <c r="D186" s="4">
        <v>46185</v>
      </c>
      <c r="E186">
        <v>77000</v>
      </c>
      <c r="F186" s="5">
        <v>23408</v>
      </c>
      <c r="G186" s="5">
        <v>53592</v>
      </c>
      <c r="H186" t="s">
        <v>842</v>
      </c>
      <c r="I186" s="1">
        <v>46823</v>
      </c>
      <c r="J186" s="9">
        <v>107113171713</v>
      </c>
      <c r="K186" t="s">
        <v>1215</v>
      </c>
      <c r="L186" t="s">
        <v>844</v>
      </c>
      <c r="M186" t="s">
        <v>1216</v>
      </c>
      <c r="N186" s="1">
        <v>45820</v>
      </c>
      <c r="O186">
        <v>5</v>
      </c>
      <c r="P186" s="11">
        <v>46192</v>
      </c>
      <c r="Q186" s="17">
        <f t="shared" si="2"/>
        <v>0</v>
      </c>
      <c r="R186" s="3">
        <v>24</v>
      </c>
      <c r="S186" s="3">
        <v>2546</v>
      </c>
      <c r="T186" s="2">
        <v>46836</v>
      </c>
      <c r="U186" s="3">
        <v>1646</v>
      </c>
      <c r="X186" s="17">
        <v>0</v>
      </c>
      <c r="Y186" s="23">
        <v>0</v>
      </c>
      <c r="Z186" s="24"/>
    </row>
    <row r="187" spans="1:26">
      <c r="A187" s="6" t="s">
        <v>14</v>
      </c>
      <c r="B187" t="s">
        <v>692</v>
      </c>
      <c r="C187" t="s">
        <v>864</v>
      </c>
      <c r="D187" s="4">
        <v>46185</v>
      </c>
      <c r="E187">
        <v>16502</v>
      </c>
      <c r="F187" s="5">
        <v>6750</v>
      </c>
      <c r="G187" s="5">
        <v>9752</v>
      </c>
      <c r="H187" t="s">
        <v>842</v>
      </c>
      <c r="I187" s="1">
        <v>46610</v>
      </c>
      <c r="J187" s="9">
        <v>107112813849</v>
      </c>
      <c r="K187" t="s">
        <v>1217</v>
      </c>
      <c r="L187" t="s">
        <v>844</v>
      </c>
      <c r="M187" t="s">
        <v>1218</v>
      </c>
      <c r="N187" s="1">
        <v>45786</v>
      </c>
      <c r="O187">
        <v>5</v>
      </c>
      <c r="P187" s="11">
        <v>46192</v>
      </c>
      <c r="Q187" s="17">
        <f t="shared" si="2"/>
        <v>0</v>
      </c>
      <c r="R187" s="3">
        <v>10</v>
      </c>
      <c r="S187" s="3">
        <v>675</v>
      </c>
      <c r="T187" s="2">
        <v>46640</v>
      </c>
      <c r="U187" s="3">
        <v>302</v>
      </c>
      <c r="X187" s="17">
        <v>0</v>
      </c>
      <c r="Y187" s="23">
        <v>0</v>
      </c>
      <c r="Z187" s="24"/>
    </row>
    <row r="188" spans="1:26">
      <c r="A188" s="6" t="s">
        <v>14</v>
      </c>
      <c r="B188" t="s">
        <v>569</v>
      </c>
      <c r="C188" t="s">
        <v>853</v>
      </c>
      <c r="D188" s="4">
        <v>46185</v>
      </c>
      <c r="E188">
        <v>100000</v>
      </c>
      <c r="F188" s="5">
        <v>31929</v>
      </c>
      <c r="G188" s="5">
        <v>68071</v>
      </c>
      <c r="H188" t="s">
        <v>842</v>
      </c>
      <c r="I188" s="1">
        <v>46794</v>
      </c>
      <c r="J188" s="9">
        <v>107112624485</v>
      </c>
      <c r="K188" t="s">
        <v>1219</v>
      </c>
      <c r="L188" t="s">
        <v>844</v>
      </c>
      <c r="M188" t="s">
        <v>1220</v>
      </c>
      <c r="N188" s="1">
        <v>45768</v>
      </c>
      <c r="O188">
        <v>5</v>
      </c>
      <c r="P188" s="11">
        <v>46192</v>
      </c>
      <c r="Q188" s="17">
        <f t="shared" si="2"/>
        <v>0</v>
      </c>
      <c r="R188" s="3">
        <v>10</v>
      </c>
      <c r="S188" s="3">
        <v>3285</v>
      </c>
      <c r="T188" s="2">
        <v>46822</v>
      </c>
      <c r="U188" s="3">
        <v>2935</v>
      </c>
      <c r="X188" s="17">
        <v>0</v>
      </c>
      <c r="Y188" s="23">
        <v>0</v>
      </c>
      <c r="Z188" s="24"/>
    </row>
    <row r="189" spans="1:26">
      <c r="A189" s="6" t="s">
        <v>14</v>
      </c>
      <c r="B189" t="s">
        <v>165</v>
      </c>
      <c r="C189" t="s">
        <v>1135</v>
      </c>
      <c r="D189" s="4">
        <v>46185</v>
      </c>
      <c r="E189">
        <v>128998</v>
      </c>
      <c r="F189" s="5">
        <v>40223.33</v>
      </c>
      <c r="G189" s="5">
        <v>88774.67</v>
      </c>
      <c r="H189" t="s">
        <v>842</v>
      </c>
      <c r="I189" s="1">
        <v>46823</v>
      </c>
      <c r="J189" s="9">
        <v>101129910830</v>
      </c>
      <c r="K189" t="s">
        <v>1221</v>
      </c>
      <c r="L189" t="s">
        <v>848</v>
      </c>
      <c r="M189" t="s">
        <v>1222</v>
      </c>
      <c r="N189" s="1">
        <v>45773</v>
      </c>
      <c r="O189">
        <v>5</v>
      </c>
      <c r="P189" s="11">
        <v>46192</v>
      </c>
      <c r="Q189" s="17">
        <f t="shared" si="2"/>
        <v>0</v>
      </c>
      <c r="R189" s="3">
        <v>3</v>
      </c>
      <c r="S189" s="3">
        <v>4235</v>
      </c>
      <c r="T189" s="2">
        <v>46815</v>
      </c>
      <c r="U189" s="3">
        <v>4074.67</v>
      </c>
      <c r="X189" s="17">
        <v>0</v>
      </c>
      <c r="Y189" s="23">
        <v>0</v>
      </c>
      <c r="Z189" s="24"/>
    </row>
    <row r="190" spans="1:26">
      <c r="A190" s="6" t="s">
        <v>14</v>
      </c>
      <c r="B190" t="s">
        <v>604</v>
      </c>
      <c r="C190" t="s">
        <v>841</v>
      </c>
      <c r="D190" s="4">
        <v>46185</v>
      </c>
      <c r="E190">
        <v>26555</v>
      </c>
      <c r="F190" s="5">
        <v>13800</v>
      </c>
      <c r="G190" s="5">
        <v>12755</v>
      </c>
      <c r="H190" t="s">
        <v>842</v>
      </c>
      <c r="I190" s="1">
        <v>46457</v>
      </c>
      <c r="J190" s="9">
        <v>107112660962</v>
      </c>
      <c r="K190" t="s">
        <v>859</v>
      </c>
      <c r="L190" t="s">
        <v>844</v>
      </c>
      <c r="M190" t="s">
        <v>1223</v>
      </c>
      <c r="N190" s="1">
        <v>45794</v>
      </c>
      <c r="O190">
        <v>3</v>
      </c>
      <c r="P190" s="11">
        <v>46192</v>
      </c>
      <c r="Q190" s="17">
        <f t="shared" si="2"/>
        <v>0</v>
      </c>
      <c r="R190" s="3">
        <v>10</v>
      </c>
      <c r="S190" s="3">
        <v>1380</v>
      </c>
      <c r="T190" s="2">
        <v>46487</v>
      </c>
      <c r="U190" s="3">
        <v>335</v>
      </c>
      <c r="X190" s="17">
        <v>0</v>
      </c>
      <c r="Y190" s="23">
        <v>0</v>
      </c>
      <c r="Z190" s="24"/>
    </row>
    <row r="191" spans="1:26">
      <c r="A191" s="6" t="s">
        <v>14</v>
      </c>
      <c r="B191" t="s">
        <v>324</v>
      </c>
      <c r="C191" t="s">
        <v>887</v>
      </c>
      <c r="D191" s="4">
        <v>46185</v>
      </c>
      <c r="E191">
        <v>69260</v>
      </c>
      <c r="F191" s="5">
        <v>21750</v>
      </c>
      <c r="G191" s="5">
        <v>47510</v>
      </c>
      <c r="H191" t="s">
        <v>842</v>
      </c>
      <c r="I191" s="1">
        <v>46823</v>
      </c>
      <c r="J191" s="9">
        <v>107111811184</v>
      </c>
      <c r="K191" t="s">
        <v>1224</v>
      </c>
      <c r="L191" t="s">
        <v>844</v>
      </c>
      <c r="M191" t="s">
        <v>1225</v>
      </c>
      <c r="N191" s="1">
        <v>45672</v>
      </c>
      <c r="O191">
        <v>5</v>
      </c>
      <c r="P191" s="11">
        <v>46192</v>
      </c>
      <c r="Q191" s="17">
        <f t="shared" si="2"/>
        <v>0</v>
      </c>
      <c r="R191" s="3">
        <v>10</v>
      </c>
      <c r="S191" s="3">
        <v>2250</v>
      </c>
      <c r="T191" s="2">
        <v>46853</v>
      </c>
      <c r="U191" s="3">
        <v>260</v>
      </c>
      <c r="X191" s="17">
        <v>0</v>
      </c>
      <c r="Y191" s="23">
        <v>0</v>
      </c>
      <c r="Z191" s="24"/>
    </row>
    <row r="192" spans="1:26">
      <c r="A192" s="6" t="s">
        <v>14</v>
      </c>
      <c r="B192" t="s">
        <v>501</v>
      </c>
      <c r="C192" t="s">
        <v>853</v>
      </c>
      <c r="D192" s="4">
        <v>46185</v>
      </c>
      <c r="E192">
        <v>99900</v>
      </c>
      <c r="F192" s="5">
        <v>35400</v>
      </c>
      <c r="G192" s="5">
        <v>64500</v>
      </c>
      <c r="H192" t="s">
        <v>842</v>
      </c>
      <c r="I192" s="1">
        <v>46763</v>
      </c>
      <c r="J192" s="9">
        <v>107112538502</v>
      </c>
      <c r="K192" t="s">
        <v>1226</v>
      </c>
      <c r="L192" t="s">
        <v>844</v>
      </c>
      <c r="M192" t="s">
        <v>1227</v>
      </c>
      <c r="N192" s="1">
        <v>45754</v>
      </c>
      <c r="O192">
        <v>5</v>
      </c>
      <c r="P192" s="11">
        <v>46192</v>
      </c>
      <c r="Q192" s="17">
        <f t="shared" si="2"/>
        <v>0</v>
      </c>
      <c r="R192" s="3">
        <v>3</v>
      </c>
      <c r="S192" s="3">
        <v>3300</v>
      </c>
      <c r="T192" s="2">
        <v>46786</v>
      </c>
      <c r="U192" s="3">
        <v>1800</v>
      </c>
      <c r="X192" s="17">
        <v>0</v>
      </c>
      <c r="Y192" s="23">
        <v>0</v>
      </c>
      <c r="Z192" s="24"/>
    </row>
    <row r="193" spans="1:26">
      <c r="A193" s="6" t="s">
        <v>14</v>
      </c>
      <c r="B193" t="s">
        <v>800</v>
      </c>
      <c r="C193" t="s">
        <v>841</v>
      </c>
      <c r="D193" s="4">
        <v>46185</v>
      </c>
      <c r="E193">
        <v>115000</v>
      </c>
      <c r="F193" s="5">
        <v>38140</v>
      </c>
      <c r="G193" s="5">
        <v>76860</v>
      </c>
      <c r="H193" t="s">
        <v>842</v>
      </c>
      <c r="I193" s="1">
        <v>46794</v>
      </c>
      <c r="J193" s="9">
        <v>107113048741</v>
      </c>
      <c r="K193" t="s">
        <v>1228</v>
      </c>
      <c r="L193" t="s">
        <v>844</v>
      </c>
      <c r="M193" t="s">
        <v>1229</v>
      </c>
      <c r="N193" s="1">
        <v>45809</v>
      </c>
      <c r="O193">
        <v>5</v>
      </c>
      <c r="P193" s="11">
        <v>46192</v>
      </c>
      <c r="Q193" s="17">
        <f t="shared" si="2"/>
        <v>0</v>
      </c>
      <c r="R193" s="3">
        <v>31</v>
      </c>
      <c r="S193" s="3">
        <v>3960</v>
      </c>
      <c r="T193" s="2">
        <v>46812</v>
      </c>
      <c r="U193" s="3">
        <v>1620</v>
      </c>
      <c r="X193" s="17">
        <v>0</v>
      </c>
      <c r="Y193" s="23">
        <v>0</v>
      </c>
      <c r="Z193" s="24"/>
    </row>
    <row r="194" spans="1:26">
      <c r="A194" s="6" t="s">
        <v>14</v>
      </c>
      <c r="B194" t="s">
        <v>344</v>
      </c>
      <c r="C194" t="s">
        <v>887</v>
      </c>
      <c r="D194" s="4">
        <v>46185</v>
      </c>
      <c r="E194">
        <v>119000</v>
      </c>
      <c r="F194" s="5">
        <v>46160</v>
      </c>
      <c r="G194" s="5">
        <v>72840</v>
      </c>
      <c r="H194" t="s">
        <v>842</v>
      </c>
      <c r="I194" s="1">
        <v>46610</v>
      </c>
      <c r="J194" s="9">
        <v>107112077174</v>
      </c>
      <c r="K194" t="s">
        <v>1230</v>
      </c>
      <c r="L194" t="s">
        <v>844</v>
      </c>
      <c r="M194" t="s">
        <v>1231</v>
      </c>
      <c r="N194" s="1">
        <v>45718</v>
      </c>
      <c r="O194">
        <v>3</v>
      </c>
      <c r="P194" s="11">
        <v>46192</v>
      </c>
      <c r="Q194" s="17">
        <f t="shared" si="2"/>
        <v>0</v>
      </c>
      <c r="R194" s="3">
        <v>24</v>
      </c>
      <c r="S194" s="3">
        <v>4700</v>
      </c>
      <c r="T194" s="2">
        <v>46623</v>
      </c>
      <c r="U194" s="3">
        <v>1450</v>
      </c>
      <c r="X194" s="17">
        <v>0</v>
      </c>
      <c r="Y194" s="23">
        <v>0</v>
      </c>
      <c r="Z194" s="24"/>
    </row>
    <row r="195" spans="1:26">
      <c r="A195" s="6" t="s">
        <v>14</v>
      </c>
      <c r="B195" t="s">
        <v>268</v>
      </c>
      <c r="C195" t="s">
        <v>846</v>
      </c>
      <c r="D195" s="4">
        <v>46185</v>
      </c>
      <c r="E195">
        <v>73000</v>
      </c>
      <c r="F195" s="5">
        <v>38593.33</v>
      </c>
      <c r="G195" s="5">
        <v>34406.67</v>
      </c>
      <c r="H195" t="s">
        <v>842</v>
      </c>
      <c r="I195" s="1">
        <v>46457</v>
      </c>
      <c r="J195" s="9">
        <v>101130786900</v>
      </c>
      <c r="K195" t="s">
        <v>948</v>
      </c>
      <c r="L195" t="s">
        <v>848</v>
      </c>
      <c r="M195" t="s">
        <v>1232</v>
      </c>
      <c r="N195" s="1">
        <v>45803</v>
      </c>
      <c r="O195">
        <v>3</v>
      </c>
      <c r="P195" s="11">
        <v>46192</v>
      </c>
      <c r="Q195" s="17">
        <f t="shared" ref="Q195:Q258" si="3">SUM(X195:Y195)</f>
        <v>0</v>
      </c>
      <c r="R195" s="3">
        <v>10</v>
      </c>
      <c r="S195" s="3">
        <v>3990</v>
      </c>
      <c r="T195" s="2">
        <v>46456</v>
      </c>
      <c r="U195" s="3">
        <v>2486.67</v>
      </c>
      <c r="X195" s="17">
        <v>0</v>
      </c>
      <c r="Y195" s="23">
        <v>0</v>
      </c>
      <c r="Z195" s="24"/>
    </row>
    <row r="196" spans="1:26">
      <c r="A196" s="6" t="s">
        <v>14</v>
      </c>
      <c r="B196" t="s">
        <v>615</v>
      </c>
      <c r="C196" t="s">
        <v>990</v>
      </c>
      <c r="D196" s="4">
        <v>46185</v>
      </c>
      <c r="E196">
        <v>68787</v>
      </c>
      <c r="F196" s="5">
        <v>24300</v>
      </c>
      <c r="G196" s="5">
        <v>44487</v>
      </c>
      <c r="H196" t="s">
        <v>842</v>
      </c>
      <c r="I196" s="1">
        <v>46763</v>
      </c>
      <c r="J196" s="9">
        <v>107112675513</v>
      </c>
      <c r="K196" t="s">
        <v>1233</v>
      </c>
      <c r="L196" t="s">
        <v>844</v>
      </c>
      <c r="M196" t="s">
        <v>1234</v>
      </c>
      <c r="N196" s="1">
        <v>45769</v>
      </c>
      <c r="O196">
        <v>5</v>
      </c>
      <c r="P196" s="11">
        <v>46192</v>
      </c>
      <c r="Q196" s="17">
        <f t="shared" si="3"/>
        <v>0</v>
      </c>
      <c r="R196" s="3">
        <v>17</v>
      </c>
      <c r="S196" s="3">
        <v>2250</v>
      </c>
      <c r="T196" s="2">
        <v>46800</v>
      </c>
      <c r="U196" s="3">
        <v>1737</v>
      </c>
      <c r="X196" s="17">
        <v>0</v>
      </c>
      <c r="Y196" s="23">
        <v>0</v>
      </c>
      <c r="Z196" s="24"/>
    </row>
    <row r="197" spans="1:26">
      <c r="A197" s="6" t="s">
        <v>14</v>
      </c>
      <c r="B197" t="s">
        <v>286</v>
      </c>
      <c r="C197" t="s">
        <v>846</v>
      </c>
      <c r="D197" s="4">
        <v>46185</v>
      </c>
      <c r="E197">
        <v>85900</v>
      </c>
      <c r="F197" s="5">
        <v>28350</v>
      </c>
      <c r="G197" s="5">
        <v>57550</v>
      </c>
      <c r="H197" t="s">
        <v>842</v>
      </c>
      <c r="I197" s="1">
        <v>46823</v>
      </c>
      <c r="J197" s="9">
        <v>101130944629</v>
      </c>
      <c r="K197" t="s">
        <v>1235</v>
      </c>
      <c r="L197" t="s">
        <v>848</v>
      </c>
      <c r="M197" t="s">
        <v>1236</v>
      </c>
      <c r="N197" s="1">
        <v>45807</v>
      </c>
      <c r="O197">
        <v>5</v>
      </c>
      <c r="P197" s="11">
        <v>46192</v>
      </c>
      <c r="Q197" s="17">
        <f t="shared" si="3"/>
        <v>0</v>
      </c>
      <c r="R197" s="3">
        <v>3</v>
      </c>
      <c r="S197" s="3">
        <v>2835</v>
      </c>
      <c r="T197" s="2">
        <v>46815</v>
      </c>
      <c r="U197" s="3">
        <v>850</v>
      </c>
      <c r="X197" s="17">
        <v>0</v>
      </c>
      <c r="Y197" s="23">
        <v>0</v>
      </c>
      <c r="Z197" s="24"/>
    </row>
    <row r="198" spans="1:26">
      <c r="A198" s="6" t="s">
        <v>14</v>
      </c>
      <c r="B198" t="s">
        <v>773</v>
      </c>
      <c r="C198" t="s">
        <v>853</v>
      </c>
      <c r="D198" s="4">
        <v>46185</v>
      </c>
      <c r="E198">
        <v>22711</v>
      </c>
      <c r="F198" s="5">
        <v>12900</v>
      </c>
      <c r="G198" s="5">
        <v>9811</v>
      </c>
      <c r="H198" t="s">
        <v>842</v>
      </c>
      <c r="I198" s="1">
        <v>46398</v>
      </c>
      <c r="J198" s="9">
        <v>107112989677</v>
      </c>
      <c r="K198" t="s">
        <v>1237</v>
      </c>
      <c r="L198" t="s">
        <v>844</v>
      </c>
      <c r="M198" t="s">
        <v>1238</v>
      </c>
      <c r="N198" s="1">
        <v>45804</v>
      </c>
      <c r="O198">
        <v>3</v>
      </c>
      <c r="P198" s="11">
        <v>46192</v>
      </c>
      <c r="Q198" s="17">
        <f t="shared" si="3"/>
        <v>1200</v>
      </c>
      <c r="R198" s="3">
        <v>31</v>
      </c>
      <c r="S198" s="3">
        <v>1290</v>
      </c>
      <c r="T198" s="2">
        <v>46418</v>
      </c>
      <c r="U198" s="3">
        <v>781</v>
      </c>
      <c r="X198" s="17">
        <v>1200</v>
      </c>
      <c r="Y198" s="23">
        <v>0</v>
      </c>
      <c r="Z198" s="24"/>
    </row>
    <row r="199" spans="1:26">
      <c r="A199" s="6" t="s">
        <v>14</v>
      </c>
      <c r="B199" t="s">
        <v>350</v>
      </c>
      <c r="C199" t="s">
        <v>880</v>
      </c>
      <c r="D199" s="4">
        <v>46185</v>
      </c>
      <c r="E199">
        <v>90777</v>
      </c>
      <c r="F199" s="5">
        <v>31800</v>
      </c>
      <c r="G199" s="5">
        <v>58977</v>
      </c>
      <c r="H199" t="s">
        <v>842</v>
      </c>
      <c r="I199" s="1">
        <v>46794</v>
      </c>
      <c r="J199" s="9">
        <v>107112083173</v>
      </c>
      <c r="K199" t="s">
        <v>1239</v>
      </c>
      <c r="L199" t="s">
        <v>844</v>
      </c>
      <c r="M199" t="s">
        <v>1240</v>
      </c>
      <c r="N199" s="1">
        <v>45713</v>
      </c>
      <c r="O199">
        <v>5</v>
      </c>
      <c r="P199" s="11">
        <v>46192</v>
      </c>
      <c r="Q199" s="17">
        <f t="shared" si="3"/>
        <v>0</v>
      </c>
      <c r="R199" s="3">
        <v>10</v>
      </c>
      <c r="S199" s="3">
        <v>2940</v>
      </c>
      <c r="T199" s="2">
        <v>46822</v>
      </c>
      <c r="U199" s="3">
        <v>177</v>
      </c>
      <c r="X199" s="17">
        <v>0</v>
      </c>
      <c r="Y199" s="23">
        <v>0</v>
      </c>
      <c r="Z199" s="24"/>
    </row>
    <row r="200" spans="1:26">
      <c r="A200" s="6" t="s">
        <v>14</v>
      </c>
      <c r="B200" t="s">
        <v>346</v>
      </c>
      <c r="C200" t="s">
        <v>880</v>
      </c>
      <c r="D200" s="4">
        <v>46185</v>
      </c>
      <c r="E200">
        <v>109415</v>
      </c>
      <c r="F200" s="5">
        <v>36500</v>
      </c>
      <c r="G200" s="5">
        <v>72915</v>
      </c>
      <c r="H200" t="s">
        <v>842</v>
      </c>
      <c r="I200" s="1">
        <v>46823</v>
      </c>
      <c r="J200" s="9">
        <v>107112083148</v>
      </c>
      <c r="K200" t="s">
        <v>1239</v>
      </c>
      <c r="L200" t="s">
        <v>844</v>
      </c>
      <c r="M200" t="s">
        <v>1241</v>
      </c>
      <c r="N200" s="1">
        <v>45713</v>
      </c>
      <c r="O200">
        <v>5</v>
      </c>
      <c r="P200" s="11">
        <v>46192</v>
      </c>
      <c r="Q200" s="17">
        <f t="shared" si="3"/>
        <v>0</v>
      </c>
      <c r="R200" s="3">
        <v>17</v>
      </c>
      <c r="S200" s="3">
        <v>3420</v>
      </c>
      <c r="T200" s="2">
        <v>46860</v>
      </c>
      <c r="U200" s="3">
        <v>1095</v>
      </c>
      <c r="X200" s="17">
        <v>0</v>
      </c>
      <c r="Y200" s="23">
        <v>0</v>
      </c>
      <c r="Z200" s="24"/>
    </row>
    <row r="201" spans="1:26">
      <c r="A201" s="6" t="s">
        <v>14</v>
      </c>
      <c r="B201" t="s">
        <v>236</v>
      </c>
      <c r="C201" t="s">
        <v>890</v>
      </c>
      <c r="D201" s="4">
        <v>46185</v>
      </c>
      <c r="E201">
        <v>73000</v>
      </c>
      <c r="F201" s="5">
        <v>28555</v>
      </c>
      <c r="G201" s="5">
        <v>44445</v>
      </c>
      <c r="H201" t="s">
        <v>842</v>
      </c>
      <c r="I201" s="1">
        <v>46794</v>
      </c>
      <c r="J201" s="9">
        <v>101130447153</v>
      </c>
      <c r="K201" t="s">
        <v>1242</v>
      </c>
      <c r="L201" t="s">
        <v>848</v>
      </c>
      <c r="M201" t="s">
        <v>1243</v>
      </c>
      <c r="N201" s="1">
        <v>45781</v>
      </c>
      <c r="O201">
        <v>5</v>
      </c>
      <c r="P201" s="11">
        <v>46192</v>
      </c>
      <c r="Q201" s="17">
        <f t="shared" si="3"/>
        <v>0</v>
      </c>
      <c r="R201" s="3">
        <v>10</v>
      </c>
      <c r="S201" s="3">
        <v>2430</v>
      </c>
      <c r="T201" s="2">
        <v>46793</v>
      </c>
      <c r="U201" s="3">
        <v>705</v>
      </c>
      <c r="X201" s="17">
        <v>0</v>
      </c>
      <c r="Y201" s="23">
        <v>0</v>
      </c>
      <c r="Z201" s="24"/>
    </row>
    <row r="202" spans="1:26">
      <c r="A202" s="6" t="s">
        <v>14</v>
      </c>
      <c r="B202" t="s">
        <v>308</v>
      </c>
      <c r="C202" t="s">
        <v>907</v>
      </c>
      <c r="D202" s="4">
        <v>46185</v>
      </c>
      <c r="E202">
        <v>88414</v>
      </c>
      <c r="F202" s="5">
        <v>30160</v>
      </c>
      <c r="G202" s="5">
        <v>58254</v>
      </c>
      <c r="H202" t="s">
        <v>842</v>
      </c>
      <c r="I202" s="1">
        <v>46794</v>
      </c>
      <c r="J202" s="9">
        <v>107106308722</v>
      </c>
      <c r="K202" t="s">
        <v>1244</v>
      </c>
      <c r="L202" t="s">
        <v>844</v>
      </c>
      <c r="M202" t="s">
        <v>1245</v>
      </c>
      <c r="N202" s="1">
        <v>45745</v>
      </c>
      <c r="O202">
        <v>5</v>
      </c>
      <c r="P202" s="11">
        <v>46192</v>
      </c>
      <c r="Q202" s="17">
        <f t="shared" si="3"/>
        <v>2808</v>
      </c>
      <c r="R202" s="3">
        <v>3</v>
      </c>
      <c r="S202" s="3">
        <v>2808</v>
      </c>
      <c r="T202" s="2">
        <v>46815</v>
      </c>
      <c r="U202" s="3">
        <v>2094</v>
      </c>
      <c r="X202" s="17">
        <v>2808</v>
      </c>
      <c r="Y202" s="23">
        <v>0</v>
      </c>
      <c r="Z202" s="24"/>
    </row>
    <row r="203" spans="1:26">
      <c r="A203" s="6" t="s">
        <v>14</v>
      </c>
      <c r="B203" t="s">
        <v>157</v>
      </c>
      <c r="C203" t="s">
        <v>850</v>
      </c>
      <c r="D203" s="4">
        <v>46185</v>
      </c>
      <c r="E203">
        <v>89244</v>
      </c>
      <c r="F203" s="5">
        <v>32670</v>
      </c>
      <c r="G203" s="5">
        <v>56574</v>
      </c>
      <c r="H203" t="s">
        <v>842</v>
      </c>
      <c r="I203" s="1">
        <v>46763</v>
      </c>
      <c r="J203" s="9">
        <v>101129877070</v>
      </c>
      <c r="K203" t="s">
        <v>1246</v>
      </c>
      <c r="L203" t="s">
        <v>848</v>
      </c>
      <c r="M203" t="s">
        <v>1247</v>
      </c>
      <c r="N203" s="1">
        <v>45759</v>
      </c>
      <c r="O203">
        <v>5</v>
      </c>
      <c r="P203" s="11">
        <v>46192</v>
      </c>
      <c r="Q203" s="17">
        <f t="shared" si="3"/>
        <v>0</v>
      </c>
      <c r="R203" s="3">
        <v>3</v>
      </c>
      <c r="S203" s="3">
        <v>2970</v>
      </c>
      <c r="T203" s="2">
        <v>46786</v>
      </c>
      <c r="U203" s="3">
        <v>144</v>
      </c>
      <c r="X203" s="17">
        <v>0</v>
      </c>
      <c r="Y203" s="23">
        <v>0</v>
      </c>
      <c r="Z203" s="24"/>
    </row>
    <row r="204" spans="1:26">
      <c r="A204" s="6" t="s">
        <v>14</v>
      </c>
      <c r="B204" t="s">
        <v>336</v>
      </c>
      <c r="C204" t="s">
        <v>880</v>
      </c>
      <c r="D204" s="4">
        <v>46185</v>
      </c>
      <c r="E204">
        <v>44000</v>
      </c>
      <c r="F204" s="5">
        <v>31200</v>
      </c>
      <c r="G204" s="5">
        <v>12800</v>
      </c>
      <c r="H204" t="s">
        <v>842</v>
      </c>
      <c r="I204" s="1">
        <v>46337</v>
      </c>
      <c r="J204" s="9">
        <v>107111984820</v>
      </c>
      <c r="K204" t="s">
        <v>1248</v>
      </c>
      <c r="L204" t="s">
        <v>844</v>
      </c>
      <c r="M204" t="s">
        <v>1249</v>
      </c>
      <c r="N204" s="1">
        <v>45705</v>
      </c>
      <c r="O204">
        <v>3</v>
      </c>
      <c r="P204" s="11">
        <v>46192</v>
      </c>
      <c r="Q204" s="17">
        <f t="shared" si="3"/>
        <v>0</v>
      </c>
      <c r="R204" s="3">
        <v>10</v>
      </c>
      <c r="S204" s="3">
        <v>2400</v>
      </c>
      <c r="T204" s="2">
        <v>46366</v>
      </c>
      <c r="U204" s="3">
        <v>800</v>
      </c>
      <c r="X204" s="17">
        <v>0</v>
      </c>
      <c r="Y204" s="23">
        <v>0</v>
      </c>
      <c r="Z204" s="24"/>
    </row>
    <row r="205" spans="1:26">
      <c r="A205" s="6" t="s">
        <v>14</v>
      </c>
      <c r="B205" t="s">
        <v>556</v>
      </c>
      <c r="C205" t="s">
        <v>864</v>
      </c>
      <c r="D205" s="4">
        <v>46185</v>
      </c>
      <c r="E205">
        <v>91016</v>
      </c>
      <c r="F205" s="5">
        <v>28400</v>
      </c>
      <c r="G205" s="5">
        <v>62616</v>
      </c>
      <c r="H205" t="s">
        <v>842</v>
      </c>
      <c r="I205" s="1">
        <v>46794</v>
      </c>
      <c r="J205" s="9">
        <v>107112612966</v>
      </c>
      <c r="K205" t="s">
        <v>1250</v>
      </c>
      <c r="L205" t="s">
        <v>844</v>
      </c>
      <c r="M205" t="s">
        <v>1251</v>
      </c>
      <c r="N205" s="1">
        <v>45770</v>
      </c>
      <c r="O205">
        <v>5</v>
      </c>
      <c r="P205" s="11">
        <v>46192</v>
      </c>
      <c r="Q205" s="17">
        <f t="shared" si="3"/>
        <v>0</v>
      </c>
      <c r="R205" s="3">
        <v>3</v>
      </c>
      <c r="S205" s="3">
        <v>3050</v>
      </c>
      <c r="T205" s="2">
        <v>46815</v>
      </c>
      <c r="U205" s="3">
        <v>566</v>
      </c>
      <c r="X205" s="17">
        <v>0</v>
      </c>
      <c r="Y205" s="23">
        <v>0</v>
      </c>
      <c r="Z205" s="24"/>
    </row>
    <row r="206" spans="1:26">
      <c r="A206" s="6" t="s">
        <v>14</v>
      </c>
      <c r="B206" t="s">
        <v>433</v>
      </c>
      <c r="C206" t="s">
        <v>853</v>
      </c>
      <c r="D206" s="4">
        <v>46185</v>
      </c>
      <c r="E206">
        <v>76000</v>
      </c>
      <c r="F206" s="5">
        <v>30026</v>
      </c>
      <c r="G206" s="5">
        <v>45974</v>
      </c>
      <c r="H206" t="s">
        <v>842</v>
      </c>
      <c r="I206" s="1">
        <v>46702</v>
      </c>
      <c r="J206" s="9">
        <v>107112353366</v>
      </c>
      <c r="K206" t="s">
        <v>1252</v>
      </c>
      <c r="L206" t="s">
        <v>844</v>
      </c>
      <c r="M206" t="s">
        <v>1253</v>
      </c>
      <c r="N206" s="1">
        <v>45736</v>
      </c>
      <c r="O206">
        <v>5</v>
      </c>
      <c r="P206" s="11">
        <v>46192</v>
      </c>
      <c r="Q206" s="17">
        <f t="shared" si="3"/>
        <v>0</v>
      </c>
      <c r="R206" s="3">
        <v>10</v>
      </c>
      <c r="S206" s="3">
        <v>2460</v>
      </c>
      <c r="T206" s="2">
        <v>46762</v>
      </c>
      <c r="U206" s="3">
        <v>1934</v>
      </c>
      <c r="X206" s="17">
        <v>0</v>
      </c>
      <c r="Y206" s="23">
        <v>0</v>
      </c>
      <c r="Z206" s="24"/>
    </row>
    <row r="207" spans="1:26">
      <c r="A207" s="6" t="s">
        <v>14</v>
      </c>
      <c r="B207" t="s">
        <v>393</v>
      </c>
      <c r="C207" t="s">
        <v>880</v>
      </c>
      <c r="D207" s="4">
        <v>46185</v>
      </c>
      <c r="E207">
        <v>93000</v>
      </c>
      <c r="F207" s="5">
        <v>28050</v>
      </c>
      <c r="G207" s="5">
        <v>64950</v>
      </c>
      <c r="H207" t="s">
        <v>842</v>
      </c>
      <c r="I207" s="1">
        <v>46945</v>
      </c>
      <c r="J207" s="9">
        <v>107112278618</v>
      </c>
      <c r="K207" t="s">
        <v>1254</v>
      </c>
      <c r="L207" t="s">
        <v>844</v>
      </c>
      <c r="M207" t="s">
        <v>1255</v>
      </c>
      <c r="N207" s="1">
        <v>45731</v>
      </c>
      <c r="O207">
        <v>6</v>
      </c>
      <c r="P207" s="11">
        <v>46192</v>
      </c>
      <c r="Q207" s="17">
        <f t="shared" si="3"/>
        <v>0</v>
      </c>
      <c r="R207" s="3">
        <v>3</v>
      </c>
      <c r="S207" s="3">
        <v>2585</v>
      </c>
      <c r="T207" s="2">
        <v>46968</v>
      </c>
      <c r="U207" s="3">
        <v>325</v>
      </c>
      <c r="X207" s="17">
        <v>0</v>
      </c>
      <c r="Y207" s="23">
        <v>0</v>
      </c>
      <c r="Z207" s="24"/>
    </row>
    <row r="208" spans="1:26">
      <c r="A208" s="6" t="s">
        <v>14</v>
      </c>
      <c r="B208" t="s">
        <v>706</v>
      </c>
      <c r="C208" t="s">
        <v>841</v>
      </c>
      <c r="D208" s="4">
        <v>46185</v>
      </c>
      <c r="E208">
        <v>82721</v>
      </c>
      <c r="F208" s="5">
        <v>26976</v>
      </c>
      <c r="G208" s="5">
        <v>55745</v>
      </c>
      <c r="H208" t="s">
        <v>842</v>
      </c>
      <c r="I208" s="1">
        <v>46794</v>
      </c>
      <c r="J208" s="9">
        <v>107112845576</v>
      </c>
      <c r="K208" t="s">
        <v>1256</v>
      </c>
      <c r="L208" t="s">
        <v>844</v>
      </c>
      <c r="M208" t="s">
        <v>1257</v>
      </c>
      <c r="N208" s="1">
        <v>45793</v>
      </c>
      <c r="O208">
        <v>5</v>
      </c>
      <c r="P208" s="11">
        <v>46192</v>
      </c>
      <c r="Q208" s="17">
        <f t="shared" si="3"/>
        <v>0</v>
      </c>
      <c r="R208" s="3">
        <v>31</v>
      </c>
      <c r="S208" s="3">
        <v>2784</v>
      </c>
      <c r="T208" s="2">
        <v>46843</v>
      </c>
      <c r="U208" s="3">
        <v>65</v>
      </c>
      <c r="X208" s="17">
        <v>0</v>
      </c>
      <c r="Y208" s="23">
        <v>0</v>
      </c>
      <c r="Z208" s="24"/>
    </row>
    <row r="209" spans="1:26">
      <c r="A209" s="6" t="s">
        <v>14</v>
      </c>
      <c r="B209" t="s">
        <v>360</v>
      </c>
      <c r="C209" t="s">
        <v>841</v>
      </c>
      <c r="D209" s="4">
        <v>46185</v>
      </c>
      <c r="E209">
        <v>80000</v>
      </c>
      <c r="F209" s="5">
        <v>29408.6</v>
      </c>
      <c r="G209" s="5">
        <v>50591.4</v>
      </c>
      <c r="H209" t="s">
        <v>842</v>
      </c>
      <c r="I209" s="1">
        <v>46702</v>
      </c>
      <c r="J209" s="9">
        <v>107112166522</v>
      </c>
      <c r="K209" t="s">
        <v>1258</v>
      </c>
      <c r="L209" t="s">
        <v>844</v>
      </c>
      <c r="M209" t="s">
        <v>1259</v>
      </c>
      <c r="N209" s="1">
        <v>45718</v>
      </c>
      <c r="O209">
        <v>5</v>
      </c>
      <c r="P209" s="11">
        <v>46192</v>
      </c>
      <c r="Q209" s="17">
        <f t="shared" si="3"/>
        <v>2793</v>
      </c>
      <c r="R209" s="3">
        <v>17</v>
      </c>
      <c r="S209" s="3">
        <v>2696.1</v>
      </c>
      <c r="T209" s="2">
        <v>46738</v>
      </c>
      <c r="U209" s="3">
        <v>1813.1000000000099</v>
      </c>
      <c r="X209" s="17">
        <v>2793</v>
      </c>
      <c r="Y209" s="23">
        <v>0</v>
      </c>
      <c r="Z209" s="24"/>
    </row>
    <row r="210" spans="1:26">
      <c r="A210" s="6" t="s">
        <v>14</v>
      </c>
      <c r="B210" t="s">
        <v>747</v>
      </c>
      <c r="C210" t="s">
        <v>907</v>
      </c>
      <c r="D210" s="4">
        <v>46185</v>
      </c>
      <c r="E210">
        <v>75000</v>
      </c>
      <c r="F210" s="5">
        <v>25365</v>
      </c>
      <c r="G210" s="5">
        <v>49635</v>
      </c>
      <c r="H210" t="s">
        <v>842</v>
      </c>
      <c r="I210" s="1">
        <v>46763</v>
      </c>
      <c r="J210" s="9">
        <v>107112917464</v>
      </c>
      <c r="K210" t="s">
        <v>1260</v>
      </c>
      <c r="L210" t="s">
        <v>844</v>
      </c>
      <c r="M210" t="s">
        <v>1261</v>
      </c>
      <c r="N210" s="1">
        <v>45796</v>
      </c>
      <c r="O210">
        <v>5</v>
      </c>
      <c r="P210" s="11">
        <v>46192</v>
      </c>
      <c r="Q210" s="17">
        <f t="shared" si="3"/>
        <v>0</v>
      </c>
      <c r="R210" s="3">
        <v>24</v>
      </c>
      <c r="S210" s="3">
        <v>2610</v>
      </c>
      <c r="T210" s="2">
        <v>46807</v>
      </c>
      <c r="U210" s="3">
        <v>45</v>
      </c>
      <c r="X210" s="17">
        <v>0</v>
      </c>
      <c r="Y210" s="23">
        <v>0</v>
      </c>
      <c r="Z210" s="24"/>
    </row>
    <row r="211" spans="1:26">
      <c r="A211" s="6" t="s">
        <v>14</v>
      </c>
      <c r="B211" t="s">
        <v>89</v>
      </c>
      <c r="C211" t="s">
        <v>846</v>
      </c>
      <c r="D211" s="4">
        <v>46185</v>
      </c>
      <c r="E211">
        <v>86585</v>
      </c>
      <c r="F211" s="5">
        <v>31223.33</v>
      </c>
      <c r="G211" s="5">
        <v>55361.67</v>
      </c>
      <c r="H211" t="s">
        <v>842</v>
      </c>
      <c r="I211" s="1">
        <v>46772</v>
      </c>
      <c r="J211" s="9">
        <v>101129329748</v>
      </c>
      <c r="K211" t="s">
        <v>1262</v>
      </c>
      <c r="L211" t="s">
        <v>848</v>
      </c>
      <c r="M211" t="s">
        <v>1263</v>
      </c>
      <c r="N211" s="1">
        <v>45817</v>
      </c>
      <c r="O211">
        <v>3</v>
      </c>
      <c r="P211" s="11">
        <v>46192</v>
      </c>
      <c r="Q211" s="17">
        <f t="shared" si="3"/>
        <v>2900</v>
      </c>
      <c r="R211" s="3">
        <v>17</v>
      </c>
      <c r="S211" s="3">
        <v>2900</v>
      </c>
      <c r="T211" s="2">
        <v>46769</v>
      </c>
      <c r="U211" s="3">
        <v>2485</v>
      </c>
      <c r="X211" s="17">
        <v>2900</v>
      </c>
      <c r="Y211" s="23">
        <v>0</v>
      </c>
      <c r="Z211" s="24"/>
    </row>
    <row r="212" spans="1:26">
      <c r="A212" s="6" t="s">
        <v>14</v>
      </c>
      <c r="B212" t="s">
        <v>304</v>
      </c>
      <c r="C212" t="s">
        <v>901</v>
      </c>
      <c r="D212" s="4">
        <v>46185</v>
      </c>
      <c r="E212">
        <v>74000</v>
      </c>
      <c r="F212" s="5">
        <v>21460</v>
      </c>
      <c r="G212" s="5">
        <v>52540</v>
      </c>
      <c r="H212" t="s">
        <v>842</v>
      </c>
      <c r="I212" s="1">
        <v>46794</v>
      </c>
      <c r="J212" s="9">
        <v>101131458617</v>
      </c>
      <c r="K212" t="s">
        <v>1264</v>
      </c>
      <c r="L212" t="s">
        <v>848</v>
      </c>
      <c r="M212" t="s">
        <v>1265</v>
      </c>
      <c r="N212" s="1">
        <v>45831</v>
      </c>
      <c r="O212">
        <v>5</v>
      </c>
      <c r="P212" s="11">
        <v>46192</v>
      </c>
      <c r="Q212" s="17">
        <f t="shared" si="3"/>
        <v>0</v>
      </c>
      <c r="R212" s="3">
        <v>10</v>
      </c>
      <c r="S212" s="3">
        <v>2470</v>
      </c>
      <c r="T212" s="2">
        <v>46793</v>
      </c>
      <c r="U212" s="3">
        <v>2370</v>
      </c>
      <c r="X212" s="17">
        <v>0</v>
      </c>
      <c r="Y212" s="23">
        <v>0</v>
      </c>
      <c r="Z212" s="24"/>
    </row>
    <row r="213" spans="1:26">
      <c r="A213" s="6" t="s">
        <v>14</v>
      </c>
      <c r="B213" t="s">
        <v>642</v>
      </c>
      <c r="C213" t="s">
        <v>853</v>
      </c>
      <c r="D213" s="4">
        <v>46185</v>
      </c>
      <c r="E213">
        <v>15000</v>
      </c>
      <c r="F213" s="5">
        <v>8397</v>
      </c>
      <c r="G213" s="5">
        <v>6603</v>
      </c>
      <c r="H213" t="s">
        <v>842</v>
      </c>
      <c r="I213" s="1">
        <v>46429</v>
      </c>
      <c r="J213" s="9">
        <v>107112718957</v>
      </c>
      <c r="K213" t="s">
        <v>854</v>
      </c>
      <c r="L213" t="s">
        <v>844</v>
      </c>
      <c r="M213" t="s">
        <v>1266</v>
      </c>
      <c r="N213" s="1">
        <v>45774</v>
      </c>
      <c r="O213">
        <v>3</v>
      </c>
      <c r="P213" s="11">
        <v>46192</v>
      </c>
      <c r="Q213" s="17">
        <f t="shared" si="3"/>
        <v>0</v>
      </c>
      <c r="R213" s="3">
        <v>24</v>
      </c>
      <c r="S213" s="3">
        <v>837</v>
      </c>
      <c r="T213" s="2">
        <v>46442</v>
      </c>
      <c r="U213" s="3">
        <v>771</v>
      </c>
      <c r="X213" s="17">
        <v>0</v>
      </c>
      <c r="Y213" s="23">
        <v>0</v>
      </c>
      <c r="Z213" s="24"/>
    </row>
    <row r="214" spans="1:26">
      <c r="A214" s="6" t="s">
        <v>14</v>
      </c>
      <c r="B214" t="s">
        <v>75</v>
      </c>
      <c r="C214" t="s">
        <v>890</v>
      </c>
      <c r="D214" s="4">
        <v>46185</v>
      </c>
      <c r="E214">
        <v>75868</v>
      </c>
      <c r="F214" s="5">
        <v>47268</v>
      </c>
      <c r="G214" s="5">
        <v>28600</v>
      </c>
      <c r="H214" t="s">
        <v>842</v>
      </c>
      <c r="I214" s="1">
        <v>46398</v>
      </c>
      <c r="J214" s="9">
        <v>101129266919</v>
      </c>
      <c r="K214" t="s">
        <v>1267</v>
      </c>
      <c r="L214" t="s">
        <v>848</v>
      </c>
      <c r="M214" t="s">
        <v>1268</v>
      </c>
      <c r="N214" s="1">
        <v>45748</v>
      </c>
      <c r="O214">
        <v>3</v>
      </c>
      <c r="P214" s="11">
        <v>46192</v>
      </c>
      <c r="Q214" s="17">
        <f t="shared" si="3"/>
        <v>4108</v>
      </c>
      <c r="R214" s="3">
        <v>17</v>
      </c>
      <c r="S214" s="3">
        <v>4108</v>
      </c>
      <c r="T214" s="2">
        <v>46404</v>
      </c>
      <c r="U214" s="3">
        <v>3952</v>
      </c>
      <c r="X214" s="17">
        <v>4108</v>
      </c>
      <c r="Y214" s="23">
        <v>0</v>
      </c>
      <c r="Z214" s="24"/>
    </row>
    <row r="215" spans="1:26">
      <c r="A215" s="6" t="s">
        <v>14</v>
      </c>
      <c r="B215" t="s">
        <v>362</v>
      </c>
      <c r="C215" t="s">
        <v>1131</v>
      </c>
      <c r="D215" s="4">
        <v>46185</v>
      </c>
      <c r="E215">
        <v>59000</v>
      </c>
      <c r="F215" s="5">
        <v>23130</v>
      </c>
      <c r="G215" s="5">
        <v>35870</v>
      </c>
      <c r="H215" t="s">
        <v>842</v>
      </c>
      <c r="I215" s="1">
        <v>46702</v>
      </c>
      <c r="J215" s="9">
        <v>107112171168</v>
      </c>
      <c r="K215" t="s">
        <v>1269</v>
      </c>
      <c r="L215" t="s">
        <v>844</v>
      </c>
      <c r="M215" t="s">
        <v>1270</v>
      </c>
      <c r="N215" s="1">
        <v>45725</v>
      </c>
      <c r="O215">
        <v>5</v>
      </c>
      <c r="P215" s="11">
        <v>46192</v>
      </c>
      <c r="Q215" s="17">
        <f t="shared" si="3"/>
        <v>1947</v>
      </c>
      <c r="R215" s="3">
        <v>3</v>
      </c>
      <c r="S215" s="3">
        <v>2035.5</v>
      </c>
      <c r="T215" s="2">
        <v>46724</v>
      </c>
      <c r="U215" s="3">
        <v>551</v>
      </c>
      <c r="X215" s="17">
        <v>1947</v>
      </c>
      <c r="Y215" s="23">
        <v>0</v>
      </c>
      <c r="Z215" s="24"/>
    </row>
    <row r="216" spans="1:26">
      <c r="A216" s="6" t="s">
        <v>14</v>
      </c>
      <c r="B216" t="s">
        <v>71</v>
      </c>
      <c r="C216" t="s">
        <v>846</v>
      </c>
      <c r="D216" s="4">
        <v>46185</v>
      </c>
      <c r="E216">
        <v>74625</v>
      </c>
      <c r="F216" s="5">
        <v>28262.5</v>
      </c>
      <c r="G216" s="5">
        <v>46362.5</v>
      </c>
      <c r="H216" t="s">
        <v>842</v>
      </c>
      <c r="I216" s="1">
        <v>46763</v>
      </c>
      <c r="J216" s="9">
        <v>101129228935</v>
      </c>
      <c r="K216" t="s">
        <v>1271</v>
      </c>
      <c r="L216" t="s">
        <v>848</v>
      </c>
      <c r="M216" t="s">
        <v>1272</v>
      </c>
      <c r="N216" s="1">
        <v>45731</v>
      </c>
      <c r="O216">
        <v>5</v>
      </c>
      <c r="P216" s="11">
        <v>46192</v>
      </c>
      <c r="Q216" s="17">
        <f t="shared" si="3"/>
        <v>0</v>
      </c>
      <c r="R216" s="3">
        <v>3</v>
      </c>
      <c r="S216" s="3">
        <v>2415</v>
      </c>
      <c r="T216" s="2">
        <v>46786</v>
      </c>
      <c r="U216" s="3">
        <v>162.5</v>
      </c>
      <c r="X216" s="17">
        <v>0</v>
      </c>
      <c r="Y216" s="23">
        <v>0</v>
      </c>
      <c r="Z216" s="24"/>
    </row>
    <row r="217" spans="1:26">
      <c r="A217" s="6" t="s">
        <v>14</v>
      </c>
      <c r="B217" t="s">
        <v>765</v>
      </c>
      <c r="C217" t="s">
        <v>880</v>
      </c>
      <c r="D217" s="4">
        <v>46185</v>
      </c>
      <c r="E217">
        <v>118145</v>
      </c>
      <c r="F217" s="5">
        <v>36894</v>
      </c>
      <c r="G217" s="5">
        <v>81251</v>
      </c>
      <c r="H217" t="s">
        <v>842</v>
      </c>
      <c r="I217" s="1">
        <v>46794</v>
      </c>
      <c r="J217" s="9">
        <v>107112973302</v>
      </c>
      <c r="K217" t="s">
        <v>1273</v>
      </c>
      <c r="L217" t="s">
        <v>844</v>
      </c>
      <c r="M217" t="s">
        <v>1274</v>
      </c>
      <c r="N217" s="1">
        <v>45800</v>
      </c>
      <c r="O217">
        <v>5</v>
      </c>
      <c r="P217" s="11">
        <v>46192</v>
      </c>
      <c r="Q217" s="17">
        <f t="shared" si="3"/>
        <v>0</v>
      </c>
      <c r="R217" s="3">
        <v>24</v>
      </c>
      <c r="S217" s="3">
        <v>3960</v>
      </c>
      <c r="T217" s="2">
        <v>46836</v>
      </c>
      <c r="U217" s="3">
        <v>665</v>
      </c>
      <c r="X217" s="17">
        <v>0</v>
      </c>
      <c r="Y217" s="23">
        <v>0</v>
      </c>
      <c r="Z217" s="24"/>
    </row>
    <row r="218" spans="1:26">
      <c r="A218" s="6" t="s">
        <v>14</v>
      </c>
      <c r="B218" t="s">
        <v>117</v>
      </c>
      <c r="C218" t="s">
        <v>846</v>
      </c>
      <c r="D218" s="4">
        <v>46185</v>
      </c>
      <c r="E218">
        <v>73000</v>
      </c>
      <c r="F218" s="5">
        <v>27720</v>
      </c>
      <c r="G218" s="5">
        <v>45280</v>
      </c>
      <c r="H218" t="s">
        <v>842</v>
      </c>
      <c r="I218" s="1">
        <v>46732</v>
      </c>
      <c r="J218" s="9">
        <v>101129508743</v>
      </c>
      <c r="K218" t="s">
        <v>1275</v>
      </c>
      <c r="L218" t="s">
        <v>848</v>
      </c>
      <c r="M218" t="s">
        <v>1276</v>
      </c>
      <c r="N218" s="1">
        <v>45739</v>
      </c>
      <c r="O218">
        <v>5</v>
      </c>
      <c r="P218" s="11">
        <v>46192</v>
      </c>
      <c r="Q218" s="17">
        <f t="shared" si="3"/>
        <v>2520</v>
      </c>
      <c r="R218" s="3">
        <v>17</v>
      </c>
      <c r="S218" s="3">
        <v>2520</v>
      </c>
      <c r="T218" s="2">
        <v>46738</v>
      </c>
      <c r="U218" s="3">
        <v>2440</v>
      </c>
      <c r="X218" s="17">
        <v>2520</v>
      </c>
      <c r="Y218" s="23">
        <v>0</v>
      </c>
      <c r="Z218" s="24"/>
    </row>
    <row r="219" spans="1:26">
      <c r="A219" s="6" t="s">
        <v>14</v>
      </c>
      <c r="B219" t="s">
        <v>657</v>
      </c>
      <c r="C219" t="s">
        <v>853</v>
      </c>
      <c r="D219" s="4">
        <v>46185</v>
      </c>
      <c r="E219">
        <v>119100</v>
      </c>
      <c r="F219" s="5">
        <v>29496</v>
      </c>
      <c r="G219" s="5">
        <v>89604</v>
      </c>
      <c r="H219" t="s">
        <v>842</v>
      </c>
      <c r="I219" s="1">
        <v>46823</v>
      </c>
      <c r="J219" s="14">
        <v>107114866922</v>
      </c>
      <c r="K219" t="s">
        <v>1277</v>
      </c>
      <c r="L219" t="s">
        <v>844</v>
      </c>
      <c r="M219" t="s">
        <v>1278</v>
      </c>
      <c r="N219" s="1">
        <v>45778</v>
      </c>
      <c r="O219">
        <v>5</v>
      </c>
      <c r="P219" s="11">
        <v>46192</v>
      </c>
      <c r="Q219" s="17">
        <f t="shared" si="3"/>
        <v>0</v>
      </c>
      <c r="R219" s="3">
        <v>3</v>
      </c>
      <c r="S219" s="3">
        <v>3834</v>
      </c>
      <c r="T219" s="2">
        <v>46846</v>
      </c>
      <c r="U219" s="3">
        <v>1920</v>
      </c>
      <c r="X219" s="17">
        <v>0</v>
      </c>
      <c r="Y219" s="23">
        <v>0</v>
      </c>
      <c r="Z219" s="24"/>
    </row>
    <row r="220" spans="1:26">
      <c r="A220" s="6" t="s">
        <v>14</v>
      </c>
      <c r="B220" t="s">
        <v>110</v>
      </c>
      <c r="C220" t="s">
        <v>890</v>
      </c>
      <c r="D220" s="4">
        <v>46185</v>
      </c>
      <c r="E220">
        <v>73000</v>
      </c>
      <c r="F220" s="5">
        <v>42230</v>
      </c>
      <c r="G220" s="5">
        <v>30770</v>
      </c>
      <c r="H220" t="s">
        <v>842</v>
      </c>
      <c r="I220" s="1">
        <v>46398</v>
      </c>
      <c r="J220" s="9">
        <v>101129460405</v>
      </c>
      <c r="K220" t="s">
        <v>1194</v>
      </c>
      <c r="L220" t="s">
        <v>848</v>
      </c>
      <c r="M220" t="s">
        <v>1279</v>
      </c>
      <c r="N220" s="1">
        <v>45753</v>
      </c>
      <c r="O220">
        <v>3</v>
      </c>
      <c r="P220" s="11">
        <v>46192</v>
      </c>
      <c r="Q220" s="17">
        <f t="shared" si="3"/>
        <v>0</v>
      </c>
      <c r="R220" s="3">
        <v>31</v>
      </c>
      <c r="S220" s="3">
        <v>3901</v>
      </c>
      <c r="T220" s="2">
        <v>46418</v>
      </c>
      <c r="U220" s="3">
        <v>3463</v>
      </c>
      <c r="X220" s="17">
        <v>0</v>
      </c>
      <c r="Y220" s="23">
        <v>0</v>
      </c>
      <c r="Z220" s="24"/>
    </row>
    <row r="221" spans="1:26">
      <c r="A221" s="6" t="s">
        <v>14</v>
      </c>
      <c r="B221" t="s">
        <v>69</v>
      </c>
      <c r="C221" t="s">
        <v>846</v>
      </c>
      <c r="D221" s="4">
        <v>46185</v>
      </c>
      <c r="E221">
        <v>95231</v>
      </c>
      <c r="F221" s="5">
        <v>27900</v>
      </c>
      <c r="G221" s="5">
        <v>67331</v>
      </c>
      <c r="H221" t="s">
        <v>842</v>
      </c>
      <c r="I221" s="1">
        <v>46915</v>
      </c>
      <c r="J221" s="9">
        <v>101129185442</v>
      </c>
      <c r="K221" t="s">
        <v>1280</v>
      </c>
      <c r="L221" t="s">
        <v>848</v>
      </c>
      <c r="M221" t="s">
        <v>1281</v>
      </c>
      <c r="N221" s="1">
        <v>45756</v>
      </c>
      <c r="O221">
        <v>5</v>
      </c>
      <c r="P221" s="11">
        <v>46192</v>
      </c>
      <c r="Q221" s="17">
        <f t="shared" si="3"/>
        <v>0</v>
      </c>
      <c r="R221" s="3">
        <v>31</v>
      </c>
      <c r="S221" s="3">
        <v>2800</v>
      </c>
      <c r="T221" s="2">
        <v>46934</v>
      </c>
      <c r="U221" s="3">
        <v>131</v>
      </c>
      <c r="X221" s="17">
        <v>0</v>
      </c>
      <c r="Y221" s="23">
        <v>0</v>
      </c>
      <c r="Z221" s="24"/>
    </row>
    <row r="222" spans="1:26">
      <c r="A222" s="6" t="s">
        <v>14</v>
      </c>
      <c r="B222" t="s">
        <v>375</v>
      </c>
      <c r="C222" t="s">
        <v>864</v>
      </c>
      <c r="D222" s="4">
        <v>46185</v>
      </c>
      <c r="E222">
        <v>77033</v>
      </c>
      <c r="F222" s="5">
        <v>31824</v>
      </c>
      <c r="G222" s="5">
        <v>45209</v>
      </c>
      <c r="H222" t="s">
        <v>842</v>
      </c>
      <c r="I222" s="1">
        <v>46732</v>
      </c>
      <c r="J222" s="9">
        <v>107112209965</v>
      </c>
      <c r="K222" t="s">
        <v>1282</v>
      </c>
      <c r="L222" t="s">
        <v>844</v>
      </c>
      <c r="M222" t="s">
        <v>1283</v>
      </c>
      <c r="N222" s="1">
        <v>45723</v>
      </c>
      <c r="O222">
        <v>5</v>
      </c>
      <c r="P222" s="11">
        <v>46192</v>
      </c>
      <c r="Q222" s="17">
        <f t="shared" si="3"/>
        <v>0</v>
      </c>
      <c r="R222" s="3">
        <v>24</v>
      </c>
      <c r="S222" s="3">
        <v>2652</v>
      </c>
      <c r="T222" s="2">
        <v>46745</v>
      </c>
      <c r="U222" s="3">
        <v>125</v>
      </c>
      <c r="X222" s="17">
        <v>0</v>
      </c>
      <c r="Y222" s="23">
        <v>0</v>
      </c>
      <c r="Z222" s="24"/>
    </row>
    <row r="223" spans="1:26">
      <c r="A223" s="6" t="s">
        <v>14</v>
      </c>
      <c r="B223" t="s">
        <v>294</v>
      </c>
      <c r="C223" t="s">
        <v>890</v>
      </c>
      <c r="D223" s="4">
        <v>46185</v>
      </c>
      <c r="E223">
        <v>89000</v>
      </c>
      <c r="F223" s="5">
        <v>51000</v>
      </c>
      <c r="G223" s="5">
        <v>38000</v>
      </c>
      <c r="H223" t="s">
        <v>842</v>
      </c>
      <c r="I223" s="1">
        <v>46457</v>
      </c>
      <c r="J223" s="9">
        <v>101131013018</v>
      </c>
      <c r="K223" t="s">
        <v>1284</v>
      </c>
      <c r="L223" t="s">
        <v>848</v>
      </c>
      <c r="M223" t="s">
        <v>1285</v>
      </c>
      <c r="N223" s="1">
        <v>45809</v>
      </c>
      <c r="O223">
        <v>3</v>
      </c>
      <c r="P223" s="11">
        <v>46192</v>
      </c>
      <c r="Q223" s="17">
        <f t="shared" si="3"/>
        <v>0</v>
      </c>
      <c r="R223" s="3">
        <v>17</v>
      </c>
      <c r="S223" s="3">
        <v>4824</v>
      </c>
      <c r="T223" s="2">
        <v>46463</v>
      </c>
      <c r="U223" s="3">
        <v>4232</v>
      </c>
      <c r="X223" s="17">
        <v>0</v>
      </c>
      <c r="Y223" s="23">
        <v>0</v>
      </c>
      <c r="Z223" s="24"/>
    </row>
    <row r="224" spans="1:26">
      <c r="A224" s="6" t="s">
        <v>14</v>
      </c>
      <c r="B224" t="s">
        <v>523</v>
      </c>
      <c r="C224" t="s">
        <v>880</v>
      </c>
      <c r="D224" s="4">
        <v>46185</v>
      </c>
      <c r="E224">
        <v>31400</v>
      </c>
      <c r="F224" s="5">
        <v>19305</v>
      </c>
      <c r="G224" s="5">
        <v>12095</v>
      </c>
      <c r="H224" t="s">
        <v>842</v>
      </c>
      <c r="I224" s="1">
        <v>46367</v>
      </c>
      <c r="J224" s="9">
        <v>107112576388</v>
      </c>
      <c r="K224" t="s">
        <v>1013</v>
      </c>
      <c r="L224" t="s">
        <v>844</v>
      </c>
      <c r="M224" t="s">
        <v>1286</v>
      </c>
      <c r="N224" s="1">
        <v>45759</v>
      </c>
      <c r="O224">
        <v>3</v>
      </c>
      <c r="P224" s="11">
        <v>46192</v>
      </c>
      <c r="Q224" s="17">
        <f t="shared" si="3"/>
        <v>0</v>
      </c>
      <c r="R224" s="3">
        <v>10</v>
      </c>
      <c r="S224" s="3">
        <v>1755</v>
      </c>
      <c r="T224" s="2">
        <v>46397</v>
      </c>
      <c r="U224" s="3">
        <v>1565</v>
      </c>
      <c r="X224" s="17">
        <v>0</v>
      </c>
      <c r="Y224" s="23">
        <v>0</v>
      </c>
      <c r="Z224" s="24"/>
    </row>
    <row r="225" spans="1:26">
      <c r="A225" s="6" t="s">
        <v>14</v>
      </c>
      <c r="B225" t="s">
        <v>810</v>
      </c>
      <c r="C225" t="s">
        <v>1287</v>
      </c>
      <c r="D225" s="4">
        <v>46185</v>
      </c>
      <c r="E225">
        <v>128888</v>
      </c>
      <c r="F225" s="5">
        <v>38404</v>
      </c>
      <c r="G225" s="5">
        <v>90484</v>
      </c>
      <c r="H225" t="s">
        <v>842</v>
      </c>
      <c r="I225" s="1">
        <v>46763</v>
      </c>
      <c r="J225" s="9">
        <v>107113072594</v>
      </c>
      <c r="K225" t="s">
        <v>1288</v>
      </c>
      <c r="L225" t="s">
        <v>844</v>
      </c>
      <c r="M225" t="s">
        <v>1289</v>
      </c>
      <c r="N225" s="1">
        <v>45817</v>
      </c>
      <c r="O225">
        <v>5</v>
      </c>
      <c r="P225" s="11">
        <v>46192</v>
      </c>
      <c r="Q225" s="17">
        <f t="shared" si="3"/>
        <v>4503</v>
      </c>
      <c r="R225" s="3">
        <v>3</v>
      </c>
      <c r="S225" s="3">
        <v>4503</v>
      </c>
      <c r="T225" s="2">
        <v>46815</v>
      </c>
      <c r="U225" s="3">
        <v>424</v>
      </c>
      <c r="X225" s="17">
        <v>4503</v>
      </c>
      <c r="Y225" s="23">
        <v>0</v>
      </c>
      <c r="Z225" s="24"/>
    </row>
    <row r="226" spans="1:26">
      <c r="A226" s="6" t="s">
        <v>14</v>
      </c>
      <c r="B226" t="s">
        <v>481</v>
      </c>
      <c r="C226" t="s">
        <v>887</v>
      </c>
      <c r="D226" s="4">
        <v>46185</v>
      </c>
      <c r="E226">
        <v>141000</v>
      </c>
      <c r="F226" s="5">
        <v>55776</v>
      </c>
      <c r="G226" s="5">
        <v>85224</v>
      </c>
      <c r="H226" t="s">
        <v>842</v>
      </c>
      <c r="I226" s="1">
        <v>46702</v>
      </c>
      <c r="J226" s="9">
        <v>107112496680</v>
      </c>
      <c r="K226" t="s">
        <v>1290</v>
      </c>
      <c r="L226" t="s">
        <v>844</v>
      </c>
      <c r="M226" t="s">
        <v>1291</v>
      </c>
      <c r="N226" s="1">
        <v>45747</v>
      </c>
      <c r="O226">
        <v>5</v>
      </c>
      <c r="P226" s="11">
        <v>46192</v>
      </c>
      <c r="Q226" s="17">
        <f t="shared" si="3"/>
        <v>0</v>
      </c>
      <c r="R226" s="3">
        <v>17</v>
      </c>
      <c r="S226" s="3">
        <v>4636</v>
      </c>
      <c r="T226" s="2">
        <v>46738</v>
      </c>
      <c r="U226" s="3">
        <v>4216</v>
      </c>
      <c r="X226" s="17">
        <v>0</v>
      </c>
      <c r="Y226" s="23">
        <v>0</v>
      </c>
      <c r="Z226" s="24"/>
    </row>
    <row r="227" spans="1:26">
      <c r="A227" s="6" t="s">
        <v>14</v>
      </c>
      <c r="B227" t="s">
        <v>796</v>
      </c>
      <c r="C227" t="s">
        <v>1179</v>
      </c>
      <c r="D227" s="4">
        <v>46185</v>
      </c>
      <c r="E227">
        <v>80000</v>
      </c>
      <c r="F227" s="5">
        <v>24644</v>
      </c>
      <c r="G227" s="5">
        <v>55356</v>
      </c>
      <c r="H227" t="s">
        <v>842</v>
      </c>
      <c r="I227" s="1">
        <v>46732</v>
      </c>
      <c r="J227" s="9">
        <v>107113030753</v>
      </c>
      <c r="K227" t="s">
        <v>1292</v>
      </c>
      <c r="L227" t="s">
        <v>844</v>
      </c>
      <c r="M227" t="s">
        <v>1293</v>
      </c>
      <c r="N227" s="1">
        <v>45806</v>
      </c>
      <c r="O227">
        <v>5</v>
      </c>
      <c r="P227" s="11">
        <v>46192</v>
      </c>
      <c r="Q227" s="17">
        <f t="shared" si="3"/>
        <v>0</v>
      </c>
      <c r="R227" s="3">
        <v>17</v>
      </c>
      <c r="S227" s="3">
        <v>2808</v>
      </c>
      <c r="T227" s="2">
        <v>46769</v>
      </c>
      <c r="U227" s="3">
        <v>2004</v>
      </c>
      <c r="X227" s="17">
        <v>0</v>
      </c>
      <c r="Y227" s="23">
        <v>0</v>
      </c>
      <c r="Z227" s="24"/>
    </row>
    <row r="228" spans="1:26">
      <c r="A228" s="6" t="s">
        <v>14</v>
      </c>
      <c r="B228" t="s">
        <v>399</v>
      </c>
      <c r="C228" t="s">
        <v>853</v>
      </c>
      <c r="D228" s="4">
        <v>46185</v>
      </c>
      <c r="E228">
        <v>91000</v>
      </c>
      <c r="F228" s="5">
        <v>33000</v>
      </c>
      <c r="G228" s="5">
        <v>58000</v>
      </c>
      <c r="H228" t="s">
        <v>842</v>
      </c>
      <c r="I228" s="1">
        <v>46732</v>
      </c>
      <c r="J228" s="9">
        <v>107112290191</v>
      </c>
      <c r="K228" t="s">
        <v>1294</v>
      </c>
      <c r="L228" t="s">
        <v>844</v>
      </c>
      <c r="M228" t="s">
        <v>1295</v>
      </c>
      <c r="N228" s="1">
        <v>45729</v>
      </c>
      <c r="O228">
        <v>5</v>
      </c>
      <c r="P228" s="11">
        <v>46192</v>
      </c>
      <c r="Q228" s="17">
        <f t="shared" si="3"/>
        <v>3080</v>
      </c>
      <c r="R228" s="3">
        <v>3</v>
      </c>
      <c r="S228" s="3">
        <v>3080</v>
      </c>
      <c r="T228" s="2">
        <v>46755</v>
      </c>
      <c r="U228" s="3">
        <v>1680</v>
      </c>
      <c r="X228" s="17">
        <v>3080</v>
      </c>
      <c r="Y228" s="23">
        <v>0</v>
      </c>
      <c r="Z228" s="24"/>
    </row>
    <row r="229" spans="1:26">
      <c r="A229" s="6" t="s">
        <v>14</v>
      </c>
      <c r="B229" t="s">
        <v>123</v>
      </c>
      <c r="C229" t="s">
        <v>890</v>
      </c>
      <c r="D229" s="4">
        <v>46185</v>
      </c>
      <c r="E229">
        <v>78148</v>
      </c>
      <c r="F229" s="5">
        <v>30075</v>
      </c>
      <c r="G229" s="5">
        <v>48073</v>
      </c>
      <c r="H229" t="s">
        <v>842</v>
      </c>
      <c r="I229" s="1">
        <v>46763</v>
      </c>
      <c r="J229" s="9">
        <v>101129550929</v>
      </c>
      <c r="K229" t="s">
        <v>1296</v>
      </c>
      <c r="L229" t="s">
        <v>848</v>
      </c>
      <c r="M229" t="s">
        <v>1297</v>
      </c>
      <c r="N229" s="1">
        <v>45736</v>
      </c>
      <c r="O229">
        <v>5</v>
      </c>
      <c r="P229" s="11">
        <v>46192</v>
      </c>
      <c r="Q229" s="17">
        <f t="shared" si="3"/>
        <v>0</v>
      </c>
      <c r="R229" s="3">
        <v>3</v>
      </c>
      <c r="S229" s="3">
        <v>2628</v>
      </c>
      <c r="T229" s="2">
        <v>46755</v>
      </c>
      <c r="U229" s="3">
        <v>145</v>
      </c>
      <c r="X229" s="17">
        <v>0</v>
      </c>
      <c r="Y229" s="23">
        <v>0</v>
      </c>
      <c r="Z229" s="24"/>
    </row>
    <row r="230" spans="1:26">
      <c r="A230" s="6" t="s">
        <v>14</v>
      </c>
      <c r="B230" t="s">
        <v>252</v>
      </c>
      <c r="C230" t="s">
        <v>890</v>
      </c>
      <c r="D230" s="4">
        <v>46185</v>
      </c>
      <c r="E230">
        <v>74625</v>
      </c>
      <c r="F230" s="5">
        <v>24090</v>
      </c>
      <c r="G230" s="5">
        <v>50535</v>
      </c>
      <c r="H230" t="s">
        <v>842</v>
      </c>
      <c r="I230" s="1">
        <v>46823</v>
      </c>
      <c r="J230" s="9">
        <v>101130614595</v>
      </c>
      <c r="K230" t="s">
        <v>1298</v>
      </c>
      <c r="L230" t="s">
        <v>848</v>
      </c>
      <c r="M230" t="s">
        <v>1299</v>
      </c>
      <c r="N230" s="1">
        <v>45803</v>
      </c>
      <c r="O230">
        <v>5</v>
      </c>
      <c r="P230" s="11">
        <v>46192</v>
      </c>
      <c r="Q230" s="17">
        <f t="shared" si="3"/>
        <v>2409</v>
      </c>
      <c r="R230" s="3">
        <v>17</v>
      </c>
      <c r="S230" s="3">
        <v>2409</v>
      </c>
      <c r="T230" s="2">
        <v>46829</v>
      </c>
      <c r="U230" s="3">
        <v>2355</v>
      </c>
      <c r="X230" s="17">
        <v>2409</v>
      </c>
      <c r="Y230" s="23">
        <v>0</v>
      </c>
      <c r="Z230" s="24"/>
    </row>
    <row r="231" spans="1:26">
      <c r="A231" s="6" t="s">
        <v>14</v>
      </c>
      <c r="B231" t="s">
        <v>729</v>
      </c>
      <c r="C231" t="s">
        <v>864</v>
      </c>
      <c r="D231" s="4">
        <v>46185</v>
      </c>
      <c r="E231">
        <v>90580</v>
      </c>
      <c r="F231" s="5">
        <v>30532</v>
      </c>
      <c r="G231" s="5">
        <v>60048</v>
      </c>
      <c r="H231" t="s">
        <v>842</v>
      </c>
      <c r="I231" s="1">
        <v>46732</v>
      </c>
      <c r="J231" s="9">
        <v>107112891513</v>
      </c>
      <c r="K231" t="s">
        <v>1300</v>
      </c>
      <c r="L231" t="s">
        <v>844</v>
      </c>
      <c r="M231" t="s">
        <v>1301</v>
      </c>
      <c r="N231" s="1">
        <v>45796</v>
      </c>
      <c r="O231">
        <v>5</v>
      </c>
      <c r="P231" s="11">
        <v>46192</v>
      </c>
      <c r="Q231" s="17">
        <f t="shared" si="3"/>
        <v>0</v>
      </c>
      <c r="R231" s="3">
        <v>17</v>
      </c>
      <c r="S231" s="3">
        <v>3168</v>
      </c>
      <c r="T231" s="2">
        <v>46769</v>
      </c>
      <c r="U231" s="3">
        <v>3024</v>
      </c>
      <c r="X231" s="17">
        <v>0</v>
      </c>
      <c r="Y231" s="23">
        <v>0</v>
      </c>
      <c r="Z231" s="24"/>
    </row>
    <row r="232" spans="1:26">
      <c r="A232" s="6" t="s">
        <v>14</v>
      </c>
      <c r="B232" t="s">
        <v>640</v>
      </c>
      <c r="C232" t="s">
        <v>907</v>
      </c>
      <c r="D232" s="4">
        <v>46185</v>
      </c>
      <c r="E232">
        <v>76300</v>
      </c>
      <c r="F232" s="5">
        <v>27000</v>
      </c>
      <c r="G232" s="5">
        <v>49300</v>
      </c>
      <c r="H232" t="s">
        <v>842</v>
      </c>
      <c r="I232" s="1">
        <v>46763</v>
      </c>
      <c r="J232" s="9">
        <v>107112717053</v>
      </c>
      <c r="K232" t="s">
        <v>1302</v>
      </c>
      <c r="L232" t="s">
        <v>844</v>
      </c>
      <c r="M232" t="s">
        <v>1303</v>
      </c>
      <c r="N232" s="1">
        <v>45773</v>
      </c>
      <c r="O232">
        <v>5</v>
      </c>
      <c r="P232" s="11">
        <v>46192</v>
      </c>
      <c r="Q232" s="17">
        <f t="shared" si="3"/>
        <v>0</v>
      </c>
      <c r="R232" s="3">
        <v>17</v>
      </c>
      <c r="S232" s="3">
        <v>2520</v>
      </c>
      <c r="T232" s="2">
        <v>46800</v>
      </c>
      <c r="U232" s="3">
        <v>1420</v>
      </c>
      <c r="X232" s="17">
        <v>0</v>
      </c>
      <c r="Y232" s="23">
        <v>0</v>
      </c>
      <c r="Z232" s="24"/>
    </row>
    <row r="233" spans="1:26">
      <c r="A233" s="6" t="s">
        <v>14</v>
      </c>
      <c r="B233" t="s">
        <v>588</v>
      </c>
      <c r="C233" t="s">
        <v>907</v>
      </c>
      <c r="D233" s="4">
        <v>46185</v>
      </c>
      <c r="E233">
        <v>192989</v>
      </c>
      <c r="F233" s="5">
        <v>59616</v>
      </c>
      <c r="G233" s="5">
        <v>133373</v>
      </c>
      <c r="H233" t="s">
        <v>842</v>
      </c>
      <c r="I233" s="1">
        <v>46794</v>
      </c>
      <c r="J233" s="9">
        <v>107112652329</v>
      </c>
      <c r="K233" t="s">
        <v>1304</v>
      </c>
      <c r="L233" t="s">
        <v>844</v>
      </c>
      <c r="M233" t="s">
        <v>1305</v>
      </c>
      <c r="N233" s="1">
        <v>45766</v>
      </c>
      <c r="O233">
        <v>5</v>
      </c>
      <c r="P233" s="11">
        <v>46192</v>
      </c>
      <c r="Q233" s="17">
        <f t="shared" si="3"/>
        <v>6624</v>
      </c>
      <c r="R233" s="3">
        <v>3</v>
      </c>
      <c r="S233" s="3">
        <v>6624</v>
      </c>
      <c r="T233" s="2">
        <v>46815</v>
      </c>
      <c r="U233" s="3">
        <v>893</v>
      </c>
      <c r="X233" s="17">
        <v>6624</v>
      </c>
      <c r="Y233" s="23">
        <v>0</v>
      </c>
      <c r="Z233" s="24"/>
    </row>
    <row r="234" spans="1:26">
      <c r="A234" s="6" t="s">
        <v>14</v>
      </c>
      <c r="B234" t="s">
        <v>221</v>
      </c>
      <c r="C234" t="s">
        <v>850</v>
      </c>
      <c r="D234" s="4">
        <v>46185</v>
      </c>
      <c r="E234">
        <v>73000</v>
      </c>
      <c r="F234" s="5">
        <v>26216.67</v>
      </c>
      <c r="G234" s="5">
        <v>46783.33</v>
      </c>
      <c r="H234" t="s">
        <v>842</v>
      </c>
      <c r="I234" s="1">
        <v>46794</v>
      </c>
      <c r="J234" s="9">
        <v>101130331302</v>
      </c>
      <c r="K234" t="s">
        <v>1306</v>
      </c>
      <c r="L234" t="s">
        <v>848</v>
      </c>
      <c r="M234" t="s">
        <v>1307</v>
      </c>
      <c r="N234" s="1">
        <v>45776</v>
      </c>
      <c r="O234">
        <v>5</v>
      </c>
      <c r="P234" s="11">
        <v>46192</v>
      </c>
      <c r="Q234" s="17">
        <f t="shared" si="3"/>
        <v>2420</v>
      </c>
      <c r="R234" s="3">
        <v>17</v>
      </c>
      <c r="S234" s="3">
        <v>2420</v>
      </c>
      <c r="T234" s="2">
        <v>46800</v>
      </c>
      <c r="U234" s="3">
        <v>803.33000000000197</v>
      </c>
      <c r="X234" s="17">
        <v>2420</v>
      </c>
      <c r="Y234" s="23">
        <v>0</v>
      </c>
      <c r="Z234" s="24"/>
    </row>
    <row r="235" spans="1:26">
      <c r="A235" s="6" t="s">
        <v>14</v>
      </c>
      <c r="B235" t="s">
        <v>201</v>
      </c>
      <c r="C235" t="s">
        <v>850</v>
      </c>
      <c r="D235" s="4">
        <v>46185</v>
      </c>
      <c r="E235">
        <v>81975</v>
      </c>
      <c r="F235" s="5">
        <v>30696.67</v>
      </c>
      <c r="G235" s="5">
        <v>51278.33</v>
      </c>
      <c r="H235" t="s">
        <v>842</v>
      </c>
      <c r="I235" s="1">
        <v>46763</v>
      </c>
      <c r="J235" s="9">
        <v>101130183387</v>
      </c>
      <c r="K235" t="s">
        <v>1308</v>
      </c>
      <c r="L235" t="s">
        <v>848</v>
      </c>
      <c r="M235" t="s">
        <v>1309</v>
      </c>
      <c r="N235" s="1">
        <v>45773</v>
      </c>
      <c r="O235">
        <v>5</v>
      </c>
      <c r="P235" s="11">
        <v>46192</v>
      </c>
      <c r="Q235" s="17">
        <f t="shared" si="3"/>
        <v>0</v>
      </c>
      <c r="R235" s="3">
        <v>10</v>
      </c>
      <c r="S235" s="3">
        <v>2814</v>
      </c>
      <c r="T235" s="2">
        <v>46762</v>
      </c>
      <c r="U235" s="3">
        <v>626.33000000000197</v>
      </c>
      <c r="X235" s="17">
        <v>0</v>
      </c>
      <c r="Y235" s="23">
        <v>0</v>
      </c>
      <c r="Z235" s="24"/>
    </row>
    <row r="236" spans="1:26">
      <c r="A236" s="6" t="s">
        <v>14</v>
      </c>
      <c r="B236" t="s">
        <v>16</v>
      </c>
      <c r="C236" t="s">
        <v>861</v>
      </c>
      <c r="D236" s="4">
        <v>46185</v>
      </c>
      <c r="E236">
        <v>97419</v>
      </c>
      <c r="F236" s="5">
        <v>62700</v>
      </c>
      <c r="G236" s="5">
        <v>34719</v>
      </c>
      <c r="H236" t="s">
        <v>842</v>
      </c>
      <c r="I236" s="1">
        <v>46367</v>
      </c>
      <c r="J236" s="9">
        <v>101127075900</v>
      </c>
      <c r="K236" t="s">
        <v>1310</v>
      </c>
      <c r="L236" t="s">
        <v>848</v>
      </c>
      <c r="M236" t="s">
        <v>1311</v>
      </c>
      <c r="N236" s="1">
        <v>45592</v>
      </c>
      <c r="O236">
        <v>3</v>
      </c>
      <c r="P236" s="11">
        <v>46192</v>
      </c>
      <c r="Q236" s="17">
        <f t="shared" si="3"/>
        <v>5830</v>
      </c>
      <c r="R236" s="3">
        <v>24</v>
      </c>
      <c r="S236" s="3">
        <v>5830</v>
      </c>
      <c r="T236" s="2">
        <v>46380</v>
      </c>
      <c r="U236" s="3">
        <v>4139</v>
      </c>
      <c r="X236" s="17">
        <v>5830</v>
      </c>
      <c r="Y236" s="23">
        <v>0</v>
      </c>
      <c r="Z236" s="24"/>
    </row>
    <row r="237" spans="1:26">
      <c r="A237" s="6" t="s">
        <v>14</v>
      </c>
      <c r="B237" t="s">
        <v>665</v>
      </c>
      <c r="C237" t="s">
        <v>880</v>
      </c>
      <c r="D237" s="4">
        <v>46185</v>
      </c>
      <c r="E237">
        <v>30538</v>
      </c>
      <c r="F237" s="5">
        <v>19635</v>
      </c>
      <c r="G237" s="5">
        <v>10903</v>
      </c>
      <c r="H237" t="s">
        <v>842</v>
      </c>
      <c r="I237" s="1">
        <v>46337</v>
      </c>
      <c r="J237" s="9">
        <v>107112775650</v>
      </c>
      <c r="K237" t="s">
        <v>1312</v>
      </c>
      <c r="L237" t="s">
        <v>844</v>
      </c>
      <c r="M237" t="s">
        <v>1313</v>
      </c>
      <c r="N237" s="1">
        <v>45781</v>
      </c>
      <c r="O237">
        <v>3</v>
      </c>
      <c r="P237" s="11">
        <v>46192</v>
      </c>
      <c r="Q237" s="17">
        <f t="shared" si="3"/>
        <v>0</v>
      </c>
      <c r="R237" s="3">
        <v>17</v>
      </c>
      <c r="S237" s="3">
        <v>1815</v>
      </c>
      <c r="T237" s="2">
        <v>46373</v>
      </c>
      <c r="U237" s="3">
        <v>1498</v>
      </c>
      <c r="X237" s="17">
        <v>0</v>
      </c>
      <c r="Y237" s="23">
        <v>0</v>
      </c>
      <c r="Z237" s="24"/>
    </row>
    <row r="238" spans="1:26">
      <c r="A238" s="6" t="s">
        <v>14</v>
      </c>
      <c r="B238" t="s">
        <v>405</v>
      </c>
      <c r="C238" t="s">
        <v>856</v>
      </c>
      <c r="D238" s="4">
        <v>46185</v>
      </c>
      <c r="E238">
        <v>89337</v>
      </c>
      <c r="F238" s="5">
        <v>32310</v>
      </c>
      <c r="G238" s="5">
        <v>57027</v>
      </c>
      <c r="H238" t="s">
        <v>842</v>
      </c>
      <c r="I238" s="1">
        <v>46732</v>
      </c>
      <c r="J238" s="9">
        <v>107112299316</v>
      </c>
      <c r="K238" t="s">
        <v>1314</v>
      </c>
      <c r="L238" t="s">
        <v>844</v>
      </c>
      <c r="M238" t="s">
        <v>1315</v>
      </c>
      <c r="N238" s="1">
        <v>45731</v>
      </c>
      <c r="O238">
        <v>5</v>
      </c>
      <c r="P238" s="11">
        <v>46192</v>
      </c>
      <c r="Q238" s="17">
        <f t="shared" si="3"/>
        <v>0</v>
      </c>
      <c r="R238" s="3">
        <v>10</v>
      </c>
      <c r="S238" s="3">
        <v>3075</v>
      </c>
      <c r="T238" s="2">
        <v>46762</v>
      </c>
      <c r="U238" s="3">
        <v>162</v>
      </c>
      <c r="X238" s="17">
        <v>0</v>
      </c>
      <c r="Y238" s="23">
        <v>0</v>
      </c>
      <c r="Z238" s="24"/>
    </row>
    <row r="239" spans="1:26">
      <c r="A239" s="6" t="s">
        <v>14</v>
      </c>
      <c r="B239" t="s">
        <v>131</v>
      </c>
      <c r="C239" t="s">
        <v>910</v>
      </c>
      <c r="D239" s="4">
        <v>46185</v>
      </c>
      <c r="E239">
        <v>98883</v>
      </c>
      <c r="F239" s="5">
        <v>38350</v>
      </c>
      <c r="G239" s="5">
        <v>60533</v>
      </c>
      <c r="H239" t="s">
        <v>842</v>
      </c>
      <c r="I239" s="1">
        <v>46763</v>
      </c>
      <c r="J239" s="9">
        <v>101129616917</v>
      </c>
      <c r="K239" t="s">
        <v>1316</v>
      </c>
      <c r="L239" t="s">
        <v>848</v>
      </c>
      <c r="M239" t="s">
        <v>1317</v>
      </c>
      <c r="N239" s="1">
        <v>45746</v>
      </c>
      <c r="O239">
        <v>5</v>
      </c>
      <c r="P239" s="11">
        <v>46192</v>
      </c>
      <c r="Q239" s="17">
        <f t="shared" si="3"/>
        <v>2600</v>
      </c>
      <c r="R239" s="3">
        <v>17</v>
      </c>
      <c r="S239" s="3">
        <v>3250</v>
      </c>
      <c r="T239" s="2">
        <v>46769</v>
      </c>
      <c r="U239" s="3">
        <v>2033</v>
      </c>
      <c r="X239" s="17">
        <v>2600</v>
      </c>
      <c r="Y239" s="23">
        <v>0</v>
      </c>
      <c r="Z239" s="24"/>
    </row>
    <row r="240" spans="1:26">
      <c r="A240" s="6" t="s">
        <v>14</v>
      </c>
      <c r="B240" t="s">
        <v>535</v>
      </c>
      <c r="C240" t="s">
        <v>870</v>
      </c>
      <c r="D240" s="4">
        <v>46185</v>
      </c>
      <c r="E240">
        <v>98799</v>
      </c>
      <c r="F240" s="5">
        <v>34040</v>
      </c>
      <c r="G240" s="5">
        <v>64759</v>
      </c>
      <c r="H240" t="s">
        <v>842</v>
      </c>
      <c r="I240" s="1">
        <v>46763</v>
      </c>
      <c r="J240" s="9">
        <v>107112592344</v>
      </c>
      <c r="K240" t="s">
        <v>1318</v>
      </c>
      <c r="L240" t="s">
        <v>844</v>
      </c>
      <c r="M240" t="s">
        <v>1319</v>
      </c>
      <c r="N240" s="1">
        <v>45760</v>
      </c>
      <c r="O240">
        <v>5</v>
      </c>
      <c r="P240" s="11">
        <v>46192</v>
      </c>
      <c r="Q240" s="17">
        <f t="shared" si="3"/>
        <v>3256</v>
      </c>
      <c r="R240" s="3">
        <v>3</v>
      </c>
      <c r="S240" s="3">
        <v>3256</v>
      </c>
      <c r="T240" s="2">
        <v>46786</v>
      </c>
      <c r="U240" s="3">
        <v>2895</v>
      </c>
      <c r="X240" s="17">
        <v>3256</v>
      </c>
      <c r="Y240" s="23">
        <v>0</v>
      </c>
      <c r="Z240" s="24"/>
    </row>
    <row r="241" spans="1:26">
      <c r="A241" s="6" t="s">
        <v>14</v>
      </c>
      <c r="B241" t="s">
        <v>721</v>
      </c>
      <c r="C241" t="s">
        <v>841</v>
      </c>
      <c r="D241" s="4">
        <v>46185</v>
      </c>
      <c r="E241">
        <v>122888</v>
      </c>
      <c r="F241" s="5">
        <v>37219</v>
      </c>
      <c r="G241" s="5">
        <v>85669</v>
      </c>
      <c r="H241" t="s">
        <v>842</v>
      </c>
      <c r="I241" s="1">
        <v>46763</v>
      </c>
      <c r="J241" s="9">
        <v>107112884565</v>
      </c>
      <c r="K241" t="s">
        <v>1320</v>
      </c>
      <c r="L241" t="s">
        <v>844</v>
      </c>
      <c r="M241" t="s">
        <v>1321</v>
      </c>
      <c r="N241" s="1">
        <v>45801</v>
      </c>
      <c r="O241">
        <v>5</v>
      </c>
      <c r="P241" s="11">
        <v>46192</v>
      </c>
      <c r="Q241" s="17">
        <f t="shared" si="3"/>
        <v>4263</v>
      </c>
      <c r="R241" s="3">
        <v>3</v>
      </c>
      <c r="S241" s="3">
        <v>4263</v>
      </c>
      <c r="T241" s="2">
        <v>46815</v>
      </c>
      <c r="U241" s="3">
        <v>409</v>
      </c>
      <c r="X241" s="17">
        <v>4263</v>
      </c>
      <c r="Y241" s="23">
        <v>0</v>
      </c>
      <c r="Z241" s="24"/>
    </row>
    <row r="242" spans="1:26">
      <c r="A242" s="6" t="s">
        <v>14</v>
      </c>
      <c r="B242" t="s">
        <v>786</v>
      </c>
      <c r="C242" t="s">
        <v>853</v>
      </c>
      <c r="D242" s="4">
        <v>46185</v>
      </c>
      <c r="E242">
        <v>85000</v>
      </c>
      <c r="F242" s="5">
        <v>24120</v>
      </c>
      <c r="G242" s="5">
        <v>60880</v>
      </c>
      <c r="H242" t="s">
        <v>842</v>
      </c>
      <c r="I242" s="1">
        <v>46823</v>
      </c>
      <c r="J242" s="9">
        <v>107113013330</v>
      </c>
      <c r="K242" t="s">
        <v>1322</v>
      </c>
      <c r="L242" t="s">
        <v>844</v>
      </c>
      <c r="M242" t="s">
        <v>1323</v>
      </c>
      <c r="N242" s="1">
        <v>45804</v>
      </c>
      <c r="O242">
        <v>5</v>
      </c>
      <c r="P242" s="11">
        <v>46192</v>
      </c>
      <c r="Q242" s="17">
        <f t="shared" si="3"/>
        <v>2790</v>
      </c>
      <c r="R242" s="3">
        <v>3</v>
      </c>
      <c r="S242" s="3">
        <v>2790</v>
      </c>
      <c r="T242" s="2">
        <v>46846</v>
      </c>
      <c r="U242" s="3">
        <v>2290</v>
      </c>
      <c r="X242" s="17">
        <v>2790</v>
      </c>
      <c r="Y242" s="23">
        <v>0</v>
      </c>
      <c r="Z242" s="24"/>
    </row>
    <row r="243" spans="1:26">
      <c r="A243" s="6" t="s">
        <v>14</v>
      </c>
      <c r="B243" t="s">
        <v>609</v>
      </c>
      <c r="C243" t="s">
        <v>1140</v>
      </c>
      <c r="D243" s="4">
        <v>46185</v>
      </c>
      <c r="E243">
        <v>77000</v>
      </c>
      <c r="F243" s="5">
        <v>25080</v>
      </c>
      <c r="G243" s="5">
        <v>51920</v>
      </c>
      <c r="H243" t="s">
        <v>842</v>
      </c>
      <c r="I243" s="1">
        <v>46763</v>
      </c>
      <c r="J243" s="9">
        <v>107112664269</v>
      </c>
      <c r="K243" t="s">
        <v>1324</v>
      </c>
      <c r="L243" t="s">
        <v>844</v>
      </c>
      <c r="M243" t="s">
        <v>1325</v>
      </c>
      <c r="N243" s="1">
        <v>45768</v>
      </c>
      <c r="O243">
        <v>5</v>
      </c>
      <c r="P243" s="11">
        <v>46192</v>
      </c>
      <c r="Q243" s="17">
        <f t="shared" si="3"/>
        <v>2541</v>
      </c>
      <c r="R243" s="3">
        <v>17</v>
      </c>
      <c r="S243" s="3">
        <v>2541</v>
      </c>
      <c r="T243" s="2">
        <v>46800</v>
      </c>
      <c r="U243" s="3">
        <v>1991</v>
      </c>
      <c r="X243" s="17">
        <v>2541</v>
      </c>
      <c r="Y243" s="23">
        <v>0</v>
      </c>
      <c r="Z243" s="24"/>
    </row>
    <row r="244" spans="1:26">
      <c r="A244" s="6" t="s">
        <v>14</v>
      </c>
      <c r="B244" t="s">
        <v>55</v>
      </c>
      <c r="C244" t="s">
        <v>846</v>
      </c>
      <c r="D244" s="4">
        <v>46185</v>
      </c>
      <c r="E244">
        <v>90955</v>
      </c>
      <c r="F244" s="5">
        <v>33495</v>
      </c>
      <c r="G244" s="5">
        <v>57460</v>
      </c>
      <c r="H244" t="s">
        <v>842</v>
      </c>
      <c r="I244" s="1">
        <v>46763</v>
      </c>
      <c r="J244" s="9">
        <v>101128682630</v>
      </c>
      <c r="K244" t="s">
        <v>1326</v>
      </c>
      <c r="L244" t="s">
        <v>848</v>
      </c>
      <c r="M244" t="s">
        <v>1327</v>
      </c>
      <c r="N244" s="1">
        <v>45742</v>
      </c>
      <c r="O244">
        <v>5</v>
      </c>
      <c r="P244" s="11">
        <v>46192</v>
      </c>
      <c r="Q244" s="17">
        <f t="shared" si="3"/>
        <v>3045</v>
      </c>
      <c r="R244" s="3">
        <v>17</v>
      </c>
      <c r="S244" s="3">
        <v>3045</v>
      </c>
      <c r="T244" s="2">
        <v>46769</v>
      </c>
      <c r="U244" s="3">
        <v>2650</v>
      </c>
      <c r="X244" s="17">
        <v>3045</v>
      </c>
      <c r="Y244" s="23">
        <v>0</v>
      </c>
      <c r="Z244" s="24"/>
    </row>
    <row r="245" spans="1:26">
      <c r="A245" s="6" t="s">
        <v>14</v>
      </c>
      <c r="B245" t="s">
        <v>244</v>
      </c>
      <c r="C245" t="s">
        <v>890</v>
      </c>
      <c r="D245" s="4">
        <v>46185</v>
      </c>
      <c r="E245">
        <v>120000</v>
      </c>
      <c r="F245" s="5">
        <v>73190</v>
      </c>
      <c r="G245" s="5">
        <v>46810</v>
      </c>
      <c r="H245" t="s">
        <v>842</v>
      </c>
      <c r="I245" s="1">
        <v>46429</v>
      </c>
      <c r="J245" s="9">
        <v>101130525509</v>
      </c>
      <c r="K245" t="s">
        <v>974</v>
      </c>
      <c r="L245" t="s">
        <v>848</v>
      </c>
      <c r="M245" t="s">
        <v>1328</v>
      </c>
      <c r="N245" s="1">
        <v>45786</v>
      </c>
      <c r="O245">
        <v>3</v>
      </c>
      <c r="P245" s="11">
        <v>46192</v>
      </c>
      <c r="Q245" s="17">
        <f t="shared" si="3"/>
        <v>0</v>
      </c>
      <c r="R245" s="3">
        <v>3</v>
      </c>
      <c r="S245" s="3">
        <v>6952</v>
      </c>
      <c r="T245" s="2">
        <v>46421</v>
      </c>
      <c r="U245" s="3">
        <v>5098</v>
      </c>
      <c r="X245" s="17">
        <v>0</v>
      </c>
      <c r="Y245" s="23">
        <v>0</v>
      </c>
      <c r="Z245" s="24"/>
    </row>
    <row r="246" spans="1:26">
      <c r="A246" s="6" t="s">
        <v>14</v>
      </c>
      <c r="B246" t="s">
        <v>187</v>
      </c>
      <c r="C246" t="s">
        <v>1135</v>
      </c>
      <c r="D246" s="4">
        <v>46185</v>
      </c>
      <c r="E246">
        <v>73000</v>
      </c>
      <c r="F246" s="5">
        <v>22158</v>
      </c>
      <c r="G246" s="5">
        <v>50842</v>
      </c>
      <c r="H246" t="s">
        <v>842</v>
      </c>
      <c r="I246" s="1">
        <v>46854</v>
      </c>
      <c r="J246" s="9">
        <v>101130065851</v>
      </c>
      <c r="K246" t="s">
        <v>1329</v>
      </c>
      <c r="L246" t="s">
        <v>848</v>
      </c>
      <c r="M246" t="s">
        <v>1330</v>
      </c>
      <c r="N246" s="1">
        <v>45768</v>
      </c>
      <c r="O246">
        <v>5</v>
      </c>
      <c r="P246" s="11">
        <v>46192</v>
      </c>
      <c r="Q246" s="17">
        <f t="shared" si="3"/>
        <v>0</v>
      </c>
      <c r="R246" s="3">
        <v>3</v>
      </c>
      <c r="S246" s="3">
        <v>2263</v>
      </c>
      <c r="T246" s="2">
        <v>46876</v>
      </c>
      <c r="U246" s="3">
        <v>1056</v>
      </c>
      <c r="X246" s="17">
        <v>0</v>
      </c>
      <c r="Y246" s="23">
        <v>0</v>
      </c>
      <c r="Z246" s="24"/>
    </row>
    <row r="247" spans="1:26">
      <c r="A247" s="6" t="s">
        <v>14</v>
      </c>
      <c r="B247" t="s">
        <v>266</v>
      </c>
      <c r="C247" t="s">
        <v>901</v>
      </c>
      <c r="D247" s="4">
        <v>46185</v>
      </c>
      <c r="E247">
        <v>43500</v>
      </c>
      <c r="F247" s="5">
        <v>24890</v>
      </c>
      <c r="G247" s="5">
        <v>18610</v>
      </c>
      <c r="H247" t="s">
        <v>842</v>
      </c>
      <c r="I247" s="1">
        <v>46457</v>
      </c>
      <c r="J247" s="9">
        <v>101130774312</v>
      </c>
      <c r="K247" t="s">
        <v>1331</v>
      </c>
      <c r="L247" t="s">
        <v>848</v>
      </c>
      <c r="M247" t="s">
        <v>1332</v>
      </c>
      <c r="N247" s="1">
        <v>45809</v>
      </c>
      <c r="O247">
        <v>2</v>
      </c>
      <c r="P247" s="11">
        <v>46192</v>
      </c>
      <c r="Q247" s="17">
        <f t="shared" si="3"/>
        <v>0</v>
      </c>
      <c r="R247" s="3">
        <v>17</v>
      </c>
      <c r="S247" s="3">
        <v>2300</v>
      </c>
      <c r="T247" s="2">
        <v>46494</v>
      </c>
      <c r="U247" s="3">
        <v>210</v>
      </c>
      <c r="X247" s="17">
        <v>0</v>
      </c>
      <c r="Y247" s="23">
        <v>0</v>
      </c>
      <c r="Z247" s="24"/>
    </row>
    <row r="248" spans="1:26">
      <c r="A248" s="6" t="s">
        <v>14</v>
      </c>
      <c r="B248" t="s">
        <v>517</v>
      </c>
      <c r="C248" t="s">
        <v>841</v>
      </c>
      <c r="D248" s="4">
        <v>46185</v>
      </c>
      <c r="E248">
        <v>44480</v>
      </c>
      <c r="F248" s="5">
        <v>25000</v>
      </c>
      <c r="G248" s="5">
        <v>19480</v>
      </c>
      <c r="H248" t="s">
        <v>842</v>
      </c>
      <c r="I248" s="1">
        <v>46367</v>
      </c>
      <c r="J248" s="9">
        <v>107112568721</v>
      </c>
      <c r="K248" t="s">
        <v>1333</v>
      </c>
      <c r="L248" t="s">
        <v>844</v>
      </c>
      <c r="M248" t="s">
        <v>1334</v>
      </c>
      <c r="N248" s="1">
        <v>45759</v>
      </c>
      <c r="O248">
        <v>3</v>
      </c>
      <c r="P248" s="11">
        <v>46192</v>
      </c>
      <c r="Q248" s="17">
        <f t="shared" si="3"/>
        <v>2500</v>
      </c>
      <c r="R248" s="3">
        <v>3</v>
      </c>
      <c r="S248" s="3">
        <v>2500</v>
      </c>
      <c r="T248" s="2">
        <v>46421</v>
      </c>
      <c r="U248" s="3">
        <v>1980</v>
      </c>
      <c r="X248" s="17">
        <v>2500</v>
      </c>
      <c r="Y248" s="23">
        <v>0</v>
      </c>
      <c r="Z248" s="24"/>
    </row>
    <row r="249" spans="1:26">
      <c r="A249" s="6" t="s">
        <v>14</v>
      </c>
      <c r="B249" t="s">
        <v>753</v>
      </c>
      <c r="C249" t="s">
        <v>864</v>
      </c>
      <c r="D249" s="4">
        <v>46185</v>
      </c>
      <c r="E249">
        <v>212390</v>
      </c>
      <c r="F249" s="5">
        <v>61600</v>
      </c>
      <c r="G249" s="5">
        <v>150790</v>
      </c>
      <c r="H249" t="s">
        <v>842</v>
      </c>
      <c r="I249" s="1">
        <v>46794</v>
      </c>
      <c r="J249" s="9">
        <v>107112929079</v>
      </c>
      <c r="K249" t="s">
        <v>1335</v>
      </c>
      <c r="L249" t="s">
        <v>844</v>
      </c>
      <c r="M249" t="s">
        <v>1336</v>
      </c>
      <c r="N249" s="1">
        <v>45797</v>
      </c>
      <c r="O249">
        <v>5</v>
      </c>
      <c r="P249" s="11">
        <v>46192</v>
      </c>
      <c r="Q249" s="17">
        <f t="shared" si="3"/>
        <v>0</v>
      </c>
      <c r="R249" s="3">
        <v>3</v>
      </c>
      <c r="S249" s="3">
        <v>7150</v>
      </c>
      <c r="T249" s="2">
        <v>46846</v>
      </c>
      <c r="U249" s="3">
        <v>640</v>
      </c>
      <c r="X249" s="17">
        <v>0</v>
      </c>
      <c r="Y249" s="23">
        <v>0</v>
      </c>
      <c r="Z249" s="24"/>
    </row>
    <row r="250" spans="1:26">
      <c r="A250" s="6" t="s">
        <v>14</v>
      </c>
      <c r="B250" t="s">
        <v>455</v>
      </c>
      <c r="C250" t="s">
        <v>853</v>
      </c>
      <c r="D250" s="4">
        <v>46185</v>
      </c>
      <c r="E250">
        <v>96000</v>
      </c>
      <c r="F250" s="5">
        <v>26585</v>
      </c>
      <c r="G250" s="5">
        <v>69415</v>
      </c>
      <c r="H250" t="s">
        <v>842</v>
      </c>
      <c r="I250" s="1">
        <v>46976</v>
      </c>
      <c r="J250" s="9">
        <v>107112422101</v>
      </c>
      <c r="K250" t="s">
        <v>1337</v>
      </c>
      <c r="L250" t="s">
        <v>844</v>
      </c>
      <c r="M250" t="s">
        <v>1338</v>
      </c>
      <c r="N250" s="1">
        <v>45742</v>
      </c>
      <c r="O250">
        <v>6</v>
      </c>
      <c r="P250" s="11">
        <v>46192</v>
      </c>
      <c r="Q250" s="17">
        <f t="shared" si="3"/>
        <v>0</v>
      </c>
      <c r="R250" s="3">
        <v>10</v>
      </c>
      <c r="S250" s="3">
        <v>2665</v>
      </c>
      <c r="T250" s="2">
        <v>47006</v>
      </c>
      <c r="U250" s="3">
        <v>125</v>
      </c>
      <c r="X250" s="17">
        <v>0</v>
      </c>
      <c r="Y250" s="23">
        <v>0</v>
      </c>
      <c r="Z250" s="24"/>
    </row>
    <row r="251" spans="1:26">
      <c r="A251" s="6" t="s">
        <v>14</v>
      </c>
      <c r="B251" t="s">
        <v>558</v>
      </c>
      <c r="C251" t="s">
        <v>841</v>
      </c>
      <c r="D251" s="4">
        <v>46185</v>
      </c>
      <c r="E251">
        <v>25912</v>
      </c>
      <c r="F251" s="5">
        <v>15570</v>
      </c>
      <c r="G251" s="5">
        <v>10342</v>
      </c>
      <c r="H251" t="s">
        <v>842</v>
      </c>
      <c r="I251" s="1">
        <v>46367</v>
      </c>
      <c r="J251" s="9">
        <v>107112617499</v>
      </c>
      <c r="K251" t="s">
        <v>859</v>
      </c>
      <c r="L251" t="s">
        <v>844</v>
      </c>
      <c r="M251" t="s">
        <v>1339</v>
      </c>
      <c r="N251" s="1">
        <v>45763</v>
      </c>
      <c r="O251">
        <v>3</v>
      </c>
      <c r="P251" s="11">
        <v>46192</v>
      </c>
      <c r="Q251" s="17">
        <f t="shared" si="3"/>
        <v>0</v>
      </c>
      <c r="R251" s="3">
        <v>10</v>
      </c>
      <c r="S251" s="3">
        <v>1440</v>
      </c>
      <c r="T251" s="2">
        <v>46397</v>
      </c>
      <c r="U251" s="3">
        <v>1432</v>
      </c>
      <c r="X251" s="17">
        <v>0</v>
      </c>
      <c r="Y251" s="23">
        <v>0</v>
      </c>
      <c r="Z251" s="24"/>
    </row>
    <row r="252" spans="1:26">
      <c r="A252" s="6" t="s">
        <v>14</v>
      </c>
      <c r="B252" t="s">
        <v>457</v>
      </c>
      <c r="C252" t="s">
        <v>990</v>
      </c>
      <c r="D252" s="4">
        <v>46185</v>
      </c>
      <c r="E252">
        <v>66238</v>
      </c>
      <c r="F252" s="5">
        <v>20933</v>
      </c>
      <c r="G252" s="5">
        <v>45305</v>
      </c>
      <c r="H252" t="s">
        <v>842</v>
      </c>
      <c r="I252" s="1">
        <v>46945</v>
      </c>
      <c r="J252" s="9">
        <v>107112435822</v>
      </c>
      <c r="K252" t="s">
        <v>1340</v>
      </c>
      <c r="L252" t="s">
        <v>844</v>
      </c>
      <c r="M252" t="s">
        <v>1341</v>
      </c>
      <c r="N252" s="1">
        <v>45744</v>
      </c>
      <c r="O252">
        <v>6</v>
      </c>
      <c r="P252" s="11">
        <v>46192</v>
      </c>
      <c r="Q252" s="17">
        <f t="shared" si="3"/>
        <v>0</v>
      </c>
      <c r="R252" s="3">
        <v>17</v>
      </c>
      <c r="S252" s="3">
        <v>1763</v>
      </c>
      <c r="T252" s="2">
        <v>46982</v>
      </c>
      <c r="U252" s="3">
        <v>1230</v>
      </c>
      <c r="X252" s="17">
        <v>0</v>
      </c>
      <c r="Y252" s="23">
        <v>0</v>
      </c>
      <c r="Z252" s="24"/>
    </row>
    <row r="253" spans="1:26">
      <c r="A253" s="6" t="s">
        <v>14</v>
      </c>
      <c r="B253" t="s">
        <v>326</v>
      </c>
      <c r="C253" t="s">
        <v>887</v>
      </c>
      <c r="D253" s="4">
        <v>46185</v>
      </c>
      <c r="E253">
        <v>122717</v>
      </c>
      <c r="F253" s="5">
        <v>42892.67</v>
      </c>
      <c r="G253" s="5">
        <v>79824.33</v>
      </c>
      <c r="H253" t="s">
        <v>842</v>
      </c>
      <c r="I253" s="1">
        <v>46763</v>
      </c>
      <c r="J253" s="9">
        <v>107111820785</v>
      </c>
      <c r="K253" t="s">
        <v>1342</v>
      </c>
      <c r="L253" t="s">
        <v>844</v>
      </c>
      <c r="M253" t="s">
        <v>1343</v>
      </c>
      <c r="N253" s="1">
        <v>45672</v>
      </c>
      <c r="O253">
        <v>5</v>
      </c>
      <c r="P253" s="11">
        <v>46192</v>
      </c>
      <c r="Q253" s="17">
        <f t="shared" si="3"/>
        <v>0</v>
      </c>
      <c r="R253" s="3">
        <v>17</v>
      </c>
      <c r="S253" s="3">
        <v>4092</v>
      </c>
      <c r="T253" s="2">
        <v>46769</v>
      </c>
      <c r="U253" s="3">
        <v>4049</v>
      </c>
      <c r="X253" s="17">
        <v>0</v>
      </c>
      <c r="Y253" s="23">
        <v>0</v>
      </c>
      <c r="Z253" s="24"/>
    </row>
    <row r="254" spans="1:26">
      <c r="A254" s="6" t="s">
        <v>14</v>
      </c>
      <c r="B254" t="s">
        <v>272</v>
      </c>
      <c r="C254" t="s">
        <v>910</v>
      </c>
      <c r="D254" s="4">
        <v>46185</v>
      </c>
      <c r="E254">
        <v>95000</v>
      </c>
      <c r="F254" s="5">
        <v>23800.010000000002</v>
      </c>
      <c r="G254" s="5">
        <v>71199.989999999991</v>
      </c>
      <c r="H254" t="s">
        <v>842</v>
      </c>
      <c r="I254" s="1">
        <v>46457</v>
      </c>
      <c r="J254" s="14">
        <v>101135047520</v>
      </c>
      <c r="K254" t="s">
        <v>1344</v>
      </c>
      <c r="L254" t="s">
        <v>848</v>
      </c>
      <c r="M254" t="s">
        <v>1345</v>
      </c>
      <c r="N254" s="1">
        <v>45798</v>
      </c>
      <c r="O254">
        <v>3</v>
      </c>
      <c r="P254" s="11">
        <v>46192</v>
      </c>
      <c r="Q254" s="17">
        <f t="shared" si="3"/>
        <v>8596.67</v>
      </c>
      <c r="R254" s="3">
        <v>3</v>
      </c>
      <c r="S254" s="3">
        <v>5160</v>
      </c>
      <c r="T254" s="2">
        <v>46480</v>
      </c>
      <c r="U254" s="3">
        <v>2880</v>
      </c>
      <c r="X254" s="17">
        <v>0</v>
      </c>
      <c r="Y254" s="23">
        <v>8596.67</v>
      </c>
      <c r="Z254" s="24"/>
    </row>
    <row r="255" spans="1:26">
      <c r="A255" s="6" t="s">
        <v>14</v>
      </c>
      <c r="B255" t="s">
        <v>447</v>
      </c>
      <c r="C255" t="s">
        <v>853</v>
      </c>
      <c r="D255" s="4">
        <v>46185</v>
      </c>
      <c r="E255">
        <v>71000</v>
      </c>
      <c r="F255" s="5">
        <v>26020</v>
      </c>
      <c r="G255" s="5">
        <v>44980</v>
      </c>
      <c r="H255" t="s">
        <v>842</v>
      </c>
      <c r="I255" s="1">
        <v>46732</v>
      </c>
      <c r="J255" s="9">
        <v>107112391867</v>
      </c>
      <c r="K255" t="s">
        <v>1346</v>
      </c>
      <c r="L255" t="s">
        <v>844</v>
      </c>
      <c r="M255" t="s">
        <v>1347</v>
      </c>
      <c r="N255" s="1">
        <v>45741</v>
      </c>
      <c r="O255">
        <v>5</v>
      </c>
      <c r="P255" s="11">
        <v>46192</v>
      </c>
      <c r="Q255" s="17">
        <f t="shared" si="3"/>
        <v>2080</v>
      </c>
      <c r="R255" s="3">
        <v>24</v>
      </c>
      <c r="S255" s="3">
        <v>2385</v>
      </c>
      <c r="T255" s="2">
        <v>46745</v>
      </c>
      <c r="U255" s="3">
        <v>2050</v>
      </c>
      <c r="X255" s="17">
        <v>2080</v>
      </c>
      <c r="Y255" s="23">
        <v>0</v>
      </c>
      <c r="Z255" s="24"/>
    </row>
    <row r="256" spans="1:26">
      <c r="A256" s="6" t="s">
        <v>14</v>
      </c>
      <c r="B256" t="s">
        <v>445</v>
      </c>
      <c r="C256" t="s">
        <v>841</v>
      </c>
      <c r="D256" s="4">
        <v>46185</v>
      </c>
      <c r="E256">
        <v>76666</v>
      </c>
      <c r="F256" s="5">
        <v>28560</v>
      </c>
      <c r="G256" s="5">
        <v>48106</v>
      </c>
      <c r="H256" t="s">
        <v>842</v>
      </c>
      <c r="I256" s="1">
        <v>46763</v>
      </c>
      <c r="J256" s="9">
        <v>107112389753</v>
      </c>
      <c r="K256" t="s">
        <v>1348</v>
      </c>
      <c r="L256" t="s">
        <v>844</v>
      </c>
      <c r="M256" t="s">
        <v>1349</v>
      </c>
      <c r="N256" s="1">
        <v>45740</v>
      </c>
      <c r="O256">
        <v>5</v>
      </c>
      <c r="P256" s="11">
        <v>46192</v>
      </c>
      <c r="Q256" s="17">
        <f t="shared" si="3"/>
        <v>0</v>
      </c>
      <c r="R256" s="3">
        <v>24</v>
      </c>
      <c r="S256" s="3">
        <v>2520</v>
      </c>
      <c r="T256" s="2">
        <v>46776</v>
      </c>
      <c r="U256" s="3">
        <v>1906</v>
      </c>
      <c r="X256" s="17">
        <v>0</v>
      </c>
      <c r="Y256" s="23">
        <v>0</v>
      </c>
      <c r="Z256" s="24"/>
    </row>
    <row r="257" spans="1:26">
      <c r="A257" s="6" t="s">
        <v>14</v>
      </c>
      <c r="B257" t="s">
        <v>77</v>
      </c>
      <c r="C257" t="s">
        <v>1135</v>
      </c>
      <c r="D257" s="4">
        <v>46185</v>
      </c>
      <c r="E257">
        <v>78585</v>
      </c>
      <c r="F257" s="5">
        <v>49930</v>
      </c>
      <c r="G257" s="5">
        <v>28655</v>
      </c>
      <c r="H257" t="s">
        <v>842</v>
      </c>
      <c r="I257" s="1">
        <v>46398</v>
      </c>
      <c r="J257" s="9">
        <v>101129291267</v>
      </c>
      <c r="K257" t="s">
        <v>1350</v>
      </c>
      <c r="L257" t="s">
        <v>848</v>
      </c>
      <c r="M257" t="s">
        <v>1351</v>
      </c>
      <c r="N257" s="1">
        <v>45724</v>
      </c>
      <c r="O257">
        <v>3</v>
      </c>
      <c r="P257" s="11">
        <v>46192</v>
      </c>
      <c r="Q257" s="17">
        <f t="shared" si="3"/>
        <v>4165</v>
      </c>
      <c r="R257" s="3">
        <v>3</v>
      </c>
      <c r="S257" s="3">
        <v>4165</v>
      </c>
      <c r="T257" s="2">
        <v>46421</v>
      </c>
      <c r="U257" s="3">
        <v>382</v>
      </c>
      <c r="X257" s="17">
        <v>4165</v>
      </c>
      <c r="Y257" s="23">
        <v>0</v>
      </c>
      <c r="Z257" s="24"/>
    </row>
    <row r="258" spans="1:26">
      <c r="A258" s="6" t="s">
        <v>14</v>
      </c>
      <c r="B258" t="s">
        <v>125</v>
      </c>
      <c r="C258" t="s">
        <v>850</v>
      </c>
      <c r="D258" s="4">
        <v>46185</v>
      </c>
      <c r="E258">
        <v>84023</v>
      </c>
      <c r="F258" s="5">
        <v>32641.34</v>
      </c>
      <c r="G258" s="5">
        <v>51381.66</v>
      </c>
      <c r="H258" t="s">
        <v>842</v>
      </c>
      <c r="I258" s="1">
        <v>46732</v>
      </c>
      <c r="J258" s="9">
        <v>101129554327</v>
      </c>
      <c r="K258" t="s">
        <v>1352</v>
      </c>
      <c r="L258" t="s">
        <v>848</v>
      </c>
      <c r="M258" t="s">
        <v>1353</v>
      </c>
      <c r="N258" s="1">
        <v>45738</v>
      </c>
      <c r="O258">
        <v>5</v>
      </c>
      <c r="P258" s="11">
        <v>46192</v>
      </c>
      <c r="Q258" s="17">
        <f t="shared" si="3"/>
        <v>0</v>
      </c>
      <c r="R258" s="3">
        <v>3</v>
      </c>
      <c r="S258" s="3">
        <v>2774</v>
      </c>
      <c r="T258" s="2">
        <v>46755</v>
      </c>
      <c r="U258" s="3">
        <v>900.33000000000197</v>
      </c>
      <c r="X258" s="17">
        <v>0</v>
      </c>
      <c r="Y258" s="23">
        <v>0</v>
      </c>
      <c r="Z258" s="24"/>
    </row>
    <row r="259" spans="1:26">
      <c r="A259" s="6" t="s">
        <v>14</v>
      </c>
      <c r="B259" t="s">
        <v>383</v>
      </c>
      <c r="C259" t="s">
        <v>856</v>
      </c>
      <c r="D259" s="4">
        <v>46185</v>
      </c>
      <c r="E259">
        <v>44340</v>
      </c>
      <c r="F259" s="5">
        <v>15505</v>
      </c>
      <c r="G259" s="5">
        <v>28835</v>
      </c>
      <c r="H259" t="s">
        <v>842</v>
      </c>
      <c r="I259" s="1">
        <v>46702</v>
      </c>
      <c r="J259" s="9">
        <v>107112242539</v>
      </c>
      <c r="K259" t="s">
        <v>1354</v>
      </c>
      <c r="L259" t="s">
        <v>844</v>
      </c>
      <c r="M259" t="s">
        <v>1355</v>
      </c>
      <c r="N259" s="1">
        <v>45727</v>
      </c>
      <c r="O259">
        <v>5</v>
      </c>
      <c r="P259" s="11">
        <v>46192</v>
      </c>
      <c r="Q259" s="17">
        <f t="shared" ref="Q259:Q322" si="4">SUM(X259:Y259)</f>
        <v>0</v>
      </c>
      <c r="R259" s="3">
        <v>10</v>
      </c>
      <c r="S259" s="3">
        <v>1540</v>
      </c>
      <c r="T259" s="2">
        <v>46731</v>
      </c>
      <c r="U259" s="3">
        <v>1220</v>
      </c>
      <c r="X259" s="17">
        <v>0</v>
      </c>
      <c r="Y259" s="23">
        <v>0</v>
      </c>
      <c r="Z259" s="24"/>
    </row>
    <row r="260" spans="1:26">
      <c r="A260" s="6" t="s">
        <v>14</v>
      </c>
      <c r="B260" t="s">
        <v>592</v>
      </c>
      <c r="C260" t="s">
        <v>853</v>
      </c>
      <c r="D260" s="4">
        <v>46185</v>
      </c>
      <c r="E260">
        <v>135000</v>
      </c>
      <c r="F260" s="5">
        <v>42264</v>
      </c>
      <c r="G260" s="5">
        <v>92736</v>
      </c>
      <c r="H260" t="s">
        <v>842</v>
      </c>
      <c r="I260" s="1">
        <v>46794</v>
      </c>
      <c r="J260" s="9">
        <v>107112653144</v>
      </c>
      <c r="K260" t="s">
        <v>1356</v>
      </c>
      <c r="L260" t="s">
        <v>844</v>
      </c>
      <c r="M260" t="s">
        <v>1357</v>
      </c>
      <c r="N260" s="1">
        <v>45766</v>
      </c>
      <c r="O260">
        <v>5</v>
      </c>
      <c r="P260" s="11">
        <v>46192</v>
      </c>
      <c r="Q260" s="17">
        <f t="shared" si="4"/>
        <v>0</v>
      </c>
      <c r="R260" s="3">
        <v>24</v>
      </c>
      <c r="S260" s="3">
        <v>4466</v>
      </c>
      <c r="T260" s="2">
        <v>46836</v>
      </c>
      <c r="U260" s="3">
        <v>3416</v>
      </c>
      <c r="X260" s="17">
        <v>0</v>
      </c>
      <c r="Y260" s="23">
        <v>0</v>
      </c>
      <c r="Z260" s="24"/>
    </row>
    <row r="261" spans="1:26">
      <c r="A261" s="6" t="s">
        <v>14</v>
      </c>
      <c r="B261" t="s">
        <v>503</v>
      </c>
      <c r="C261" t="s">
        <v>870</v>
      </c>
      <c r="D261" s="4">
        <v>46185</v>
      </c>
      <c r="E261">
        <v>82911</v>
      </c>
      <c r="F261" s="5">
        <v>29127.000000000004</v>
      </c>
      <c r="G261" s="5">
        <v>53784</v>
      </c>
      <c r="H261" t="s">
        <v>842</v>
      </c>
      <c r="I261" s="1">
        <v>46732</v>
      </c>
      <c r="J261" s="9">
        <v>107112552514</v>
      </c>
      <c r="K261" t="s">
        <v>1358</v>
      </c>
      <c r="L261" t="s">
        <v>844</v>
      </c>
      <c r="M261" t="s">
        <v>1359</v>
      </c>
      <c r="N261" s="1">
        <v>45757</v>
      </c>
      <c r="O261">
        <v>5</v>
      </c>
      <c r="P261" s="11">
        <v>46192</v>
      </c>
      <c r="Q261" s="17">
        <f t="shared" si="4"/>
        <v>0</v>
      </c>
      <c r="R261" s="3">
        <v>17</v>
      </c>
      <c r="S261" s="3">
        <v>2912.7</v>
      </c>
      <c r="T261" s="2">
        <v>46769</v>
      </c>
      <c r="U261" s="3">
        <v>1355.4000000000101</v>
      </c>
      <c r="X261" s="17">
        <v>0</v>
      </c>
      <c r="Y261" s="23">
        <v>0</v>
      </c>
      <c r="Z261" s="24"/>
    </row>
    <row r="262" spans="1:26">
      <c r="A262" s="6" t="s">
        <v>14</v>
      </c>
      <c r="B262" t="s">
        <v>155</v>
      </c>
      <c r="C262" t="s">
        <v>846</v>
      </c>
      <c r="D262" s="4">
        <v>46185</v>
      </c>
      <c r="E262">
        <v>170000</v>
      </c>
      <c r="F262" s="5">
        <v>60160</v>
      </c>
      <c r="G262" s="5">
        <v>109840</v>
      </c>
      <c r="H262" t="s">
        <v>842</v>
      </c>
      <c r="I262" s="1">
        <v>46794</v>
      </c>
      <c r="J262" s="9">
        <v>101129869242</v>
      </c>
      <c r="K262" t="s">
        <v>1360</v>
      </c>
      <c r="L262" t="s">
        <v>848</v>
      </c>
      <c r="M262" t="s">
        <v>1361</v>
      </c>
      <c r="N262" s="1">
        <v>45764</v>
      </c>
      <c r="O262">
        <v>5</v>
      </c>
      <c r="P262" s="11">
        <v>46192</v>
      </c>
      <c r="Q262" s="17">
        <f t="shared" si="4"/>
        <v>5520</v>
      </c>
      <c r="R262" s="3">
        <v>24</v>
      </c>
      <c r="S262" s="3">
        <v>5520</v>
      </c>
      <c r="T262" s="2">
        <v>46807</v>
      </c>
      <c r="U262" s="3">
        <v>4960</v>
      </c>
      <c r="X262" s="17">
        <v>5520</v>
      </c>
      <c r="Y262" s="23">
        <v>0</v>
      </c>
      <c r="Z262" s="24"/>
    </row>
    <row r="263" spans="1:26">
      <c r="A263" s="6" t="s">
        <v>14</v>
      </c>
      <c r="B263" t="s">
        <v>278</v>
      </c>
      <c r="C263" t="s">
        <v>910</v>
      </c>
      <c r="D263" s="4">
        <v>46185</v>
      </c>
      <c r="E263">
        <v>84625</v>
      </c>
      <c r="F263" s="5">
        <v>44112</v>
      </c>
      <c r="G263" s="5">
        <v>40513</v>
      </c>
      <c r="H263" t="s">
        <v>842</v>
      </c>
      <c r="I263" s="1">
        <v>46457</v>
      </c>
      <c r="J263" s="9">
        <v>101130876309</v>
      </c>
      <c r="K263" t="s">
        <v>1168</v>
      </c>
      <c r="L263" t="s">
        <v>848</v>
      </c>
      <c r="M263" t="s">
        <v>1362</v>
      </c>
      <c r="N263" s="1">
        <v>45811</v>
      </c>
      <c r="O263">
        <v>3</v>
      </c>
      <c r="P263" s="11">
        <v>46192</v>
      </c>
      <c r="Q263" s="17">
        <f t="shared" si="4"/>
        <v>4608</v>
      </c>
      <c r="R263" s="3">
        <v>17</v>
      </c>
      <c r="S263" s="3">
        <v>4608</v>
      </c>
      <c r="T263" s="2">
        <v>46463</v>
      </c>
      <c r="U263" s="3">
        <v>3649</v>
      </c>
      <c r="X263" s="17">
        <v>4608</v>
      </c>
      <c r="Y263" s="23">
        <v>0</v>
      </c>
      <c r="Z263" s="24"/>
    </row>
    <row r="264" spans="1:26">
      <c r="A264" s="6" t="s">
        <v>14</v>
      </c>
      <c r="B264" t="s">
        <v>571</v>
      </c>
      <c r="C264" t="s">
        <v>853</v>
      </c>
      <c r="D264" s="4">
        <v>46185</v>
      </c>
      <c r="E264">
        <v>68100</v>
      </c>
      <c r="F264" s="5">
        <v>24275</v>
      </c>
      <c r="G264" s="5">
        <v>43825</v>
      </c>
      <c r="H264" t="s">
        <v>842</v>
      </c>
      <c r="I264" s="1">
        <v>46763</v>
      </c>
      <c r="J264" s="9">
        <v>107112626074</v>
      </c>
      <c r="K264" t="s">
        <v>1363</v>
      </c>
      <c r="L264" t="s">
        <v>844</v>
      </c>
      <c r="M264" t="s">
        <v>1364</v>
      </c>
      <c r="N264" s="1">
        <v>45763</v>
      </c>
      <c r="O264">
        <v>5</v>
      </c>
      <c r="P264" s="11">
        <v>46192</v>
      </c>
      <c r="Q264" s="17">
        <f t="shared" si="4"/>
        <v>0</v>
      </c>
      <c r="R264" s="3">
        <v>17</v>
      </c>
      <c r="S264" s="3">
        <v>2271.5</v>
      </c>
      <c r="T264" s="2">
        <v>46800</v>
      </c>
      <c r="U264" s="3">
        <v>666.5</v>
      </c>
      <c r="X264" s="17">
        <v>0</v>
      </c>
      <c r="Y264" s="23">
        <v>0</v>
      </c>
      <c r="Z264" s="24"/>
    </row>
    <row r="265" spans="1:26">
      <c r="A265" s="6" t="s">
        <v>14</v>
      </c>
      <c r="B265" t="s">
        <v>798</v>
      </c>
      <c r="C265" t="s">
        <v>907</v>
      </c>
      <c r="D265" s="4">
        <v>46185</v>
      </c>
      <c r="E265">
        <v>36744</v>
      </c>
      <c r="F265" s="5">
        <v>22050</v>
      </c>
      <c r="G265" s="5">
        <v>14694</v>
      </c>
      <c r="H265" t="s">
        <v>842</v>
      </c>
      <c r="I265" s="1">
        <v>46367</v>
      </c>
      <c r="J265" s="9">
        <v>107113036643</v>
      </c>
      <c r="K265" t="s">
        <v>1365</v>
      </c>
      <c r="L265" t="s">
        <v>844</v>
      </c>
      <c r="M265" t="s">
        <v>1366</v>
      </c>
      <c r="N265" s="1">
        <v>45806</v>
      </c>
      <c r="O265">
        <v>3</v>
      </c>
      <c r="P265" s="11">
        <v>46192</v>
      </c>
      <c r="Q265" s="17">
        <f t="shared" si="4"/>
        <v>0</v>
      </c>
      <c r="R265" s="3">
        <v>17</v>
      </c>
      <c r="S265" s="3">
        <v>2205</v>
      </c>
      <c r="T265" s="2">
        <v>46404</v>
      </c>
      <c r="U265" s="3">
        <v>1464</v>
      </c>
      <c r="X265" s="17">
        <v>0</v>
      </c>
      <c r="Y265" s="23">
        <v>0</v>
      </c>
      <c r="Z265" s="24"/>
    </row>
    <row r="266" spans="1:26">
      <c r="A266" s="6" t="s">
        <v>14</v>
      </c>
      <c r="B266" t="s">
        <v>175</v>
      </c>
      <c r="C266" t="s">
        <v>1135</v>
      </c>
      <c r="D266" s="4">
        <v>46185</v>
      </c>
      <c r="E266">
        <v>84036</v>
      </c>
      <c r="F266" s="5">
        <v>32633.33</v>
      </c>
      <c r="G266" s="5">
        <v>51402.67</v>
      </c>
      <c r="H266" t="s">
        <v>842</v>
      </c>
      <c r="I266" s="1">
        <v>46794</v>
      </c>
      <c r="J266" s="9">
        <v>101129984034</v>
      </c>
      <c r="K266" t="s">
        <v>1367</v>
      </c>
      <c r="L266" t="s">
        <v>848</v>
      </c>
      <c r="M266" t="s">
        <v>1368</v>
      </c>
      <c r="N266" s="1">
        <v>45763</v>
      </c>
      <c r="O266">
        <v>5</v>
      </c>
      <c r="P266" s="11">
        <v>46192</v>
      </c>
      <c r="Q266" s="17">
        <f t="shared" si="4"/>
        <v>0</v>
      </c>
      <c r="R266" s="3">
        <v>17</v>
      </c>
      <c r="S266" s="3">
        <v>2800</v>
      </c>
      <c r="T266" s="2">
        <v>46800</v>
      </c>
      <c r="U266" s="3">
        <v>1002.67</v>
      </c>
      <c r="X266" s="17">
        <v>0</v>
      </c>
      <c r="Y266" s="23">
        <v>0</v>
      </c>
      <c r="Z266" s="24"/>
    </row>
    <row r="267" spans="1:26">
      <c r="A267" s="6" t="s">
        <v>14</v>
      </c>
      <c r="B267" t="s">
        <v>554</v>
      </c>
      <c r="C267" t="s">
        <v>841</v>
      </c>
      <c r="D267" s="4">
        <v>46185</v>
      </c>
      <c r="E267">
        <v>163831</v>
      </c>
      <c r="F267" s="5">
        <v>57290</v>
      </c>
      <c r="G267" s="5">
        <v>106541</v>
      </c>
      <c r="H267" t="s">
        <v>842</v>
      </c>
      <c r="I267" s="1">
        <v>46763</v>
      </c>
      <c r="J267" s="9">
        <v>107112610645</v>
      </c>
      <c r="K267" t="s">
        <v>1113</v>
      </c>
      <c r="L267" t="s">
        <v>844</v>
      </c>
      <c r="M267" t="s">
        <v>1369</v>
      </c>
      <c r="N267" s="1">
        <v>45761</v>
      </c>
      <c r="O267">
        <v>5</v>
      </c>
      <c r="P267" s="11">
        <v>46192</v>
      </c>
      <c r="Q267" s="17">
        <f t="shared" si="4"/>
        <v>0</v>
      </c>
      <c r="R267" s="3">
        <v>10</v>
      </c>
      <c r="S267" s="3">
        <v>5358</v>
      </c>
      <c r="T267" s="2">
        <v>46793</v>
      </c>
      <c r="U267" s="3">
        <v>4739</v>
      </c>
      <c r="X267" s="17">
        <v>0</v>
      </c>
      <c r="Y267" s="23">
        <v>0</v>
      </c>
      <c r="Z267" s="24"/>
    </row>
    <row r="268" spans="1:26">
      <c r="A268" s="6" t="s">
        <v>14</v>
      </c>
      <c r="B268" t="s">
        <v>32</v>
      </c>
      <c r="C268" t="s">
        <v>877</v>
      </c>
      <c r="D268" s="4">
        <v>46185</v>
      </c>
      <c r="E268">
        <v>164000</v>
      </c>
      <c r="F268" s="5">
        <v>89647</v>
      </c>
      <c r="G268" s="5">
        <v>74353</v>
      </c>
      <c r="H268" t="s">
        <v>842</v>
      </c>
      <c r="I268" s="1">
        <v>46429</v>
      </c>
      <c r="J268" s="9">
        <v>101128141006</v>
      </c>
      <c r="K268" t="s">
        <v>1370</v>
      </c>
      <c r="L268" t="s">
        <v>848</v>
      </c>
      <c r="M268" t="s">
        <v>1371</v>
      </c>
      <c r="N268" s="1">
        <v>45646</v>
      </c>
      <c r="O268">
        <v>3</v>
      </c>
      <c r="P268" s="11">
        <v>46192</v>
      </c>
      <c r="Q268" s="17">
        <f t="shared" si="4"/>
        <v>0</v>
      </c>
      <c r="R268" s="3">
        <v>17</v>
      </c>
      <c r="S268" s="3">
        <v>9263</v>
      </c>
      <c r="T268" s="2">
        <v>46463</v>
      </c>
      <c r="U268" s="3">
        <v>6529</v>
      </c>
      <c r="X268" s="17">
        <v>0</v>
      </c>
      <c r="Y268" s="23">
        <v>0</v>
      </c>
      <c r="Z268" s="24"/>
    </row>
    <row r="269" spans="1:26">
      <c r="A269" s="6" t="s">
        <v>14</v>
      </c>
      <c r="B269" t="s">
        <v>28</v>
      </c>
      <c r="C269" t="s">
        <v>877</v>
      </c>
      <c r="D269" s="4">
        <v>46185</v>
      </c>
      <c r="E269">
        <v>74642</v>
      </c>
      <c r="F269" s="5">
        <v>40373.33</v>
      </c>
      <c r="G269" s="5">
        <v>34268.67</v>
      </c>
      <c r="H269" t="s">
        <v>842</v>
      </c>
      <c r="I269" s="1">
        <v>46429</v>
      </c>
      <c r="J269" s="9">
        <v>101127876784</v>
      </c>
      <c r="K269" t="s">
        <v>1372</v>
      </c>
      <c r="L269" t="s">
        <v>848</v>
      </c>
      <c r="M269" t="s">
        <v>1373</v>
      </c>
      <c r="N269" s="1">
        <v>45640</v>
      </c>
      <c r="O269">
        <v>3</v>
      </c>
      <c r="P269" s="11">
        <v>46192</v>
      </c>
      <c r="Q269" s="17">
        <f t="shared" si="4"/>
        <v>0</v>
      </c>
      <c r="R269" s="3">
        <v>3</v>
      </c>
      <c r="S269" s="3">
        <v>4160</v>
      </c>
      <c r="T269" s="2">
        <v>46449</v>
      </c>
      <c r="U269" s="3">
        <v>3922</v>
      </c>
      <c r="X269" s="17">
        <v>0</v>
      </c>
      <c r="Y269" s="23">
        <v>0</v>
      </c>
      <c r="Z269" s="24"/>
    </row>
    <row r="270" spans="1:26">
      <c r="A270" s="6" t="s">
        <v>14</v>
      </c>
      <c r="B270" t="s">
        <v>332</v>
      </c>
      <c r="C270" t="s">
        <v>887</v>
      </c>
      <c r="D270" s="4">
        <v>46185</v>
      </c>
      <c r="E270">
        <v>130500</v>
      </c>
      <c r="F270" s="5">
        <v>39910</v>
      </c>
      <c r="G270" s="5">
        <v>90590</v>
      </c>
      <c r="H270" t="s">
        <v>842</v>
      </c>
      <c r="I270" s="1">
        <v>46884</v>
      </c>
      <c r="J270" s="9">
        <v>107111940009</v>
      </c>
      <c r="K270" t="s">
        <v>1374</v>
      </c>
      <c r="L270" t="s">
        <v>844</v>
      </c>
      <c r="M270" t="s">
        <v>1375</v>
      </c>
      <c r="N270" s="1">
        <v>45697</v>
      </c>
      <c r="O270">
        <v>5</v>
      </c>
      <c r="P270" s="11">
        <v>46192</v>
      </c>
      <c r="Q270" s="17">
        <f t="shared" si="4"/>
        <v>0</v>
      </c>
      <c r="R270" s="3">
        <v>3</v>
      </c>
      <c r="S270" s="3">
        <v>3840</v>
      </c>
      <c r="T270" s="2">
        <v>46907</v>
      </c>
      <c r="U270" s="3">
        <v>2270</v>
      </c>
      <c r="X270" s="17">
        <v>0</v>
      </c>
      <c r="Y270" s="23">
        <v>0</v>
      </c>
      <c r="Z270" s="24"/>
    </row>
    <row r="271" spans="1:26">
      <c r="A271" s="6" t="s">
        <v>14</v>
      </c>
      <c r="B271" t="s">
        <v>688</v>
      </c>
      <c r="C271" t="s">
        <v>841</v>
      </c>
      <c r="D271" s="4">
        <v>46185</v>
      </c>
      <c r="E271">
        <v>88800</v>
      </c>
      <c r="F271" s="5">
        <v>27753</v>
      </c>
      <c r="G271" s="5">
        <v>61047</v>
      </c>
      <c r="H271" t="s">
        <v>842</v>
      </c>
      <c r="I271" s="1">
        <v>46794</v>
      </c>
      <c r="J271" s="9">
        <v>107112807713</v>
      </c>
      <c r="K271" t="s">
        <v>1376</v>
      </c>
      <c r="L271" t="s">
        <v>844</v>
      </c>
      <c r="M271" t="s">
        <v>1377</v>
      </c>
      <c r="N271" s="1">
        <v>45788</v>
      </c>
      <c r="O271">
        <v>5</v>
      </c>
      <c r="P271" s="11">
        <v>46192</v>
      </c>
      <c r="Q271" s="17">
        <f t="shared" si="4"/>
        <v>0</v>
      </c>
      <c r="R271" s="3">
        <v>10</v>
      </c>
      <c r="S271" s="3">
        <v>2937</v>
      </c>
      <c r="T271" s="2">
        <v>46822</v>
      </c>
      <c r="U271" s="3">
        <v>2307</v>
      </c>
      <c r="X271" s="17">
        <v>0</v>
      </c>
      <c r="Y271" s="23">
        <v>0</v>
      </c>
      <c r="Z271" s="24"/>
    </row>
    <row r="272" spans="1:26">
      <c r="A272" s="6" t="s">
        <v>14</v>
      </c>
      <c r="B272" t="s">
        <v>159</v>
      </c>
      <c r="C272" t="s">
        <v>846</v>
      </c>
      <c r="D272" s="4">
        <v>46185</v>
      </c>
      <c r="E272">
        <v>100000</v>
      </c>
      <c r="F272" s="5">
        <v>58703.33</v>
      </c>
      <c r="G272" s="5">
        <v>41296.67</v>
      </c>
      <c r="H272" t="s">
        <v>842</v>
      </c>
      <c r="I272" s="1">
        <v>46429</v>
      </c>
      <c r="J272" s="9">
        <v>101129877193</v>
      </c>
      <c r="K272" t="s">
        <v>1378</v>
      </c>
      <c r="L272" t="s">
        <v>848</v>
      </c>
      <c r="M272" t="s">
        <v>1379</v>
      </c>
      <c r="N272" s="1">
        <v>45752</v>
      </c>
      <c r="O272">
        <v>3</v>
      </c>
      <c r="P272" s="11">
        <v>46192</v>
      </c>
      <c r="Q272" s="17">
        <f t="shared" si="4"/>
        <v>5428</v>
      </c>
      <c r="R272" s="3">
        <v>24</v>
      </c>
      <c r="S272" s="3">
        <v>5428</v>
      </c>
      <c r="T272" s="2">
        <v>46442</v>
      </c>
      <c r="U272" s="3">
        <v>3300.67</v>
      </c>
      <c r="X272" s="17">
        <v>5428</v>
      </c>
      <c r="Y272" s="23">
        <v>0</v>
      </c>
      <c r="Z272" s="24"/>
    </row>
    <row r="273" spans="1:26">
      <c r="A273" s="6" t="s">
        <v>14</v>
      </c>
      <c r="B273" t="s">
        <v>471</v>
      </c>
      <c r="C273" t="s">
        <v>856</v>
      </c>
      <c r="D273" s="4">
        <v>46185</v>
      </c>
      <c r="E273">
        <v>118000</v>
      </c>
      <c r="F273" s="5">
        <v>44370</v>
      </c>
      <c r="G273" s="5">
        <v>73630</v>
      </c>
      <c r="H273" t="s">
        <v>842</v>
      </c>
      <c r="I273" s="1">
        <v>46794</v>
      </c>
      <c r="J273" s="9">
        <v>107112466550</v>
      </c>
      <c r="K273" t="s">
        <v>1380</v>
      </c>
      <c r="L273" t="s">
        <v>844</v>
      </c>
      <c r="M273" t="s">
        <v>1381</v>
      </c>
      <c r="N273" s="1">
        <v>45750</v>
      </c>
      <c r="O273">
        <v>5</v>
      </c>
      <c r="P273" s="11">
        <v>46192</v>
      </c>
      <c r="Q273" s="17">
        <f t="shared" si="4"/>
        <v>0</v>
      </c>
      <c r="R273" s="3">
        <v>31</v>
      </c>
      <c r="S273" s="3">
        <v>3870</v>
      </c>
      <c r="T273" s="2">
        <v>46812</v>
      </c>
      <c r="U273" s="3">
        <v>100</v>
      </c>
      <c r="X273" s="17">
        <v>0</v>
      </c>
      <c r="Y273" s="23">
        <v>0</v>
      </c>
      <c r="Z273" s="24"/>
    </row>
    <row r="274" spans="1:26">
      <c r="A274" s="6" t="s">
        <v>14</v>
      </c>
      <c r="B274" t="s">
        <v>26</v>
      </c>
      <c r="C274" t="s">
        <v>861</v>
      </c>
      <c r="D274" s="4">
        <v>46185</v>
      </c>
      <c r="E274">
        <v>61372</v>
      </c>
      <c r="F274" s="5">
        <v>27120.67</v>
      </c>
      <c r="G274" s="5">
        <v>34251.33</v>
      </c>
      <c r="H274" t="s">
        <v>842</v>
      </c>
      <c r="I274" s="1">
        <v>46641</v>
      </c>
      <c r="J274" s="9">
        <v>101127687701</v>
      </c>
      <c r="K274" t="s">
        <v>1092</v>
      </c>
      <c r="L274" t="s">
        <v>848</v>
      </c>
      <c r="M274" t="s">
        <v>1382</v>
      </c>
      <c r="N274" s="1">
        <v>45620</v>
      </c>
      <c r="O274">
        <v>5</v>
      </c>
      <c r="P274" s="11">
        <v>46192</v>
      </c>
      <c r="Q274" s="17">
        <f t="shared" si="4"/>
        <v>0</v>
      </c>
      <c r="R274" s="3">
        <v>3</v>
      </c>
      <c r="S274" s="3">
        <v>2314</v>
      </c>
      <c r="T274" s="2">
        <v>46663</v>
      </c>
      <c r="U274" s="3">
        <v>1208</v>
      </c>
      <c r="X274" s="17">
        <v>0</v>
      </c>
      <c r="Y274" s="23">
        <v>0</v>
      </c>
      <c r="Z274" s="24"/>
    </row>
    <row r="275" spans="1:26">
      <c r="A275" s="6" t="s">
        <v>14</v>
      </c>
      <c r="B275" t="s">
        <v>370</v>
      </c>
      <c r="C275" t="s">
        <v>887</v>
      </c>
      <c r="D275" s="4">
        <v>46185</v>
      </c>
      <c r="E275">
        <v>77700</v>
      </c>
      <c r="F275" s="5">
        <v>28090</v>
      </c>
      <c r="G275" s="5">
        <v>49610</v>
      </c>
      <c r="H275" t="s">
        <v>842</v>
      </c>
      <c r="I275" s="1">
        <v>46732</v>
      </c>
      <c r="J275" s="9">
        <v>107112198165</v>
      </c>
      <c r="K275" t="s">
        <v>1383</v>
      </c>
      <c r="L275" t="s">
        <v>844</v>
      </c>
      <c r="M275" t="s">
        <v>1384</v>
      </c>
      <c r="N275" s="1">
        <v>45722</v>
      </c>
      <c r="O275">
        <v>5</v>
      </c>
      <c r="P275" s="11">
        <v>46192</v>
      </c>
      <c r="Q275" s="17">
        <f t="shared" si="4"/>
        <v>0</v>
      </c>
      <c r="R275" s="3">
        <v>17</v>
      </c>
      <c r="S275" s="3">
        <v>2597</v>
      </c>
      <c r="T275" s="2">
        <v>46769</v>
      </c>
      <c r="U275" s="3">
        <v>2387</v>
      </c>
      <c r="X275" s="17">
        <v>0</v>
      </c>
      <c r="Y275" s="23">
        <v>0</v>
      </c>
      <c r="Z275" s="24"/>
    </row>
    <row r="276" spans="1:26">
      <c r="A276" s="6" t="s">
        <v>14</v>
      </c>
      <c r="B276" t="s">
        <v>352</v>
      </c>
      <c r="C276" t="s">
        <v>887</v>
      </c>
      <c r="D276" s="4">
        <v>46185</v>
      </c>
      <c r="E276">
        <v>97686</v>
      </c>
      <c r="F276" s="5">
        <v>33250</v>
      </c>
      <c r="G276" s="5">
        <v>64436</v>
      </c>
      <c r="H276" t="s">
        <v>842</v>
      </c>
      <c r="I276" s="1">
        <v>46763</v>
      </c>
      <c r="J276" s="9">
        <v>107112102202</v>
      </c>
      <c r="K276" t="s">
        <v>1385</v>
      </c>
      <c r="L276" t="s">
        <v>844</v>
      </c>
      <c r="M276" t="s">
        <v>1386</v>
      </c>
      <c r="N276" s="1">
        <v>45722</v>
      </c>
      <c r="O276">
        <v>5</v>
      </c>
      <c r="P276" s="11">
        <v>46192</v>
      </c>
      <c r="Q276" s="17">
        <f t="shared" si="4"/>
        <v>0</v>
      </c>
      <c r="R276" s="3">
        <v>24</v>
      </c>
      <c r="S276" s="3">
        <v>3250</v>
      </c>
      <c r="T276" s="2">
        <v>46776</v>
      </c>
      <c r="U276" s="3">
        <v>1436</v>
      </c>
      <c r="X276" s="17">
        <v>0</v>
      </c>
      <c r="Y276" s="23">
        <v>0</v>
      </c>
      <c r="Z276" s="24"/>
    </row>
    <row r="277" spans="1:26">
      <c r="A277" s="6" t="s">
        <v>14</v>
      </c>
      <c r="B277" t="s">
        <v>745</v>
      </c>
      <c r="C277" t="s">
        <v>853</v>
      </c>
      <c r="D277" s="4">
        <v>46185</v>
      </c>
      <c r="E277">
        <v>83500</v>
      </c>
      <c r="F277" s="5">
        <v>23680</v>
      </c>
      <c r="G277" s="5">
        <v>59820</v>
      </c>
      <c r="H277" t="s">
        <v>842</v>
      </c>
      <c r="I277" s="1">
        <v>46794</v>
      </c>
      <c r="J277" s="9">
        <v>107112914579</v>
      </c>
      <c r="K277" t="s">
        <v>1387</v>
      </c>
      <c r="L277" t="s">
        <v>844</v>
      </c>
      <c r="M277" t="s">
        <v>1388</v>
      </c>
      <c r="N277" s="1">
        <v>45795</v>
      </c>
      <c r="O277">
        <v>5</v>
      </c>
      <c r="P277" s="11">
        <v>46192</v>
      </c>
      <c r="Q277" s="17">
        <f t="shared" si="4"/>
        <v>0</v>
      </c>
      <c r="R277" s="3">
        <v>17</v>
      </c>
      <c r="S277" s="3">
        <v>2760</v>
      </c>
      <c r="T277" s="2">
        <v>46829</v>
      </c>
      <c r="U277" s="3">
        <v>1860</v>
      </c>
      <c r="X277" s="17">
        <v>0</v>
      </c>
      <c r="Y277" s="23">
        <v>0</v>
      </c>
      <c r="Z277" s="24"/>
    </row>
    <row r="278" spans="1:26">
      <c r="A278" s="6" t="s">
        <v>14</v>
      </c>
      <c r="B278" t="s">
        <v>820</v>
      </c>
      <c r="C278" t="s">
        <v>867</v>
      </c>
      <c r="D278" s="4">
        <v>46185</v>
      </c>
      <c r="E278">
        <v>34750</v>
      </c>
      <c r="F278" s="5">
        <v>19200</v>
      </c>
      <c r="G278" s="5">
        <v>15550</v>
      </c>
      <c r="H278" t="s">
        <v>842</v>
      </c>
      <c r="I278" s="1">
        <v>46429</v>
      </c>
      <c r="J278" s="9">
        <v>107113147060</v>
      </c>
      <c r="K278" t="s">
        <v>1389</v>
      </c>
      <c r="L278" t="s">
        <v>844</v>
      </c>
      <c r="M278" t="s">
        <v>1390</v>
      </c>
      <c r="N278" s="1">
        <v>45821</v>
      </c>
      <c r="O278">
        <v>3</v>
      </c>
      <c r="P278" s="11">
        <v>46192</v>
      </c>
      <c r="Q278" s="17">
        <f t="shared" si="4"/>
        <v>1920</v>
      </c>
      <c r="R278" s="3">
        <v>3</v>
      </c>
      <c r="S278" s="3">
        <v>1920</v>
      </c>
      <c r="T278" s="2">
        <v>46449</v>
      </c>
      <c r="U278" s="3">
        <v>190</v>
      </c>
      <c r="X278" s="17">
        <v>1920</v>
      </c>
      <c r="Y278" s="23">
        <v>0</v>
      </c>
      <c r="Z278" s="24"/>
    </row>
    <row r="279" spans="1:26">
      <c r="A279" s="6" t="s">
        <v>14</v>
      </c>
      <c r="B279" t="s">
        <v>453</v>
      </c>
      <c r="C279" t="s">
        <v>841</v>
      </c>
      <c r="D279" s="4">
        <v>46185</v>
      </c>
      <c r="E279">
        <v>20000</v>
      </c>
      <c r="F279" s="5">
        <v>10395</v>
      </c>
      <c r="G279" s="5">
        <v>9605</v>
      </c>
      <c r="H279" t="s">
        <v>842</v>
      </c>
      <c r="I279" s="1">
        <v>46429</v>
      </c>
      <c r="J279" s="9">
        <v>107112417266</v>
      </c>
      <c r="K279" t="s">
        <v>1391</v>
      </c>
      <c r="L279" t="s">
        <v>844</v>
      </c>
      <c r="M279" t="s">
        <v>1392</v>
      </c>
      <c r="N279" s="1">
        <v>45742</v>
      </c>
      <c r="O279">
        <v>3</v>
      </c>
      <c r="P279" s="11">
        <v>46192</v>
      </c>
      <c r="Q279" s="17">
        <f t="shared" si="4"/>
        <v>0</v>
      </c>
      <c r="R279" s="3">
        <v>10</v>
      </c>
      <c r="S279" s="3">
        <v>1155</v>
      </c>
      <c r="T279" s="2">
        <v>46456</v>
      </c>
      <c r="U279" s="3">
        <v>365</v>
      </c>
      <c r="X279" s="17">
        <v>0</v>
      </c>
      <c r="Y279" s="23">
        <v>0</v>
      </c>
      <c r="Z279" s="24"/>
    </row>
    <row r="280" spans="1:26">
      <c r="A280" s="6" t="s">
        <v>14</v>
      </c>
      <c r="B280" t="s">
        <v>290</v>
      </c>
      <c r="C280" t="s">
        <v>890</v>
      </c>
      <c r="D280" s="4">
        <v>46185</v>
      </c>
      <c r="E280">
        <v>79600</v>
      </c>
      <c r="F280" s="5">
        <v>27000</v>
      </c>
      <c r="G280" s="5">
        <v>52600</v>
      </c>
      <c r="H280" t="s">
        <v>842</v>
      </c>
      <c r="I280" s="1">
        <v>46823</v>
      </c>
      <c r="J280" s="9">
        <v>101130951610</v>
      </c>
      <c r="K280" t="s">
        <v>1393</v>
      </c>
      <c r="L280" t="s">
        <v>848</v>
      </c>
      <c r="M280" t="s">
        <v>1394</v>
      </c>
      <c r="N280" s="1">
        <v>45806</v>
      </c>
      <c r="O280">
        <v>5</v>
      </c>
      <c r="P280" s="11">
        <v>46192</v>
      </c>
      <c r="Q280" s="17">
        <f t="shared" si="4"/>
        <v>0</v>
      </c>
      <c r="R280" s="3">
        <v>10</v>
      </c>
      <c r="S280" s="3">
        <v>2520</v>
      </c>
      <c r="T280" s="2">
        <v>46853</v>
      </c>
      <c r="U280" s="3">
        <v>2200</v>
      </c>
      <c r="X280" s="17">
        <v>0</v>
      </c>
      <c r="Y280" s="23">
        <v>0</v>
      </c>
      <c r="Z280" s="24"/>
    </row>
    <row r="281" spans="1:26">
      <c r="A281" s="6" t="s">
        <v>14</v>
      </c>
      <c r="B281" t="s">
        <v>135</v>
      </c>
      <c r="C281" t="s">
        <v>910</v>
      </c>
      <c r="D281" s="4">
        <v>46185</v>
      </c>
      <c r="E281">
        <v>98888</v>
      </c>
      <c r="F281" s="5">
        <v>55126.67</v>
      </c>
      <c r="G281" s="5">
        <v>43761.33</v>
      </c>
      <c r="H281" t="s">
        <v>842</v>
      </c>
      <c r="I281" s="1">
        <v>46429</v>
      </c>
      <c r="J281" s="9">
        <v>101129629405</v>
      </c>
      <c r="K281" t="s">
        <v>1395</v>
      </c>
      <c r="L281" t="s">
        <v>848</v>
      </c>
      <c r="M281" t="s">
        <v>1396</v>
      </c>
      <c r="N281" s="1">
        <v>45739</v>
      </c>
      <c r="O281">
        <v>3</v>
      </c>
      <c r="P281" s="11">
        <v>46192</v>
      </c>
      <c r="Q281" s="17">
        <f t="shared" si="4"/>
        <v>0</v>
      </c>
      <c r="R281" s="3">
        <v>31</v>
      </c>
      <c r="S281" s="3">
        <v>5244</v>
      </c>
      <c r="T281" s="2">
        <v>46446</v>
      </c>
      <c r="U281" s="3">
        <v>1809.33</v>
      </c>
      <c r="X281" s="17">
        <v>0</v>
      </c>
      <c r="Y281" s="23">
        <v>0</v>
      </c>
      <c r="Z281" s="24"/>
    </row>
    <row r="282" spans="1:26">
      <c r="A282" s="6" t="s">
        <v>14</v>
      </c>
      <c r="B282" t="s">
        <v>153</v>
      </c>
      <c r="C282" t="s">
        <v>846</v>
      </c>
      <c r="D282" s="4">
        <v>46185</v>
      </c>
      <c r="E282">
        <v>100000</v>
      </c>
      <c r="F282" s="5">
        <v>33060</v>
      </c>
      <c r="G282" s="5">
        <v>66940</v>
      </c>
      <c r="H282" t="s">
        <v>842</v>
      </c>
      <c r="I282" s="1">
        <v>46794</v>
      </c>
      <c r="J282" s="9">
        <v>101129828082</v>
      </c>
      <c r="K282" t="s">
        <v>1003</v>
      </c>
      <c r="L282" t="s">
        <v>848</v>
      </c>
      <c r="M282" t="s">
        <v>1397</v>
      </c>
      <c r="N282" s="1">
        <v>45757</v>
      </c>
      <c r="O282">
        <v>5</v>
      </c>
      <c r="P282" s="11">
        <v>46192</v>
      </c>
      <c r="Q282" s="17">
        <f t="shared" si="4"/>
        <v>0</v>
      </c>
      <c r="R282" s="3">
        <v>24</v>
      </c>
      <c r="S282" s="3">
        <v>3306</v>
      </c>
      <c r="T282" s="2">
        <v>46807</v>
      </c>
      <c r="U282" s="3">
        <v>820</v>
      </c>
      <c r="X282" s="17">
        <v>0</v>
      </c>
      <c r="Y282" s="23">
        <v>0</v>
      </c>
      <c r="Z282" s="24"/>
    </row>
    <row r="283" spans="1:26">
      <c r="A283" s="6" t="s">
        <v>14</v>
      </c>
      <c r="B283" t="s">
        <v>505</v>
      </c>
      <c r="C283" t="s">
        <v>990</v>
      </c>
      <c r="D283" s="4">
        <v>46185</v>
      </c>
      <c r="E283">
        <v>8910</v>
      </c>
      <c r="F283" s="5">
        <v>4940</v>
      </c>
      <c r="G283" s="5">
        <v>3970</v>
      </c>
      <c r="H283" t="s">
        <v>842</v>
      </c>
      <c r="I283" s="1">
        <v>46429</v>
      </c>
      <c r="J283" s="9">
        <v>107112552822</v>
      </c>
      <c r="K283" t="s">
        <v>1398</v>
      </c>
      <c r="L283" t="s">
        <v>844</v>
      </c>
      <c r="M283" t="s">
        <v>1399</v>
      </c>
      <c r="N283" s="1">
        <v>45759</v>
      </c>
      <c r="O283">
        <v>3</v>
      </c>
      <c r="P283" s="11">
        <v>46192</v>
      </c>
      <c r="Q283" s="17">
        <f t="shared" si="4"/>
        <v>494</v>
      </c>
      <c r="R283" s="3">
        <v>24</v>
      </c>
      <c r="S283" s="3">
        <v>494</v>
      </c>
      <c r="T283" s="2">
        <v>46442</v>
      </c>
      <c r="U283" s="3">
        <v>18</v>
      </c>
      <c r="X283" s="17">
        <v>494</v>
      </c>
      <c r="Y283" s="23">
        <v>0</v>
      </c>
      <c r="Z283" s="24"/>
    </row>
    <row r="284" spans="1:26">
      <c r="A284" s="6" t="s">
        <v>14</v>
      </c>
      <c r="B284" t="s">
        <v>725</v>
      </c>
      <c r="C284" t="s">
        <v>853</v>
      </c>
      <c r="D284" s="4">
        <v>46185</v>
      </c>
      <c r="E284">
        <v>100000</v>
      </c>
      <c r="F284" s="5">
        <v>30513</v>
      </c>
      <c r="G284" s="5">
        <v>69487</v>
      </c>
      <c r="H284" t="s">
        <v>842</v>
      </c>
      <c r="I284" s="1">
        <v>46732</v>
      </c>
      <c r="J284" s="9">
        <v>107112885802</v>
      </c>
      <c r="K284" t="s">
        <v>1159</v>
      </c>
      <c r="L284" t="s">
        <v>844</v>
      </c>
      <c r="M284" t="s">
        <v>1400</v>
      </c>
      <c r="N284" s="1">
        <v>45791</v>
      </c>
      <c r="O284">
        <v>5</v>
      </c>
      <c r="P284" s="11">
        <v>46192</v>
      </c>
      <c r="Q284" s="17">
        <f t="shared" si="4"/>
        <v>0</v>
      </c>
      <c r="R284" s="3">
        <v>17</v>
      </c>
      <c r="S284" s="3">
        <v>3531</v>
      </c>
      <c r="T284" s="2">
        <v>46769</v>
      </c>
      <c r="U284" s="3">
        <v>2398</v>
      </c>
      <c r="X284" s="17">
        <v>0</v>
      </c>
      <c r="Y284" s="23">
        <v>0</v>
      </c>
      <c r="Z284" s="24"/>
    </row>
    <row r="285" spans="1:26">
      <c r="A285" s="6" t="s">
        <v>14</v>
      </c>
      <c r="B285" t="s">
        <v>804</v>
      </c>
      <c r="C285" t="s">
        <v>1075</v>
      </c>
      <c r="D285" s="4">
        <v>46185</v>
      </c>
      <c r="E285">
        <v>88000</v>
      </c>
      <c r="F285" s="5">
        <v>24567</v>
      </c>
      <c r="G285" s="5">
        <v>63433</v>
      </c>
      <c r="H285" t="s">
        <v>842</v>
      </c>
      <c r="I285" s="1">
        <v>46823</v>
      </c>
      <c r="J285" s="9">
        <v>107113054965</v>
      </c>
      <c r="K285" t="s">
        <v>1401</v>
      </c>
      <c r="L285" t="s">
        <v>844</v>
      </c>
      <c r="M285" t="s">
        <v>1402</v>
      </c>
      <c r="N285" s="1">
        <v>45809</v>
      </c>
      <c r="O285">
        <v>5</v>
      </c>
      <c r="P285" s="11">
        <v>46192</v>
      </c>
      <c r="Q285" s="17">
        <f t="shared" si="4"/>
        <v>0</v>
      </c>
      <c r="R285" s="3">
        <v>24</v>
      </c>
      <c r="S285" s="3">
        <v>2806</v>
      </c>
      <c r="T285" s="2">
        <v>46867</v>
      </c>
      <c r="U285" s="3">
        <v>1980</v>
      </c>
      <c r="X285" s="17">
        <v>0</v>
      </c>
      <c r="Y285" s="23">
        <v>0</v>
      </c>
      <c r="Z285" s="24"/>
    </row>
    <row r="286" spans="1:26">
      <c r="A286" s="6" t="s">
        <v>14</v>
      </c>
      <c r="B286" t="s">
        <v>203</v>
      </c>
      <c r="C286" t="s">
        <v>850</v>
      </c>
      <c r="D286" s="4">
        <v>46185</v>
      </c>
      <c r="E286">
        <v>74625</v>
      </c>
      <c r="F286" s="5">
        <v>26800</v>
      </c>
      <c r="G286" s="5">
        <v>47825</v>
      </c>
      <c r="H286" t="s">
        <v>842</v>
      </c>
      <c r="I286" s="1">
        <v>46794</v>
      </c>
      <c r="J286" s="9">
        <v>101130185627</v>
      </c>
      <c r="K286" t="s">
        <v>1403</v>
      </c>
      <c r="L286" t="s">
        <v>848</v>
      </c>
      <c r="M286" t="s">
        <v>1404</v>
      </c>
      <c r="N286" s="1">
        <v>45767</v>
      </c>
      <c r="O286">
        <v>5</v>
      </c>
      <c r="P286" s="11">
        <v>46192</v>
      </c>
      <c r="Q286" s="17">
        <f t="shared" si="4"/>
        <v>2460</v>
      </c>
      <c r="R286" s="3">
        <v>24</v>
      </c>
      <c r="S286" s="3">
        <v>2460</v>
      </c>
      <c r="T286" s="2">
        <v>46807</v>
      </c>
      <c r="U286" s="3">
        <v>1085</v>
      </c>
      <c r="X286" s="17">
        <v>2460</v>
      </c>
      <c r="Y286" s="23">
        <v>0</v>
      </c>
      <c r="Z286" s="24"/>
    </row>
    <row r="287" spans="1:26">
      <c r="A287" s="6" t="s">
        <v>14</v>
      </c>
      <c r="B287" t="s">
        <v>427</v>
      </c>
      <c r="C287" t="s">
        <v>864</v>
      </c>
      <c r="D287" s="4">
        <v>46185</v>
      </c>
      <c r="E287">
        <v>151204</v>
      </c>
      <c r="F287" s="5">
        <v>44800</v>
      </c>
      <c r="G287" s="5">
        <v>106404</v>
      </c>
      <c r="H287" t="s">
        <v>842</v>
      </c>
      <c r="I287" s="1">
        <v>46945</v>
      </c>
      <c r="J287" s="9">
        <v>107112336393</v>
      </c>
      <c r="K287" t="s">
        <v>1405</v>
      </c>
      <c r="L287" t="s">
        <v>844</v>
      </c>
      <c r="M287" t="s">
        <v>1406</v>
      </c>
      <c r="N287" s="1">
        <v>45742</v>
      </c>
      <c r="O287">
        <v>6</v>
      </c>
      <c r="P287" s="11">
        <v>46192</v>
      </c>
      <c r="Q287" s="17">
        <f t="shared" si="4"/>
        <v>0</v>
      </c>
      <c r="R287" s="3">
        <v>17</v>
      </c>
      <c r="S287" s="3">
        <v>4200</v>
      </c>
      <c r="T287" s="2">
        <v>46982</v>
      </c>
      <c r="U287" s="3">
        <v>1404</v>
      </c>
      <c r="X287" s="17">
        <v>0</v>
      </c>
      <c r="Y287" s="23">
        <v>0</v>
      </c>
      <c r="Z287" s="24"/>
    </row>
    <row r="288" spans="1:26">
      <c r="A288" s="6" t="s">
        <v>14</v>
      </c>
      <c r="B288" t="s">
        <v>209</v>
      </c>
      <c r="C288" t="s">
        <v>846</v>
      </c>
      <c r="D288" s="4">
        <v>46185</v>
      </c>
      <c r="E288">
        <v>187000</v>
      </c>
      <c r="F288" s="5">
        <v>56956.67</v>
      </c>
      <c r="G288" s="5">
        <v>130043.33</v>
      </c>
      <c r="H288" t="s">
        <v>842</v>
      </c>
      <c r="I288" s="1">
        <v>46884</v>
      </c>
      <c r="J288" s="9">
        <v>101130204849</v>
      </c>
      <c r="K288" t="s">
        <v>1407</v>
      </c>
      <c r="L288" t="s">
        <v>848</v>
      </c>
      <c r="M288" t="s">
        <v>1408</v>
      </c>
      <c r="N288" s="1">
        <v>45778</v>
      </c>
      <c r="O288">
        <v>5</v>
      </c>
      <c r="P288" s="11">
        <v>46192</v>
      </c>
      <c r="Q288" s="17">
        <f t="shared" si="4"/>
        <v>0</v>
      </c>
      <c r="R288" s="3">
        <v>3</v>
      </c>
      <c r="S288" s="3">
        <v>5760</v>
      </c>
      <c r="T288" s="2">
        <v>46876</v>
      </c>
      <c r="U288" s="3">
        <v>3323.3299999999899</v>
      </c>
      <c r="X288" s="17">
        <v>0</v>
      </c>
      <c r="Y288" s="23">
        <v>0</v>
      </c>
      <c r="Z288" s="24"/>
    </row>
    <row r="289" spans="1:26">
      <c r="A289" s="6" t="s">
        <v>14</v>
      </c>
      <c r="B289" t="s">
        <v>671</v>
      </c>
      <c r="C289" t="s">
        <v>870</v>
      </c>
      <c r="D289" s="4">
        <v>46185</v>
      </c>
      <c r="E289">
        <v>100000</v>
      </c>
      <c r="F289" s="5">
        <v>35280</v>
      </c>
      <c r="G289" s="5">
        <v>64720</v>
      </c>
      <c r="H289" t="s">
        <v>842</v>
      </c>
      <c r="I289" s="1">
        <v>46732</v>
      </c>
      <c r="J289" s="9">
        <v>107112782472</v>
      </c>
      <c r="K289" t="s">
        <v>1409</v>
      </c>
      <c r="L289" t="s">
        <v>844</v>
      </c>
      <c r="M289" t="s">
        <v>1410</v>
      </c>
      <c r="N289" s="1">
        <v>45781</v>
      </c>
      <c r="O289">
        <v>5</v>
      </c>
      <c r="P289" s="11">
        <v>46192</v>
      </c>
      <c r="Q289" s="17">
        <f t="shared" si="4"/>
        <v>3360</v>
      </c>
      <c r="R289" s="3">
        <v>3</v>
      </c>
      <c r="S289" s="3">
        <v>3360</v>
      </c>
      <c r="T289" s="2">
        <v>46755</v>
      </c>
      <c r="U289" s="3">
        <v>2560</v>
      </c>
      <c r="X289" s="17">
        <v>3360</v>
      </c>
      <c r="Y289" s="23">
        <v>0</v>
      </c>
      <c r="Z289" s="24"/>
    </row>
    <row r="290" spans="1:26">
      <c r="A290" s="6" t="s">
        <v>14</v>
      </c>
      <c r="B290" t="s">
        <v>590</v>
      </c>
      <c r="C290" t="s">
        <v>880</v>
      </c>
      <c r="D290" s="4">
        <v>46185</v>
      </c>
      <c r="E290">
        <v>27758</v>
      </c>
      <c r="F290" s="5">
        <v>16401</v>
      </c>
      <c r="G290" s="5">
        <v>11357</v>
      </c>
      <c r="H290" t="s">
        <v>842</v>
      </c>
      <c r="I290" s="1">
        <v>46398</v>
      </c>
      <c r="J290" s="9">
        <v>107112652640</v>
      </c>
      <c r="K290" t="s">
        <v>1013</v>
      </c>
      <c r="L290" t="s">
        <v>844</v>
      </c>
      <c r="M290" t="s">
        <v>1411</v>
      </c>
      <c r="N290" s="1">
        <v>45767</v>
      </c>
      <c r="O290">
        <v>3</v>
      </c>
      <c r="P290" s="11">
        <v>46192</v>
      </c>
      <c r="Q290" s="17">
        <f t="shared" si="4"/>
        <v>0</v>
      </c>
      <c r="R290" s="3">
        <v>10</v>
      </c>
      <c r="S290" s="3">
        <v>1491</v>
      </c>
      <c r="T290" s="2">
        <v>46428</v>
      </c>
      <c r="U290" s="3">
        <v>920</v>
      </c>
      <c r="X290" s="17">
        <v>0</v>
      </c>
      <c r="Y290" s="23">
        <v>0</v>
      </c>
      <c r="Z290" s="24"/>
    </row>
    <row r="291" spans="1:26">
      <c r="A291" s="6" t="s">
        <v>14</v>
      </c>
      <c r="B291" t="s">
        <v>397</v>
      </c>
      <c r="C291" t="s">
        <v>907</v>
      </c>
      <c r="D291" s="4">
        <v>46185</v>
      </c>
      <c r="E291">
        <v>84713</v>
      </c>
      <c r="F291" s="5">
        <v>29600</v>
      </c>
      <c r="G291" s="5">
        <v>55113</v>
      </c>
      <c r="H291" t="s">
        <v>842</v>
      </c>
      <c r="I291" s="1">
        <v>46763</v>
      </c>
      <c r="J291" s="9">
        <v>107112283712</v>
      </c>
      <c r="K291" t="s">
        <v>1412</v>
      </c>
      <c r="L291" t="s">
        <v>844</v>
      </c>
      <c r="M291" t="s">
        <v>1413</v>
      </c>
      <c r="N291" s="1">
        <v>45753</v>
      </c>
      <c r="O291">
        <v>5</v>
      </c>
      <c r="P291" s="11">
        <v>46192</v>
      </c>
      <c r="Q291" s="17">
        <f t="shared" si="4"/>
        <v>1600</v>
      </c>
      <c r="R291" s="3">
        <v>3</v>
      </c>
      <c r="S291" s="3">
        <v>2800</v>
      </c>
      <c r="T291" s="2">
        <v>46786</v>
      </c>
      <c r="U291" s="3">
        <v>1913</v>
      </c>
      <c r="X291" s="17">
        <v>1600</v>
      </c>
      <c r="Y291" s="23">
        <v>0</v>
      </c>
      <c r="Z291" s="24"/>
    </row>
    <row r="292" spans="1:26">
      <c r="A292" s="6" t="s">
        <v>14</v>
      </c>
      <c r="B292" t="s">
        <v>133</v>
      </c>
      <c r="C292" t="s">
        <v>910</v>
      </c>
      <c r="D292" s="4">
        <v>46185</v>
      </c>
      <c r="E292">
        <v>93833</v>
      </c>
      <c r="F292" s="5">
        <v>36633.339999999997</v>
      </c>
      <c r="G292" s="5">
        <v>57199.66</v>
      </c>
      <c r="H292" t="s">
        <v>842</v>
      </c>
      <c r="I292" s="1">
        <v>46702</v>
      </c>
      <c r="J292" s="9">
        <v>101129626038</v>
      </c>
      <c r="K292" t="s">
        <v>1414</v>
      </c>
      <c r="L292" t="s">
        <v>848</v>
      </c>
      <c r="M292" t="s">
        <v>1415</v>
      </c>
      <c r="N292" s="1">
        <v>45738</v>
      </c>
      <c r="O292">
        <v>5</v>
      </c>
      <c r="P292" s="11">
        <v>46192</v>
      </c>
      <c r="Q292" s="17">
        <f t="shared" si="4"/>
        <v>0</v>
      </c>
      <c r="R292" s="3">
        <v>31</v>
      </c>
      <c r="S292" s="3">
        <v>3150</v>
      </c>
      <c r="T292" s="2">
        <v>46721</v>
      </c>
      <c r="U292" s="3">
        <v>3066.33</v>
      </c>
      <c r="X292" s="17">
        <v>0</v>
      </c>
      <c r="Y292" s="23">
        <v>0</v>
      </c>
      <c r="Z292" s="24"/>
    </row>
    <row r="293" spans="1:26">
      <c r="A293" s="6" t="s">
        <v>14</v>
      </c>
      <c r="B293" t="s">
        <v>580</v>
      </c>
      <c r="C293" t="s">
        <v>1140</v>
      </c>
      <c r="D293" s="4">
        <v>46185</v>
      </c>
      <c r="E293">
        <v>37493</v>
      </c>
      <c r="F293" s="5">
        <v>13794</v>
      </c>
      <c r="G293" s="5">
        <v>23699</v>
      </c>
      <c r="H293" t="s">
        <v>842</v>
      </c>
      <c r="I293" s="1">
        <v>46732</v>
      </c>
      <c r="J293" s="9">
        <v>107112640254</v>
      </c>
      <c r="K293" t="s">
        <v>1416</v>
      </c>
      <c r="L293" t="s">
        <v>844</v>
      </c>
      <c r="M293" t="s">
        <v>1417</v>
      </c>
      <c r="N293" s="1">
        <v>45766</v>
      </c>
      <c r="O293">
        <v>5</v>
      </c>
      <c r="P293" s="11">
        <v>46192</v>
      </c>
      <c r="Q293" s="17">
        <f t="shared" si="4"/>
        <v>1254</v>
      </c>
      <c r="R293" s="3">
        <v>17</v>
      </c>
      <c r="S293" s="3">
        <v>1254</v>
      </c>
      <c r="T293" s="2">
        <v>46769</v>
      </c>
      <c r="U293" s="3">
        <v>1127</v>
      </c>
      <c r="X293" s="17">
        <v>1254</v>
      </c>
      <c r="Y293" s="23">
        <v>0</v>
      </c>
      <c r="Z293" s="24"/>
    </row>
    <row r="294" spans="1:26">
      <c r="A294" s="6" t="s">
        <v>14</v>
      </c>
      <c r="B294" t="s">
        <v>183</v>
      </c>
      <c r="C294" t="s">
        <v>850</v>
      </c>
      <c r="D294" s="4">
        <v>46185</v>
      </c>
      <c r="E294">
        <v>87520</v>
      </c>
      <c r="F294" s="5">
        <v>31783.33</v>
      </c>
      <c r="G294" s="5">
        <v>55736.67</v>
      </c>
      <c r="H294" t="s">
        <v>842</v>
      </c>
      <c r="I294" s="1">
        <v>46794</v>
      </c>
      <c r="J294" s="9">
        <v>101130021966</v>
      </c>
      <c r="K294" t="s">
        <v>1418</v>
      </c>
      <c r="L294" t="s">
        <v>848</v>
      </c>
      <c r="M294" t="s">
        <v>1419</v>
      </c>
      <c r="N294" s="1">
        <v>45768</v>
      </c>
      <c r="O294">
        <v>5</v>
      </c>
      <c r="P294" s="11">
        <v>46192</v>
      </c>
      <c r="Q294" s="17">
        <f t="shared" si="4"/>
        <v>0</v>
      </c>
      <c r="R294" s="3">
        <v>10</v>
      </c>
      <c r="S294" s="3">
        <v>2924</v>
      </c>
      <c r="T294" s="2">
        <v>46793</v>
      </c>
      <c r="U294" s="3">
        <v>180.669999999998</v>
      </c>
      <c r="X294" s="17">
        <v>0</v>
      </c>
      <c r="Y294" s="23">
        <v>0</v>
      </c>
      <c r="Z294" s="24"/>
    </row>
    <row r="295" spans="1:26">
      <c r="A295" s="6" t="s">
        <v>14</v>
      </c>
      <c r="B295" t="s">
        <v>381</v>
      </c>
      <c r="C295" t="s">
        <v>880</v>
      </c>
      <c r="D295" s="4">
        <v>46185</v>
      </c>
      <c r="E295">
        <v>129002</v>
      </c>
      <c r="F295" s="5">
        <v>24090</v>
      </c>
      <c r="G295" s="5">
        <v>104912</v>
      </c>
      <c r="H295" t="s">
        <v>842</v>
      </c>
      <c r="I295" s="1">
        <v>46763</v>
      </c>
      <c r="J295" s="14">
        <v>107114962154</v>
      </c>
      <c r="K295" t="s">
        <v>1420</v>
      </c>
      <c r="L295" t="s">
        <v>844</v>
      </c>
      <c r="M295" t="s">
        <v>1421</v>
      </c>
      <c r="N295" s="1">
        <v>45728</v>
      </c>
      <c r="O295">
        <v>5</v>
      </c>
      <c r="P295" s="11">
        <v>46192</v>
      </c>
      <c r="Q295" s="17">
        <f t="shared" si="4"/>
        <v>0</v>
      </c>
      <c r="R295" s="3">
        <v>10</v>
      </c>
      <c r="S295" s="3">
        <v>4234</v>
      </c>
      <c r="T295" s="2">
        <v>46793</v>
      </c>
      <c r="U295" s="3">
        <v>3296</v>
      </c>
      <c r="X295" s="17">
        <v>0</v>
      </c>
      <c r="Y295" s="23">
        <v>0</v>
      </c>
      <c r="Z295" s="24"/>
    </row>
    <row r="296" spans="1:26">
      <c r="A296" s="6" t="s">
        <v>14</v>
      </c>
      <c r="B296" t="s">
        <v>415</v>
      </c>
      <c r="C296" t="s">
        <v>990</v>
      </c>
      <c r="D296" s="4">
        <v>46185</v>
      </c>
      <c r="E296">
        <v>46731</v>
      </c>
      <c r="F296" s="5">
        <v>17285</v>
      </c>
      <c r="G296" s="5">
        <v>29446</v>
      </c>
      <c r="H296" t="s">
        <v>842</v>
      </c>
      <c r="I296" s="1">
        <v>46702</v>
      </c>
      <c r="J296" s="9">
        <v>107112318319</v>
      </c>
      <c r="K296" t="s">
        <v>1422</v>
      </c>
      <c r="L296" t="s">
        <v>844</v>
      </c>
      <c r="M296" t="s">
        <v>1423</v>
      </c>
      <c r="N296" s="1">
        <v>45732</v>
      </c>
      <c r="O296">
        <v>5</v>
      </c>
      <c r="P296" s="11">
        <v>46192</v>
      </c>
      <c r="Q296" s="17">
        <f t="shared" si="4"/>
        <v>0</v>
      </c>
      <c r="R296" s="3">
        <v>17</v>
      </c>
      <c r="S296" s="3">
        <v>1632</v>
      </c>
      <c r="T296" s="2">
        <v>46738</v>
      </c>
      <c r="U296" s="3">
        <v>1035</v>
      </c>
      <c r="X296" s="17">
        <v>0</v>
      </c>
      <c r="Y296" s="23">
        <v>0</v>
      </c>
      <c r="Z296" s="24"/>
    </row>
    <row r="297" spans="1:26">
      <c r="A297" s="6" t="s">
        <v>14</v>
      </c>
      <c r="B297" t="s">
        <v>300</v>
      </c>
      <c r="C297" t="s">
        <v>846</v>
      </c>
      <c r="D297" s="4">
        <v>46185</v>
      </c>
      <c r="E297">
        <v>75800</v>
      </c>
      <c r="F297" s="5">
        <v>24980</v>
      </c>
      <c r="G297" s="5">
        <v>50820</v>
      </c>
      <c r="H297" t="s">
        <v>842</v>
      </c>
      <c r="I297" s="1">
        <v>46823</v>
      </c>
      <c r="J297" s="9">
        <v>101131160445</v>
      </c>
      <c r="K297" t="s">
        <v>1424</v>
      </c>
      <c r="L297" t="s">
        <v>848</v>
      </c>
      <c r="M297" t="s">
        <v>1425</v>
      </c>
      <c r="N297" s="1">
        <v>45817</v>
      </c>
      <c r="O297">
        <v>5</v>
      </c>
      <c r="P297" s="11">
        <v>46192</v>
      </c>
      <c r="Q297" s="17">
        <f t="shared" si="4"/>
        <v>2520</v>
      </c>
      <c r="R297" s="3">
        <v>24</v>
      </c>
      <c r="S297" s="3">
        <v>2520</v>
      </c>
      <c r="T297" s="2">
        <v>46836</v>
      </c>
      <c r="U297" s="3">
        <v>420</v>
      </c>
      <c r="X297" s="17">
        <v>2520</v>
      </c>
      <c r="Y297" s="23">
        <v>0</v>
      </c>
      <c r="Z297" s="24"/>
    </row>
    <row r="298" spans="1:26">
      <c r="A298" s="6" t="s">
        <v>14</v>
      </c>
      <c r="B298" t="s">
        <v>733</v>
      </c>
      <c r="C298" t="s">
        <v>853</v>
      </c>
      <c r="D298" s="4">
        <v>46185</v>
      </c>
      <c r="E298">
        <v>100000</v>
      </c>
      <c r="F298" s="5">
        <v>31520</v>
      </c>
      <c r="G298" s="5">
        <v>68480</v>
      </c>
      <c r="H298" t="s">
        <v>842</v>
      </c>
      <c r="I298" s="1">
        <v>46763</v>
      </c>
      <c r="J298" s="9">
        <v>107112893589</v>
      </c>
      <c r="K298" t="s">
        <v>1159</v>
      </c>
      <c r="L298" t="s">
        <v>844</v>
      </c>
      <c r="M298" t="s">
        <v>1426</v>
      </c>
      <c r="N298" s="1">
        <v>45792</v>
      </c>
      <c r="O298">
        <v>5</v>
      </c>
      <c r="P298" s="11">
        <v>46192</v>
      </c>
      <c r="Q298" s="17">
        <f t="shared" si="4"/>
        <v>3465</v>
      </c>
      <c r="R298" s="3">
        <v>17</v>
      </c>
      <c r="S298" s="3">
        <v>3465</v>
      </c>
      <c r="T298" s="2">
        <v>46800</v>
      </c>
      <c r="U298" s="3">
        <v>755</v>
      </c>
      <c r="X298" s="17">
        <v>3465</v>
      </c>
      <c r="Y298" s="23">
        <v>0</v>
      </c>
      <c r="Z298" s="24"/>
    </row>
    <row r="299" spans="1:26">
      <c r="A299" s="6" t="s">
        <v>14</v>
      </c>
      <c r="B299" t="s">
        <v>694</v>
      </c>
      <c r="C299" t="s">
        <v>1140</v>
      </c>
      <c r="D299" s="4">
        <v>46185</v>
      </c>
      <c r="E299">
        <v>26600</v>
      </c>
      <c r="F299" s="5">
        <v>14520</v>
      </c>
      <c r="G299" s="5">
        <v>12080</v>
      </c>
      <c r="H299" t="s">
        <v>842</v>
      </c>
      <c r="I299" s="1">
        <v>46457</v>
      </c>
      <c r="J299" s="9">
        <v>107112817606</v>
      </c>
      <c r="K299" t="s">
        <v>1427</v>
      </c>
      <c r="L299" t="s">
        <v>844</v>
      </c>
      <c r="M299" t="s">
        <v>1428</v>
      </c>
      <c r="N299" s="1">
        <v>45787</v>
      </c>
      <c r="O299">
        <v>3</v>
      </c>
      <c r="P299" s="11">
        <v>46192</v>
      </c>
      <c r="Q299" s="17">
        <f t="shared" si="4"/>
        <v>0</v>
      </c>
      <c r="R299" s="3">
        <v>17</v>
      </c>
      <c r="S299" s="3">
        <v>1320</v>
      </c>
      <c r="T299" s="2">
        <v>46494</v>
      </c>
      <c r="U299" s="3">
        <v>200</v>
      </c>
      <c r="X299" s="17">
        <v>0</v>
      </c>
      <c r="Y299" s="23">
        <v>0</v>
      </c>
      <c r="Z299" s="24"/>
    </row>
    <row r="300" spans="1:26">
      <c r="A300" s="6" t="s">
        <v>14</v>
      </c>
      <c r="B300" t="s">
        <v>121</v>
      </c>
      <c r="C300" t="s">
        <v>846</v>
      </c>
      <c r="D300" s="4">
        <v>46185</v>
      </c>
      <c r="E300">
        <v>73818</v>
      </c>
      <c r="F300" s="5">
        <v>43066.67</v>
      </c>
      <c r="G300" s="5">
        <v>30751.33</v>
      </c>
      <c r="H300" t="s">
        <v>842</v>
      </c>
      <c r="I300" s="1">
        <v>46398</v>
      </c>
      <c r="J300" s="9">
        <v>101129543144</v>
      </c>
      <c r="K300" t="s">
        <v>1429</v>
      </c>
      <c r="L300" t="s">
        <v>848</v>
      </c>
      <c r="M300" t="s">
        <v>1430</v>
      </c>
      <c r="N300" s="1">
        <v>45735</v>
      </c>
      <c r="O300">
        <v>3</v>
      </c>
      <c r="P300" s="11">
        <v>46192</v>
      </c>
      <c r="Q300" s="17">
        <f t="shared" si="4"/>
        <v>0</v>
      </c>
      <c r="R300" s="3">
        <v>31</v>
      </c>
      <c r="S300" s="3">
        <v>3995</v>
      </c>
      <c r="T300" s="2">
        <v>46418</v>
      </c>
      <c r="U300" s="3">
        <v>2786.33</v>
      </c>
      <c r="X300" s="17">
        <v>0</v>
      </c>
      <c r="Y300" s="23">
        <v>0</v>
      </c>
      <c r="Z300" s="24"/>
    </row>
    <row r="301" spans="1:26">
      <c r="A301" s="6" t="s">
        <v>14</v>
      </c>
      <c r="B301" t="s">
        <v>459</v>
      </c>
      <c r="C301" t="s">
        <v>841</v>
      </c>
      <c r="D301" s="4">
        <v>46185</v>
      </c>
      <c r="E301">
        <v>118888</v>
      </c>
      <c r="F301" s="5">
        <v>39542</v>
      </c>
      <c r="G301" s="5">
        <v>79346</v>
      </c>
      <c r="H301" t="s">
        <v>842</v>
      </c>
      <c r="I301" s="1">
        <v>46732</v>
      </c>
      <c r="J301" s="9">
        <v>107112444178</v>
      </c>
      <c r="K301" t="s">
        <v>1431</v>
      </c>
      <c r="L301" t="s">
        <v>844</v>
      </c>
      <c r="M301" t="s">
        <v>1432</v>
      </c>
      <c r="N301" s="1">
        <v>45745</v>
      </c>
      <c r="O301">
        <v>5</v>
      </c>
      <c r="P301" s="11">
        <v>46192</v>
      </c>
      <c r="Q301" s="17">
        <f t="shared" si="4"/>
        <v>0</v>
      </c>
      <c r="R301" s="3">
        <v>17</v>
      </c>
      <c r="S301" s="3">
        <v>4018</v>
      </c>
      <c r="T301" s="2">
        <v>46769</v>
      </c>
      <c r="U301" s="3">
        <v>3004</v>
      </c>
      <c r="X301" s="17">
        <v>0</v>
      </c>
      <c r="Y301" s="23">
        <v>0</v>
      </c>
      <c r="Z301" s="24"/>
    </row>
    <row r="302" spans="1:26">
      <c r="A302" s="6" t="s">
        <v>14</v>
      </c>
      <c r="B302" t="s">
        <v>719</v>
      </c>
      <c r="C302" t="s">
        <v>853</v>
      </c>
      <c r="D302" s="4">
        <v>46185</v>
      </c>
      <c r="E302">
        <v>112151</v>
      </c>
      <c r="F302" s="5">
        <v>36250</v>
      </c>
      <c r="G302" s="5">
        <v>75901</v>
      </c>
      <c r="H302" t="s">
        <v>842</v>
      </c>
      <c r="I302" s="1">
        <v>46794</v>
      </c>
      <c r="J302" s="9">
        <v>107112880391</v>
      </c>
      <c r="K302" t="s">
        <v>1294</v>
      </c>
      <c r="L302" t="s">
        <v>844</v>
      </c>
      <c r="M302" t="s">
        <v>1433</v>
      </c>
      <c r="N302" s="1">
        <v>45792</v>
      </c>
      <c r="O302">
        <v>5</v>
      </c>
      <c r="P302" s="11">
        <v>46192</v>
      </c>
      <c r="Q302" s="17">
        <f t="shared" si="4"/>
        <v>0</v>
      </c>
      <c r="R302" s="3">
        <v>17</v>
      </c>
      <c r="S302" s="3">
        <v>3800</v>
      </c>
      <c r="T302" s="2">
        <v>46800</v>
      </c>
      <c r="U302" s="3">
        <v>3701</v>
      </c>
      <c r="X302" s="17">
        <v>0</v>
      </c>
      <c r="Y302" s="23">
        <v>0</v>
      </c>
      <c r="Z302" s="24"/>
    </row>
    <row r="303" spans="1:26">
      <c r="A303" s="6" t="s">
        <v>14</v>
      </c>
      <c r="B303" t="s">
        <v>373</v>
      </c>
      <c r="C303" t="s">
        <v>990</v>
      </c>
      <c r="D303" s="4">
        <v>46185</v>
      </c>
      <c r="E303">
        <v>220995</v>
      </c>
      <c r="F303" s="5">
        <v>81070</v>
      </c>
      <c r="G303" s="5">
        <v>139925</v>
      </c>
      <c r="H303" t="s">
        <v>842</v>
      </c>
      <c r="I303" s="1">
        <v>46763</v>
      </c>
      <c r="J303" s="9">
        <v>107112209353</v>
      </c>
      <c r="K303" t="s">
        <v>1434</v>
      </c>
      <c r="L303" t="s">
        <v>844</v>
      </c>
      <c r="M303" t="s">
        <v>1435</v>
      </c>
      <c r="N303" s="1">
        <v>45723</v>
      </c>
      <c r="O303">
        <v>5</v>
      </c>
      <c r="P303" s="11">
        <v>46192</v>
      </c>
      <c r="Q303" s="17">
        <f t="shared" si="4"/>
        <v>0</v>
      </c>
      <c r="R303" s="3">
        <v>24</v>
      </c>
      <c r="S303" s="3">
        <v>7370</v>
      </c>
      <c r="T303" s="2">
        <v>46776</v>
      </c>
      <c r="U303" s="3">
        <v>7265</v>
      </c>
      <c r="X303" s="17">
        <v>0</v>
      </c>
      <c r="Y303" s="23">
        <v>0</v>
      </c>
      <c r="Z303" s="24"/>
    </row>
    <row r="304" spans="1:26">
      <c r="A304" s="6" t="s">
        <v>14</v>
      </c>
      <c r="B304" t="s">
        <v>653</v>
      </c>
      <c r="C304" t="s">
        <v>853</v>
      </c>
      <c r="D304" s="4">
        <v>46185</v>
      </c>
      <c r="E304">
        <v>82697</v>
      </c>
      <c r="F304" s="5">
        <v>28600</v>
      </c>
      <c r="G304" s="5">
        <v>54097</v>
      </c>
      <c r="H304" t="s">
        <v>842</v>
      </c>
      <c r="I304" s="1">
        <v>46794</v>
      </c>
      <c r="J304" s="9">
        <v>107112750116</v>
      </c>
      <c r="K304" t="s">
        <v>1436</v>
      </c>
      <c r="L304" t="s">
        <v>844</v>
      </c>
      <c r="M304" t="s">
        <v>1437</v>
      </c>
      <c r="N304" s="1">
        <v>45776</v>
      </c>
      <c r="O304">
        <v>5</v>
      </c>
      <c r="P304" s="11">
        <v>46192</v>
      </c>
      <c r="Q304" s="17">
        <f t="shared" si="4"/>
        <v>0</v>
      </c>
      <c r="R304" s="3">
        <v>10</v>
      </c>
      <c r="S304" s="3">
        <v>2756</v>
      </c>
      <c r="T304" s="2">
        <v>46822</v>
      </c>
      <c r="U304" s="3">
        <v>693</v>
      </c>
      <c r="X304" s="17">
        <v>0</v>
      </c>
      <c r="Y304" s="23">
        <v>0</v>
      </c>
      <c r="Z304" s="24"/>
    </row>
    <row r="305" spans="1:26">
      <c r="A305" s="6" t="s">
        <v>14</v>
      </c>
      <c r="B305" t="s">
        <v>366</v>
      </c>
      <c r="C305" t="s">
        <v>1124</v>
      </c>
      <c r="D305" s="4">
        <v>46185</v>
      </c>
      <c r="E305">
        <v>104008</v>
      </c>
      <c r="F305" s="5">
        <v>38372</v>
      </c>
      <c r="G305" s="5">
        <v>65636</v>
      </c>
      <c r="H305" t="s">
        <v>842</v>
      </c>
      <c r="I305" s="1">
        <v>46884</v>
      </c>
      <c r="J305" s="9">
        <v>107112197894</v>
      </c>
      <c r="K305" t="s">
        <v>1438</v>
      </c>
      <c r="L305" t="s">
        <v>844</v>
      </c>
      <c r="M305" t="s">
        <v>1439</v>
      </c>
      <c r="N305" s="1">
        <v>45722</v>
      </c>
      <c r="O305">
        <v>6</v>
      </c>
      <c r="P305" s="11">
        <v>46192</v>
      </c>
      <c r="Q305" s="17">
        <f t="shared" si="4"/>
        <v>0</v>
      </c>
      <c r="R305" s="3">
        <v>24</v>
      </c>
      <c r="S305" s="3">
        <v>3016</v>
      </c>
      <c r="T305" s="2">
        <v>46897</v>
      </c>
      <c r="U305" s="3">
        <v>2300</v>
      </c>
      <c r="X305" s="17">
        <v>0</v>
      </c>
      <c r="Y305" s="23">
        <v>0</v>
      </c>
      <c r="Z305" s="24"/>
    </row>
    <row r="306" spans="1:26">
      <c r="A306" s="6" t="s">
        <v>14</v>
      </c>
      <c r="B306" s="7" t="s">
        <v>1666</v>
      </c>
      <c r="C306" t="s">
        <v>864</v>
      </c>
      <c r="D306" s="4">
        <v>46185</v>
      </c>
      <c r="E306">
        <v>22053</v>
      </c>
      <c r="F306" s="5">
        <v>21227</v>
      </c>
      <c r="G306" s="5">
        <v>826</v>
      </c>
      <c r="H306" s="7" t="s">
        <v>1664</v>
      </c>
      <c r="I306" s="1">
        <v>46641</v>
      </c>
      <c r="J306" s="9">
        <v>107112361831</v>
      </c>
      <c r="K306" t="s">
        <v>1440</v>
      </c>
      <c r="L306" t="s">
        <v>844</v>
      </c>
      <c r="M306" t="s">
        <v>1441</v>
      </c>
      <c r="N306" s="1">
        <v>45737</v>
      </c>
      <c r="O306">
        <v>5</v>
      </c>
      <c r="P306" s="11">
        <v>46192</v>
      </c>
      <c r="Q306" s="17">
        <f t="shared" si="4"/>
        <v>0</v>
      </c>
      <c r="R306" s="3">
        <v>3</v>
      </c>
      <c r="S306" s="3">
        <v>826</v>
      </c>
      <c r="T306" s="2">
        <v>46663</v>
      </c>
      <c r="U306" s="3">
        <v>577</v>
      </c>
      <c r="X306" s="17">
        <v>0</v>
      </c>
      <c r="Y306" s="23">
        <v>0</v>
      </c>
      <c r="Z306" s="24"/>
    </row>
    <row r="307" spans="1:26">
      <c r="A307" s="6" t="s">
        <v>14</v>
      </c>
      <c r="B307" t="s">
        <v>489</v>
      </c>
      <c r="C307" t="s">
        <v>880</v>
      </c>
      <c r="D307" s="4">
        <v>46185</v>
      </c>
      <c r="E307">
        <v>28225</v>
      </c>
      <c r="F307" s="5">
        <v>18150</v>
      </c>
      <c r="G307" s="5">
        <v>10075</v>
      </c>
      <c r="H307" t="s">
        <v>842</v>
      </c>
      <c r="I307" s="1">
        <v>46337</v>
      </c>
      <c r="J307" s="9">
        <v>107112504607</v>
      </c>
      <c r="K307" t="s">
        <v>1442</v>
      </c>
      <c r="L307" t="s">
        <v>844</v>
      </c>
      <c r="M307" t="s">
        <v>1443</v>
      </c>
      <c r="N307" s="1">
        <v>45752</v>
      </c>
      <c r="O307">
        <v>3</v>
      </c>
      <c r="P307" s="11">
        <v>46192</v>
      </c>
      <c r="Q307" s="17">
        <f t="shared" si="4"/>
        <v>0</v>
      </c>
      <c r="R307" s="3">
        <v>17</v>
      </c>
      <c r="S307" s="3">
        <v>1650</v>
      </c>
      <c r="T307" s="2">
        <v>46404</v>
      </c>
      <c r="U307" s="3">
        <v>175</v>
      </c>
      <c r="X307" s="17">
        <v>0</v>
      </c>
      <c r="Y307" s="23">
        <v>0</v>
      </c>
      <c r="Z307" s="24"/>
    </row>
    <row r="308" spans="1:26">
      <c r="A308" s="6" t="s">
        <v>14</v>
      </c>
      <c r="B308" t="s">
        <v>624</v>
      </c>
      <c r="C308" t="s">
        <v>907</v>
      </c>
      <c r="D308" s="4">
        <v>46185</v>
      </c>
      <c r="E308">
        <v>109800</v>
      </c>
      <c r="F308" s="5">
        <v>17825.2</v>
      </c>
      <c r="G308" s="5">
        <v>91974.8</v>
      </c>
      <c r="H308" s="7" t="s">
        <v>1662</v>
      </c>
      <c r="I308" s="1">
        <v>46732</v>
      </c>
      <c r="J308" s="9">
        <v>107112699615</v>
      </c>
      <c r="K308" t="s">
        <v>1444</v>
      </c>
      <c r="L308" t="s">
        <v>844</v>
      </c>
      <c r="M308" t="s">
        <v>1445</v>
      </c>
      <c r="N308" s="1">
        <v>45771</v>
      </c>
      <c r="O308">
        <v>5</v>
      </c>
      <c r="P308" s="11">
        <v>46192</v>
      </c>
      <c r="Q308" s="17">
        <f t="shared" si="4"/>
        <v>0</v>
      </c>
      <c r="R308" s="3">
        <v>10</v>
      </c>
      <c r="S308" s="3">
        <v>3817.8</v>
      </c>
      <c r="T308" s="2">
        <v>46762</v>
      </c>
      <c r="U308" s="3">
        <v>347.59999999999098</v>
      </c>
      <c r="X308" s="17">
        <v>0</v>
      </c>
      <c r="Y308" s="23">
        <v>0</v>
      </c>
      <c r="Z308" s="24"/>
    </row>
    <row r="309" spans="1:26">
      <c r="A309" s="6" t="s">
        <v>14</v>
      </c>
      <c r="B309" t="s">
        <v>477</v>
      </c>
      <c r="C309" t="s">
        <v>907</v>
      </c>
      <c r="D309" s="4">
        <v>46185</v>
      </c>
      <c r="E309">
        <v>90000</v>
      </c>
      <c r="F309" s="5">
        <v>27740</v>
      </c>
      <c r="G309" s="5">
        <v>62260</v>
      </c>
      <c r="H309" t="s">
        <v>842</v>
      </c>
      <c r="I309" s="1">
        <v>46794</v>
      </c>
      <c r="J309" s="9">
        <v>107112479350</v>
      </c>
      <c r="K309" t="s">
        <v>1446</v>
      </c>
      <c r="L309" t="s">
        <v>844</v>
      </c>
      <c r="M309" t="s">
        <v>1447</v>
      </c>
      <c r="N309" s="1">
        <v>45747</v>
      </c>
      <c r="O309">
        <v>5</v>
      </c>
      <c r="P309" s="11">
        <v>46192</v>
      </c>
      <c r="Q309" s="17">
        <f t="shared" si="4"/>
        <v>0</v>
      </c>
      <c r="R309" s="3">
        <v>17</v>
      </c>
      <c r="S309" s="3">
        <v>2880</v>
      </c>
      <c r="T309" s="2">
        <v>46829</v>
      </c>
      <c r="U309" s="3">
        <v>1780</v>
      </c>
      <c r="X309" s="17">
        <v>0</v>
      </c>
      <c r="Y309" s="23">
        <v>0</v>
      </c>
      <c r="Z309" s="24"/>
    </row>
    <row r="310" spans="1:26">
      <c r="A310" s="6" t="s">
        <v>14</v>
      </c>
      <c r="B310" t="s">
        <v>602</v>
      </c>
      <c r="C310" t="s">
        <v>856</v>
      </c>
      <c r="D310" s="4">
        <v>46185</v>
      </c>
      <c r="E310">
        <v>95414</v>
      </c>
      <c r="F310" s="5">
        <v>27604</v>
      </c>
      <c r="G310" s="5">
        <v>67810</v>
      </c>
      <c r="H310" t="s">
        <v>842</v>
      </c>
      <c r="I310" s="1">
        <v>46884</v>
      </c>
      <c r="J310" s="9">
        <v>107112660445</v>
      </c>
      <c r="K310" t="s">
        <v>1007</v>
      </c>
      <c r="L310" t="s">
        <v>844</v>
      </c>
      <c r="M310" t="s">
        <v>1448</v>
      </c>
      <c r="N310" s="1">
        <v>45768</v>
      </c>
      <c r="O310">
        <v>6</v>
      </c>
      <c r="P310" s="11">
        <v>46192</v>
      </c>
      <c r="Q310" s="17">
        <f t="shared" si="4"/>
        <v>0</v>
      </c>
      <c r="R310" s="3">
        <v>3</v>
      </c>
      <c r="S310" s="3">
        <v>2814</v>
      </c>
      <c r="T310" s="2">
        <v>46907</v>
      </c>
      <c r="U310" s="3">
        <v>2552</v>
      </c>
      <c r="X310" s="17">
        <v>0</v>
      </c>
      <c r="Y310" s="23">
        <v>0</v>
      </c>
      <c r="Z310" s="24"/>
    </row>
    <row r="311" spans="1:26">
      <c r="A311" s="6" t="s">
        <v>14</v>
      </c>
      <c r="B311" t="s">
        <v>348</v>
      </c>
      <c r="C311" t="s">
        <v>880</v>
      </c>
      <c r="D311" s="4">
        <v>46185</v>
      </c>
      <c r="E311">
        <v>99693</v>
      </c>
      <c r="F311" s="5">
        <v>30230</v>
      </c>
      <c r="G311" s="5">
        <v>69463</v>
      </c>
      <c r="H311" t="s">
        <v>842</v>
      </c>
      <c r="I311" s="1">
        <v>46823</v>
      </c>
      <c r="J311" s="9">
        <v>107112083163</v>
      </c>
      <c r="K311" t="s">
        <v>1239</v>
      </c>
      <c r="L311" t="s">
        <v>844</v>
      </c>
      <c r="M311" t="s">
        <v>1449</v>
      </c>
      <c r="N311" s="1">
        <v>45715</v>
      </c>
      <c r="O311">
        <v>5</v>
      </c>
      <c r="P311" s="11">
        <v>46192</v>
      </c>
      <c r="Q311" s="17">
        <f t="shared" si="4"/>
        <v>0</v>
      </c>
      <c r="R311" s="3">
        <v>17</v>
      </c>
      <c r="S311" s="3">
        <v>3120</v>
      </c>
      <c r="T311" s="2">
        <v>46890</v>
      </c>
      <c r="U311" s="3">
        <v>823</v>
      </c>
      <c r="X311" s="17">
        <v>0</v>
      </c>
      <c r="Y311" s="23">
        <v>0</v>
      </c>
      <c r="Z311" s="24"/>
    </row>
    <row r="312" spans="1:26">
      <c r="A312" s="6" t="s">
        <v>14</v>
      </c>
      <c r="B312" t="s">
        <v>258</v>
      </c>
      <c r="C312" t="s">
        <v>846</v>
      </c>
      <c r="D312" s="4">
        <v>46185</v>
      </c>
      <c r="E312">
        <v>79553</v>
      </c>
      <c r="F312" s="5">
        <v>41439.67</v>
      </c>
      <c r="G312" s="5">
        <v>38113.33</v>
      </c>
      <c r="H312" t="s">
        <v>842</v>
      </c>
      <c r="I312" s="1">
        <v>46429</v>
      </c>
      <c r="J312" s="9">
        <v>101130673207</v>
      </c>
      <c r="K312" t="s">
        <v>936</v>
      </c>
      <c r="L312" t="s">
        <v>848</v>
      </c>
      <c r="M312" t="s">
        <v>1450</v>
      </c>
      <c r="N312" s="1">
        <v>45793</v>
      </c>
      <c r="O312">
        <v>3</v>
      </c>
      <c r="P312" s="11">
        <v>46192</v>
      </c>
      <c r="Q312" s="17">
        <f t="shared" si="4"/>
        <v>0</v>
      </c>
      <c r="R312" s="3">
        <v>3</v>
      </c>
      <c r="S312" s="3">
        <v>4307</v>
      </c>
      <c r="T312" s="2">
        <v>46449</v>
      </c>
      <c r="U312" s="3">
        <v>3657.33</v>
      </c>
      <c r="X312" s="17">
        <v>0</v>
      </c>
      <c r="Y312" s="23">
        <v>0</v>
      </c>
      <c r="Z312" s="24"/>
    </row>
    <row r="313" spans="1:26">
      <c r="A313" s="6" t="s">
        <v>14</v>
      </c>
      <c r="B313" t="s">
        <v>709</v>
      </c>
      <c r="C313" t="s">
        <v>864</v>
      </c>
      <c r="D313" s="4">
        <v>46185</v>
      </c>
      <c r="E313">
        <v>134461</v>
      </c>
      <c r="F313" s="5">
        <v>47000</v>
      </c>
      <c r="G313" s="5">
        <v>87461</v>
      </c>
      <c r="H313" t="s">
        <v>842</v>
      </c>
      <c r="I313" s="1">
        <v>46702</v>
      </c>
      <c r="J313" s="9">
        <v>107112858272</v>
      </c>
      <c r="K313" t="s">
        <v>1451</v>
      </c>
      <c r="L313" t="s">
        <v>844</v>
      </c>
      <c r="M313" t="s">
        <v>1452</v>
      </c>
      <c r="N313" s="1">
        <v>45802</v>
      </c>
      <c r="O313">
        <v>3</v>
      </c>
      <c r="P313" s="11">
        <v>46192</v>
      </c>
      <c r="Q313" s="17">
        <f t="shared" si="4"/>
        <v>0</v>
      </c>
      <c r="R313" s="3">
        <v>24</v>
      </c>
      <c r="S313" s="3">
        <v>5000</v>
      </c>
      <c r="T313" s="2">
        <v>46745</v>
      </c>
      <c r="U313" s="3">
        <v>2961</v>
      </c>
      <c r="X313" s="17">
        <v>0</v>
      </c>
      <c r="Y313" s="23">
        <v>0</v>
      </c>
      <c r="Z313" s="24"/>
    </row>
    <row r="314" spans="1:26">
      <c r="A314" s="6" t="s">
        <v>14</v>
      </c>
      <c r="B314" t="s">
        <v>411</v>
      </c>
      <c r="C314" t="s">
        <v>990</v>
      </c>
      <c r="D314" s="4">
        <v>46185</v>
      </c>
      <c r="E314">
        <v>9216</v>
      </c>
      <c r="F314" s="5">
        <v>5396</v>
      </c>
      <c r="G314" s="5">
        <v>3820</v>
      </c>
      <c r="H314" t="s">
        <v>842</v>
      </c>
      <c r="I314" s="1">
        <v>46306</v>
      </c>
      <c r="J314" s="9">
        <v>107112309363</v>
      </c>
      <c r="K314" t="s">
        <v>1453</v>
      </c>
      <c r="L314" t="s">
        <v>844</v>
      </c>
      <c r="M314" t="s">
        <v>1454</v>
      </c>
      <c r="N314" s="1">
        <v>45731</v>
      </c>
      <c r="O314">
        <v>3</v>
      </c>
      <c r="P314" s="11">
        <v>46192</v>
      </c>
      <c r="Q314" s="17">
        <f t="shared" si="4"/>
        <v>0</v>
      </c>
      <c r="R314" s="3">
        <v>10</v>
      </c>
      <c r="S314" s="3">
        <v>506</v>
      </c>
      <c r="T314" s="2">
        <v>46366</v>
      </c>
      <c r="U314" s="3">
        <v>154</v>
      </c>
      <c r="X314" s="17">
        <v>0</v>
      </c>
      <c r="Y314" s="23">
        <v>0</v>
      </c>
      <c r="Z314" s="24"/>
    </row>
    <row r="315" spans="1:26">
      <c r="A315" s="6" t="s">
        <v>14</v>
      </c>
      <c r="B315" t="s">
        <v>51</v>
      </c>
      <c r="C315" t="s">
        <v>877</v>
      </c>
      <c r="D315" s="4">
        <v>46185</v>
      </c>
      <c r="E315">
        <v>149000</v>
      </c>
      <c r="F315" s="5">
        <v>44080</v>
      </c>
      <c r="G315" s="5">
        <v>104920</v>
      </c>
      <c r="H315" t="s">
        <v>842</v>
      </c>
      <c r="I315" s="1">
        <v>46794</v>
      </c>
      <c r="J315" s="9">
        <v>101128568095</v>
      </c>
      <c r="K315" t="s">
        <v>1455</v>
      </c>
      <c r="L315" t="s">
        <v>848</v>
      </c>
      <c r="M315" t="s">
        <v>1456</v>
      </c>
      <c r="N315" s="1">
        <v>45676</v>
      </c>
      <c r="O315">
        <v>5</v>
      </c>
      <c r="P315" s="11">
        <v>46192</v>
      </c>
      <c r="Q315" s="17">
        <f t="shared" si="4"/>
        <v>0</v>
      </c>
      <c r="R315" s="3">
        <v>3</v>
      </c>
      <c r="S315" s="3">
        <v>5035</v>
      </c>
      <c r="T315" s="2">
        <v>46815</v>
      </c>
      <c r="U315" s="3">
        <v>2985</v>
      </c>
      <c r="X315" s="17">
        <v>0</v>
      </c>
      <c r="Y315" s="23">
        <v>0</v>
      </c>
      <c r="Z315" s="24"/>
    </row>
    <row r="316" spans="1:26">
      <c r="A316" s="6" t="s">
        <v>14</v>
      </c>
      <c r="B316" t="s">
        <v>525</v>
      </c>
      <c r="C316" t="s">
        <v>880</v>
      </c>
      <c r="D316" s="4">
        <v>46185</v>
      </c>
      <c r="E316">
        <v>27578</v>
      </c>
      <c r="F316" s="5">
        <v>18590</v>
      </c>
      <c r="G316" s="5">
        <v>8988</v>
      </c>
      <c r="H316" t="s">
        <v>842</v>
      </c>
      <c r="I316" s="1">
        <v>46367</v>
      </c>
      <c r="J316" s="9">
        <v>107112587444</v>
      </c>
      <c r="K316" t="s">
        <v>1457</v>
      </c>
      <c r="L316" t="s">
        <v>844</v>
      </c>
      <c r="M316" t="s">
        <v>1458</v>
      </c>
      <c r="N316" s="1">
        <v>45760</v>
      </c>
      <c r="O316">
        <v>3</v>
      </c>
      <c r="P316" s="11">
        <v>46192</v>
      </c>
      <c r="Q316" s="17">
        <f t="shared" si="4"/>
        <v>0</v>
      </c>
      <c r="R316" s="3">
        <v>24</v>
      </c>
      <c r="S316" s="3">
        <v>1540</v>
      </c>
      <c r="T316" s="2">
        <v>46380</v>
      </c>
      <c r="U316" s="3">
        <v>1398</v>
      </c>
      <c r="X316" s="17">
        <v>0</v>
      </c>
      <c r="Y316" s="23">
        <v>0</v>
      </c>
      <c r="Z316" s="24"/>
    </row>
    <row r="317" spans="1:26">
      <c r="A317" s="6" t="s">
        <v>14</v>
      </c>
      <c r="B317" t="s">
        <v>260</v>
      </c>
      <c r="C317" t="s">
        <v>846</v>
      </c>
      <c r="D317" s="4">
        <v>46185</v>
      </c>
      <c r="E317">
        <v>78299</v>
      </c>
      <c r="F317" s="5">
        <v>26600</v>
      </c>
      <c r="G317" s="5">
        <v>51699</v>
      </c>
      <c r="H317" t="s">
        <v>842</v>
      </c>
      <c r="I317" s="1">
        <v>46794</v>
      </c>
      <c r="J317" s="9">
        <v>101130708066</v>
      </c>
      <c r="K317" t="s">
        <v>1459</v>
      </c>
      <c r="L317" t="s">
        <v>848</v>
      </c>
      <c r="M317" t="s">
        <v>1460</v>
      </c>
      <c r="N317" s="1">
        <v>45803</v>
      </c>
      <c r="O317">
        <v>5</v>
      </c>
      <c r="P317" s="11">
        <v>46192</v>
      </c>
      <c r="Q317" s="17">
        <f t="shared" si="4"/>
        <v>2660</v>
      </c>
      <c r="R317" s="3">
        <v>24</v>
      </c>
      <c r="S317" s="3">
        <v>2660</v>
      </c>
      <c r="T317" s="2">
        <v>46807</v>
      </c>
      <c r="U317" s="3">
        <v>1159</v>
      </c>
      <c r="X317" s="17">
        <v>2660</v>
      </c>
      <c r="Y317" s="23">
        <v>0</v>
      </c>
      <c r="Z317" s="24"/>
    </row>
    <row r="318" spans="1:26">
      <c r="A318" s="6" t="s">
        <v>14</v>
      </c>
      <c r="B318" t="s">
        <v>314</v>
      </c>
      <c r="C318" t="s">
        <v>887</v>
      </c>
      <c r="D318" s="4">
        <v>46185</v>
      </c>
      <c r="E318">
        <v>106791.67</v>
      </c>
      <c r="F318" s="5">
        <v>43623</v>
      </c>
      <c r="G318" s="5">
        <v>63168.67</v>
      </c>
      <c r="H318" t="s">
        <v>842</v>
      </c>
      <c r="I318" s="1">
        <v>46702</v>
      </c>
      <c r="J318" s="9">
        <v>107111475675</v>
      </c>
      <c r="K318" t="s">
        <v>1420</v>
      </c>
      <c r="L318" t="s">
        <v>844</v>
      </c>
      <c r="M318" t="s">
        <v>1461</v>
      </c>
      <c r="N318" s="1">
        <v>45652</v>
      </c>
      <c r="O318">
        <v>5</v>
      </c>
      <c r="P318" s="11">
        <v>46192</v>
      </c>
      <c r="Q318" s="17">
        <f t="shared" si="4"/>
        <v>0</v>
      </c>
      <c r="R318" s="3">
        <v>24</v>
      </c>
      <c r="S318" s="3">
        <v>3710</v>
      </c>
      <c r="T318" s="2">
        <v>46715</v>
      </c>
      <c r="U318" s="3">
        <v>2911.67</v>
      </c>
      <c r="X318" s="17">
        <v>0</v>
      </c>
      <c r="Y318" s="23">
        <v>0</v>
      </c>
      <c r="Z318" s="24"/>
    </row>
    <row r="319" spans="1:26">
      <c r="A319" s="6" t="s">
        <v>14</v>
      </c>
      <c r="B319" t="s">
        <v>669</v>
      </c>
      <c r="C319" t="s">
        <v>841</v>
      </c>
      <c r="D319" s="4">
        <v>46185</v>
      </c>
      <c r="E319">
        <v>111671</v>
      </c>
      <c r="F319" s="5">
        <v>40600</v>
      </c>
      <c r="G319" s="5">
        <v>71071</v>
      </c>
      <c r="H319" t="s">
        <v>842</v>
      </c>
      <c r="I319" s="1">
        <v>46732</v>
      </c>
      <c r="J319" s="9">
        <v>107112779353</v>
      </c>
      <c r="K319" t="s">
        <v>1462</v>
      </c>
      <c r="L319" t="s">
        <v>844</v>
      </c>
      <c r="M319" t="s">
        <v>1463</v>
      </c>
      <c r="N319" s="1">
        <v>45781</v>
      </c>
      <c r="O319">
        <v>5</v>
      </c>
      <c r="P319" s="11">
        <v>46192</v>
      </c>
      <c r="Q319" s="17">
        <f t="shared" si="4"/>
        <v>0</v>
      </c>
      <c r="R319" s="3">
        <v>17</v>
      </c>
      <c r="S319" s="3">
        <v>3834</v>
      </c>
      <c r="T319" s="2">
        <v>46769</v>
      </c>
      <c r="U319" s="3">
        <v>2059</v>
      </c>
      <c r="X319" s="17">
        <v>0</v>
      </c>
      <c r="Y319" s="23">
        <v>0</v>
      </c>
      <c r="Z319" s="24"/>
    </row>
    <row r="320" spans="1:26">
      <c r="A320" s="6" t="s">
        <v>14</v>
      </c>
      <c r="B320" t="s">
        <v>231</v>
      </c>
      <c r="C320" t="s">
        <v>846</v>
      </c>
      <c r="D320" s="4">
        <v>46185</v>
      </c>
      <c r="E320">
        <v>75800</v>
      </c>
      <c r="F320" s="5">
        <v>37763.33</v>
      </c>
      <c r="G320" s="5">
        <v>38036.67</v>
      </c>
      <c r="H320" t="s">
        <v>842</v>
      </c>
      <c r="I320" s="1">
        <v>46488</v>
      </c>
      <c r="J320" s="9">
        <v>101130394701</v>
      </c>
      <c r="K320" t="s">
        <v>1464</v>
      </c>
      <c r="L320" t="s">
        <v>848</v>
      </c>
      <c r="M320" t="s">
        <v>1465</v>
      </c>
      <c r="N320" s="1">
        <v>45777</v>
      </c>
      <c r="O320">
        <v>3</v>
      </c>
      <c r="P320" s="11">
        <v>46192</v>
      </c>
      <c r="Q320" s="17">
        <f t="shared" si="4"/>
        <v>0</v>
      </c>
      <c r="R320" s="3">
        <v>3</v>
      </c>
      <c r="S320" s="3">
        <v>3920</v>
      </c>
      <c r="T320" s="2">
        <v>46480</v>
      </c>
      <c r="U320" s="3">
        <v>2756.67</v>
      </c>
      <c r="X320" s="17">
        <v>0</v>
      </c>
      <c r="Y320" s="23">
        <v>0</v>
      </c>
      <c r="Z320" s="24"/>
    </row>
    <row r="321" spans="1:26">
      <c r="A321" s="6" t="s">
        <v>14</v>
      </c>
      <c r="B321" t="s">
        <v>104</v>
      </c>
      <c r="C321" t="s">
        <v>890</v>
      </c>
      <c r="D321" s="4">
        <v>46185</v>
      </c>
      <c r="E321">
        <v>75285</v>
      </c>
      <c r="F321" s="5">
        <v>41500</v>
      </c>
      <c r="G321" s="5">
        <v>33785</v>
      </c>
      <c r="H321" t="s">
        <v>842</v>
      </c>
      <c r="I321" s="1">
        <v>46429</v>
      </c>
      <c r="J321" s="9">
        <v>101129422479</v>
      </c>
      <c r="K321" t="s">
        <v>1466</v>
      </c>
      <c r="L321" t="s">
        <v>848</v>
      </c>
      <c r="M321" t="s">
        <v>1467</v>
      </c>
      <c r="N321" s="1">
        <v>45729</v>
      </c>
      <c r="O321">
        <v>3</v>
      </c>
      <c r="P321" s="11">
        <v>46192</v>
      </c>
      <c r="Q321" s="17">
        <f t="shared" si="4"/>
        <v>0</v>
      </c>
      <c r="R321" s="3">
        <v>3</v>
      </c>
      <c r="S321" s="3">
        <v>4150</v>
      </c>
      <c r="T321" s="2">
        <v>46421</v>
      </c>
      <c r="U321" s="3">
        <v>585</v>
      </c>
      <c r="X321" s="17">
        <v>0</v>
      </c>
      <c r="Y321" s="23">
        <v>0</v>
      </c>
      <c r="Z321" s="24"/>
    </row>
    <row r="322" spans="1:26">
      <c r="A322" s="6" t="s">
        <v>14</v>
      </c>
      <c r="B322" t="s">
        <v>759</v>
      </c>
      <c r="C322" t="s">
        <v>864</v>
      </c>
      <c r="D322" s="4">
        <v>46185</v>
      </c>
      <c r="E322">
        <v>89698</v>
      </c>
      <c r="F322" s="5">
        <v>27675</v>
      </c>
      <c r="G322" s="5">
        <v>62023</v>
      </c>
      <c r="H322" t="s">
        <v>842</v>
      </c>
      <c r="I322" s="1">
        <v>46794</v>
      </c>
      <c r="J322" s="9">
        <v>107112951037</v>
      </c>
      <c r="K322" t="s">
        <v>1468</v>
      </c>
      <c r="L322" t="s">
        <v>844</v>
      </c>
      <c r="M322" t="s">
        <v>1469</v>
      </c>
      <c r="N322" s="1">
        <v>45798</v>
      </c>
      <c r="O322">
        <v>5</v>
      </c>
      <c r="P322" s="11">
        <v>46192</v>
      </c>
      <c r="Q322" s="17">
        <f t="shared" si="4"/>
        <v>0</v>
      </c>
      <c r="R322" s="3">
        <v>10</v>
      </c>
      <c r="S322" s="3">
        <v>3075</v>
      </c>
      <c r="T322" s="2">
        <v>46822</v>
      </c>
      <c r="U322" s="3">
        <v>523</v>
      </c>
      <c r="X322" s="17">
        <v>0</v>
      </c>
      <c r="Y322" s="23">
        <v>0</v>
      </c>
      <c r="Z322" s="24"/>
    </row>
    <row r="323" spans="1:26">
      <c r="A323" s="6" t="s">
        <v>14</v>
      </c>
      <c r="B323" t="s">
        <v>749</v>
      </c>
      <c r="C323" t="s">
        <v>880</v>
      </c>
      <c r="D323" s="4">
        <v>46185</v>
      </c>
      <c r="E323">
        <v>81657</v>
      </c>
      <c r="F323" s="5">
        <v>26730</v>
      </c>
      <c r="G323" s="5">
        <v>54927</v>
      </c>
      <c r="H323" t="s">
        <v>842</v>
      </c>
      <c r="I323" s="1">
        <v>46794</v>
      </c>
      <c r="J323" s="9">
        <v>107112925365</v>
      </c>
      <c r="K323" t="s">
        <v>966</v>
      </c>
      <c r="L323" t="s">
        <v>844</v>
      </c>
      <c r="M323" t="s">
        <v>1470</v>
      </c>
      <c r="N323" s="1">
        <v>45797</v>
      </c>
      <c r="O323">
        <v>5</v>
      </c>
      <c r="P323" s="11">
        <v>46192</v>
      </c>
      <c r="Q323" s="17">
        <f t="shared" ref="Q323:Q386" si="5">SUM(X323:Y323)</f>
        <v>0</v>
      </c>
      <c r="R323" s="3">
        <v>17</v>
      </c>
      <c r="S323" s="3">
        <v>2760</v>
      </c>
      <c r="T323" s="2">
        <v>46800</v>
      </c>
      <c r="U323" s="3">
        <v>2487</v>
      </c>
      <c r="X323" s="17">
        <v>0</v>
      </c>
      <c r="Y323" s="23">
        <v>0</v>
      </c>
      <c r="Z323" s="24"/>
    </row>
    <row r="324" spans="1:26">
      <c r="A324" s="6" t="s">
        <v>14</v>
      </c>
      <c r="B324" t="s">
        <v>743</v>
      </c>
      <c r="C324" t="s">
        <v>1179</v>
      </c>
      <c r="D324" s="4">
        <v>46185</v>
      </c>
      <c r="E324">
        <v>45000</v>
      </c>
      <c r="F324" s="5">
        <v>15510</v>
      </c>
      <c r="G324" s="5">
        <v>29490</v>
      </c>
      <c r="H324" t="s">
        <v>842</v>
      </c>
      <c r="I324" s="1">
        <v>46763</v>
      </c>
      <c r="J324" s="9">
        <v>107112913803</v>
      </c>
      <c r="K324" t="s">
        <v>1471</v>
      </c>
      <c r="L324" t="s">
        <v>844</v>
      </c>
      <c r="M324" t="s">
        <v>1472</v>
      </c>
      <c r="N324" s="1">
        <v>45808</v>
      </c>
      <c r="O324">
        <v>5</v>
      </c>
      <c r="P324" s="11">
        <v>46192</v>
      </c>
      <c r="Q324" s="17">
        <f t="shared" si="5"/>
        <v>0</v>
      </c>
      <c r="R324" s="3">
        <v>17</v>
      </c>
      <c r="S324" s="3">
        <v>1575</v>
      </c>
      <c r="T324" s="2">
        <v>46800</v>
      </c>
      <c r="U324" s="3">
        <v>1140</v>
      </c>
      <c r="X324" s="17">
        <v>0</v>
      </c>
      <c r="Y324" s="23">
        <v>0</v>
      </c>
      <c r="Z324" s="24"/>
    </row>
    <row r="325" spans="1:26">
      <c r="A325" s="6" t="s">
        <v>14</v>
      </c>
      <c r="B325" t="s">
        <v>403</v>
      </c>
      <c r="C325" t="s">
        <v>880</v>
      </c>
      <c r="D325" s="4">
        <v>46185</v>
      </c>
      <c r="E325">
        <v>107000</v>
      </c>
      <c r="F325" s="5">
        <v>32110</v>
      </c>
      <c r="G325" s="5">
        <v>74890</v>
      </c>
      <c r="H325" t="s">
        <v>842</v>
      </c>
      <c r="I325" s="1">
        <v>46884</v>
      </c>
      <c r="J325" s="9">
        <v>107112295553</v>
      </c>
      <c r="K325" t="s">
        <v>1473</v>
      </c>
      <c r="L325" t="s">
        <v>844</v>
      </c>
      <c r="M325" t="s">
        <v>1474</v>
      </c>
      <c r="N325" s="1">
        <v>45730</v>
      </c>
      <c r="O325">
        <v>6</v>
      </c>
      <c r="P325" s="11">
        <v>46192</v>
      </c>
      <c r="Q325" s="17">
        <f t="shared" si="5"/>
        <v>0</v>
      </c>
      <c r="R325" s="3">
        <v>17</v>
      </c>
      <c r="S325" s="3">
        <v>2990</v>
      </c>
      <c r="T325" s="2">
        <v>46921</v>
      </c>
      <c r="U325" s="3">
        <v>2740</v>
      </c>
      <c r="X325" s="17">
        <v>0</v>
      </c>
      <c r="Y325" s="23">
        <v>0</v>
      </c>
      <c r="Z325" s="24"/>
    </row>
    <row r="326" spans="1:26">
      <c r="A326" s="6" t="s">
        <v>14</v>
      </c>
      <c r="B326" t="s">
        <v>675</v>
      </c>
      <c r="C326" t="s">
        <v>841</v>
      </c>
      <c r="D326" s="4">
        <v>46185</v>
      </c>
      <c r="E326">
        <v>36749</v>
      </c>
      <c r="F326" s="5">
        <v>22428</v>
      </c>
      <c r="G326" s="5">
        <v>14321</v>
      </c>
      <c r="H326" t="s">
        <v>842</v>
      </c>
      <c r="I326" s="1">
        <v>46398</v>
      </c>
      <c r="J326" s="9">
        <v>107112784537</v>
      </c>
      <c r="K326" t="s">
        <v>1475</v>
      </c>
      <c r="L326" t="s">
        <v>844</v>
      </c>
      <c r="M326" t="s">
        <v>1476</v>
      </c>
      <c r="N326" s="1">
        <v>45784</v>
      </c>
      <c r="O326">
        <v>3</v>
      </c>
      <c r="P326" s="11">
        <v>46192</v>
      </c>
      <c r="Q326" s="17">
        <f t="shared" si="5"/>
        <v>2037</v>
      </c>
      <c r="R326" s="3">
        <v>17</v>
      </c>
      <c r="S326" s="3">
        <v>2041.2</v>
      </c>
      <c r="T326" s="2">
        <v>46435</v>
      </c>
      <c r="U326" s="3">
        <v>7.4000000000014596</v>
      </c>
      <c r="X326" s="17">
        <v>2037</v>
      </c>
      <c r="Y326" s="23">
        <v>0</v>
      </c>
      <c r="Z326" s="24"/>
    </row>
    <row r="327" spans="1:26">
      <c r="A327" s="6" t="s">
        <v>14</v>
      </c>
      <c r="B327" t="s">
        <v>774</v>
      </c>
      <c r="C327" t="s">
        <v>864</v>
      </c>
      <c r="D327" s="4">
        <v>46185</v>
      </c>
      <c r="E327">
        <v>77000</v>
      </c>
      <c r="F327" s="5">
        <v>25290</v>
      </c>
      <c r="G327" s="5">
        <v>51710</v>
      </c>
      <c r="H327" t="s">
        <v>842</v>
      </c>
      <c r="I327" s="1">
        <v>46763</v>
      </c>
      <c r="J327" s="9">
        <v>107112989755</v>
      </c>
      <c r="K327" t="s">
        <v>1477</v>
      </c>
      <c r="L327" t="s">
        <v>844</v>
      </c>
      <c r="M327" t="s">
        <v>1478</v>
      </c>
      <c r="N327" s="1">
        <v>45803</v>
      </c>
      <c r="O327">
        <v>5</v>
      </c>
      <c r="P327" s="11">
        <v>46192</v>
      </c>
      <c r="Q327" s="17">
        <f t="shared" si="5"/>
        <v>0</v>
      </c>
      <c r="R327" s="3">
        <v>24</v>
      </c>
      <c r="S327" s="3">
        <v>2664</v>
      </c>
      <c r="T327" s="2">
        <v>46807</v>
      </c>
      <c r="U327" s="3">
        <v>878</v>
      </c>
      <c r="X327" s="17">
        <v>0</v>
      </c>
      <c r="Y327" s="23">
        <v>0</v>
      </c>
      <c r="Z327" s="24"/>
    </row>
    <row r="328" spans="1:26">
      <c r="A328" s="6" t="s">
        <v>14</v>
      </c>
      <c r="B328" t="s">
        <v>646</v>
      </c>
      <c r="C328" t="s">
        <v>864</v>
      </c>
      <c r="D328" s="4">
        <v>46185</v>
      </c>
      <c r="E328">
        <v>83705</v>
      </c>
      <c r="F328" s="5">
        <v>27943</v>
      </c>
      <c r="G328" s="5">
        <v>55762</v>
      </c>
      <c r="H328" t="s">
        <v>842</v>
      </c>
      <c r="I328" s="1">
        <v>46763</v>
      </c>
      <c r="J328" s="9">
        <v>107112720146</v>
      </c>
      <c r="K328" t="s">
        <v>1479</v>
      </c>
      <c r="L328" t="s">
        <v>844</v>
      </c>
      <c r="M328" t="s">
        <v>1480</v>
      </c>
      <c r="N328" s="1">
        <v>45773</v>
      </c>
      <c r="O328">
        <v>5</v>
      </c>
      <c r="P328" s="11">
        <v>46192</v>
      </c>
      <c r="Q328" s="17">
        <f t="shared" si="5"/>
        <v>0</v>
      </c>
      <c r="R328" s="3">
        <v>31</v>
      </c>
      <c r="S328" s="3">
        <v>2870</v>
      </c>
      <c r="T328" s="2">
        <v>46783</v>
      </c>
      <c r="U328" s="3">
        <v>1655</v>
      </c>
      <c r="X328" s="17">
        <v>0</v>
      </c>
      <c r="Y328" s="23">
        <v>0</v>
      </c>
      <c r="Z328" s="24"/>
    </row>
    <row r="329" spans="1:26">
      <c r="A329" s="6" t="s">
        <v>14</v>
      </c>
      <c r="B329" t="s">
        <v>42</v>
      </c>
      <c r="C329" t="s">
        <v>901</v>
      </c>
      <c r="D329" s="4">
        <v>46185</v>
      </c>
      <c r="E329">
        <v>55000</v>
      </c>
      <c r="F329" s="5">
        <v>22000</v>
      </c>
      <c r="G329" s="5">
        <v>33000</v>
      </c>
      <c r="H329" t="s">
        <v>842</v>
      </c>
      <c r="I329" s="1">
        <v>46641</v>
      </c>
      <c r="J329" s="9">
        <v>101128209038</v>
      </c>
      <c r="K329" t="s">
        <v>1043</v>
      </c>
      <c r="L329" t="s">
        <v>848</v>
      </c>
      <c r="M329" t="s">
        <v>1481</v>
      </c>
      <c r="N329" s="1">
        <v>45652</v>
      </c>
      <c r="O329">
        <v>5</v>
      </c>
      <c r="P329" s="11">
        <v>46192</v>
      </c>
      <c r="Q329" s="17">
        <f t="shared" si="5"/>
        <v>0</v>
      </c>
      <c r="R329" s="3">
        <v>3</v>
      </c>
      <c r="S329" s="3">
        <v>2100</v>
      </c>
      <c r="T329" s="2">
        <v>46663</v>
      </c>
      <c r="U329" s="3">
        <v>700</v>
      </c>
      <c r="X329" s="17">
        <v>0</v>
      </c>
      <c r="Y329" s="23">
        <v>0</v>
      </c>
      <c r="Z329" s="24"/>
    </row>
    <row r="330" spans="1:26">
      <c r="A330" s="6" t="s">
        <v>14</v>
      </c>
      <c r="B330" t="s">
        <v>63</v>
      </c>
      <c r="C330" t="s">
        <v>846</v>
      </c>
      <c r="D330" s="4">
        <v>46185</v>
      </c>
      <c r="E330">
        <v>76400</v>
      </c>
      <c r="F330" s="5">
        <v>46200</v>
      </c>
      <c r="G330" s="5">
        <v>30200</v>
      </c>
      <c r="H330" t="s">
        <v>842</v>
      </c>
      <c r="I330" s="1">
        <v>46429</v>
      </c>
      <c r="J330" s="9">
        <v>101129088736</v>
      </c>
      <c r="K330" t="s">
        <v>1482</v>
      </c>
      <c r="L330" t="s">
        <v>848</v>
      </c>
      <c r="M330" t="s">
        <v>1483</v>
      </c>
      <c r="N330" s="1">
        <v>45743</v>
      </c>
      <c r="O330">
        <v>3</v>
      </c>
      <c r="P330" s="11">
        <v>46192</v>
      </c>
      <c r="Q330" s="17">
        <f t="shared" si="5"/>
        <v>4200</v>
      </c>
      <c r="R330" s="3">
        <v>24</v>
      </c>
      <c r="S330" s="3">
        <v>4200</v>
      </c>
      <c r="T330" s="2">
        <v>46442</v>
      </c>
      <c r="U330" s="3">
        <v>800</v>
      </c>
      <c r="X330" s="17">
        <v>4200</v>
      </c>
      <c r="Y330" s="23">
        <v>0</v>
      </c>
      <c r="Z330" s="24"/>
    </row>
    <row r="331" spans="1:26">
      <c r="A331" s="6" t="s">
        <v>14</v>
      </c>
      <c r="B331" t="s">
        <v>248</v>
      </c>
      <c r="C331" t="s">
        <v>890</v>
      </c>
      <c r="D331" s="4">
        <v>46185</v>
      </c>
      <c r="E331">
        <v>77000</v>
      </c>
      <c r="F331" s="5">
        <v>27990</v>
      </c>
      <c r="G331" s="5">
        <v>49010</v>
      </c>
      <c r="H331" t="s">
        <v>842</v>
      </c>
      <c r="I331" s="1">
        <v>46702</v>
      </c>
      <c r="J331" s="9">
        <v>101130590769</v>
      </c>
      <c r="K331" t="s">
        <v>1484</v>
      </c>
      <c r="L331" t="s">
        <v>848</v>
      </c>
      <c r="M331" t="s">
        <v>1485</v>
      </c>
      <c r="N331" s="1">
        <v>45788</v>
      </c>
      <c r="O331">
        <v>4</v>
      </c>
      <c r="P331" s="11">
        <v>46192</v>
      </c>
      <c r="Q331" s="17">
        <f t="shared" si="5"/>
        <v>2940</v>
      </c>
      <c r="R331" s="3">
        <v>17</v>
      </c>
      <c r="S331" s="3">
        <v>2940</v>
      </c>
      <c r="T331" s="2">
        <v>46708</v>
      </c>
      <c r="U331" s="3">
        <v>1970</v>
      </c>
      <c r="X331" s="17">
        <v>2940</v>
      </c>
      <c r="Y331" s="23">
        <v>0</v>
      </c>
      <c r="Z331" s="24"/>
    </row>
    <row r="332" spans="1:26">
      <c r="A332" s="6" t="s">
        <v>14</v>
      </c>
      <c r="B332" t="s">
        <v>684</v>
      </c>
      <c r="C332" t="s">
        <v>1065</v>
      </c>
      <c r="D332" s="4">
        <v>46185</v>
      </c>
      <c r="E332">
        <v>67500</v>
      </c>
      <c r="F332" s="5">
        <v>18800</v>
      </c>
      <c r="G332" s="5">
        <v>48700</v>
      </c>
      <c r="H332" t="s">
        <v>842</v>
      </c>
      <c r="I332" s="1">
        <v>46823</v>
      </c>
      <c r="J332" s="9">
        <v>107112803579</v>
      </c>
      <c r="K332" t="s">
        <v>1486</v>
      </c>
      <c r="L332" t="s">
        <v>844</v>
      </c>
      <c r="M332" t="s">
        <v>1487</v>
      </c>
      <c r="N332" s="1">
        <v>45814</v>
      </c>
      <c r="O332">
        <v>5</v>
      </c>
      <c r="P332" s="11">
        <v>46192</v>
      </c>
      <c r="Q332" s="17">
        <f t="shared" si="5"/>
        <v>0</v>
      </c>
      <c r="R332" s="3">
        <v>17</v>
      </c>
      <c r="S332" s="3">
        <v>2225</v>
      </c>
      <c r="T332" s="2">
        <v>46860</v>
      </c>
      <c r="U332" s="3">
        <v>1975</v>
      </c>
      <c r="X332" s="17">
        <v>0</v>
      </c>
      <c r="Y332" s="23">
        <v>0</v>
      </c>
      <c r="Z332" s="24"/>
    </row>
    <row r="333" spans="1:26">
      <c r="A333" s="6" t="s">
        <v>14</v>
      </c>
      <c r="B333" t="s">
        <v>617</v>
      </c>
      <c r="C333" t="s">
        <v>907</v>
      </c>
      <c r="D333" s="4">
        <v>46185</v>
      </c>
      <c r="E333">
        <v>73000</v>
      </c>
      <c r="F333" s="5">
        <v>24700</v>
      </c>
      <c r="G333" s="5">
        <v>48300</v>
      </c>
      <c r="H333" t="s">
        <v>842</v>
      </c>
      <c r="I333" s="1">
        <v>46763</v>
      </c>
      <c r="J333" s="9">
        <v>107112677870</v>
      </c>
      <c r="K333" t="s">
        <v>1244</v>
      </c>
      <c r="L333" t="s">
        <v>844</v>
      </c>
      <c r="M333" t="s">
        <v>1488</v>
      </c>
      <c r="N333" s="1">
        <v>45768</v>
      </c>
      <c r="O333">
        <v>5</v>
      </c>
      <c r="P333" s="11">
        <v>46192</v>
      </c>
      <c r="Q333" s="17">
        <f t="shared" si="5"/>
        <v>0</v>
      </c>
      <c r="R333" s="3">
        <v>17</v>
      </c>
      <c r="S333" s="3">
        <v>2470</v>
      </c>
      <c r="T333" s="2">
        <v>46800</v>
      </c>
      <c r="U333" s="3">
        <v>1370</v>
      </c>
      <c r="X333" s="17">
        <v>0</v>
      </c>
      <c r="Y333" s="23">
        <v>0</v>
      </c>
      <c r="Z333" s="24"/>
    </row>
    <row r="334" spans="1:26">
      <c r="A334" s="6" t="s">
        <v>14</v>
      </c>
      <c r="B334" t="s">
        <v>568</v>
      </c>
      <c r="C334" t="s">
        <v>853</v>
      </c>
      <c r="D334" s="4">
        <v>46185</v>
      </c>
      <c r="E334">
        <v>94700</v>
      </c>
      <c r="F334" s="5">
        <v>4788</v>
      </c>
      <c r="G334" s="5">
        <v>89912</v>
      </c>
      <c r="H334" t="s">
        <v>842</v>
      </c>
      <c r="I334" s="1">
        <v>46763</v>
      </c>
      <c r="J334" s="9">
        <v>107112622529</v>
      </c>
      <c r="K334" t="s">
        <v>1489</v>
      </c>
      <c r="L334" t="s">
        <v>844</v>
      </c>
      <c r="M334" t="s">
        <v>1490</v>
      </c>
      <c r="N334" s="1">
        <v>45764</v>
      </c>
      <c r="O334">
        <v>5</v>
      </c>
      <c r="P334" s="11">
        <v>46192</v>
      </c>
      <c r="Q334" s="17">
        <f t="shared" si="5"/>
        <v>0</v>
      </c>
      <c r="R334" s="3">
        <v>31</v>
      </c>
      <c r="S334" s="3">
        <v>3108</v>
      </c>
      <c r="T334" s="2">
        <v>46843</v>
      </c>
      <c r="U334" s="3">
        <v>2888</v>
      </c>
      <c r="X334" s="17">
        <v>0</v>
      </c>
      <c r="Y334" s="23">
        <v>0</v>
      </c>
      <c r="Z334" s="24"/>
    </row>
    <row r="335" spans="1:26">
      <c r="A335" s="6" t="s">
        <v>14</v>
      </c>
      <c r="B335" t="s">
        <v>521</v>
      </c>
      <c r="C335" t="s">
        <v>880</v>
      </c>
      <c r="D335" s="4">
        <v>46185</v>
      </c>
      <c r="E335">
        <v>23001</v>
      </c>
      <c r="F335" s="5">
        <v>14322</v>
      </c>
      <c r="G335" s="5">
        <v>8679</v>
      </c>
      <c r="H335" t="s">
        <v>842</v>
      </c>
      <c r="I335" s="1">
        <v>46367</v>
      </c>
      <c r="J335" s="9">
        <v>107112575884</v>
      </c>
      <c r="K335" t="s">
        <v>1013</v>
      </c>
      <c r="L335" t="s">
        <v>844</v>
      </c>
      <c r="M335" t="s">
        <v>1491</v>
      </c>
      <c r="N335" s="1">
        <v>45761</v>
      </c>
      <c r="O335">
        <v>3</v>
      </c>
      <c r="P335" s="11">
        <v>46192</v>
      </c>
      <c r="Q335" s="17">
        <f t="shared" si="5"/>
        <v>0</v>
      </c>
      <c r="R335" s="3">
        <v>10</v>
      </c>
      <c r="S335" s="3">
        <v>1302</v>
      </c>
      <c r="T335" s="2">
        <v>46397</v>
      </c>
      <c r="U335" s="3">
        <v>867</v>
      </c>
      <c r="X335" s="17">
        <v>0</v>
      </c>
      <c r="Y335" s="23">
        <v>0</v>
      </c>
      <c r="Z335" s="24"/>
    </row>
    <row r="336" spans="1:26">
      <c r="A336" s="6" t="s">
        <v>14</v>
      </c>
      <c r="B336" t="s">
        <v>655</v>
      </c>
      <c r="C336" t="s">
        <v>853</v>
      </c>
      <c r="D336" s="4">
        <v>46185</v>
      </c>
      <c r="E336">
        <v>97000</v>
      </c>
      <c r="F336" s="5">
        <v>30800</v>
      </c>
      <c r="G336" s="5">
        <v>66200</v>
      </c>
      <c r="H336" t="s">
        <v>842</v>
      </c>
      <c r="I336" s="1">
        <v>46823</v>
      </c>
      <c r="J336" s="9">
        <v>107112752241</v>
      </c>
      <c r="K336" t="s">
        <v>1492</v>
      </c>
      <c r="L336" t="s">
        <v>844</v>
      </c>
      <c r="M336" t="s">
        <v>1493</v>
      </c>
      <c r="N336" s="1">
        <v>45777</v>
      </c>
      <c r="O336">
        <v>5</v>
      </c>
      <c r="P336" s="11">
        <v>46192</v>
      </c>
      <c r="Q336" s="17">
        <f t="shared" si="5"/>
        <v>0</v>
      </c>
      <c r="R336" s="3">
        <v>31</v>
      </c>
      <c r="S336" s="3">
        <v>3200</v>
      </c>
      <c r="T336" s="2">
        <v>46843</v>
      </c>
      <c r="U336" s="3">
        <v>2200</v>
      </c>
      <c r="X336" s="17">
        <v>0</v>
      </c>
      <c r="Y336" s="23">
        <v>0</v>
      </c>
      <c r="Z336" s="24"/>
    </row>
    <row r="337" spans="1:26">
      <c r="A337" s="6" t="s">
        <v>14</v>
      </c>
      <c r="B337" t="s">
        <v>487</v>
      </c>
      <c r="C337" t="s">
        <v>1131</v>
      </c>
      <c r="D337" s="4">
        <v>46185</v>
      </c>
      <c r="E337">
        <v>77000</v>
      </c>
      <c r="F337" s="5">
        <v>28240.000000000004</v>
      </c>
      <c r="G337" s="5">
        <v>48760</v>
      </c>
      <c r="H337" t="s">
        <v>842</v>
      </c>
      <c r="I337" s="1">
        <v>46732</v>
      </c>
      <c r="J337" s="9">
        <v>107112499423</v>
      </c>
      <c r="K337" t="s">
        <v>1494</v>
      </c>
      <c r="L337" t="s">
        <v>844</v>
      </c>
      <c r="M337" t="s">
        <v>1495</v>
      </c>
      <c r="N337" s="1">
        <v>45753</v>
      </c>
      <c r="O337">
        <v>5</v>
      </c>
      <c r="P337" s="11">
        <v>46192</v>
      </c>
      <c r="Q337" s="17">
        <f t="shared" si="5"/>
        <v>0</v>
      </c>
      <c r="R337" s="3">
        <v>10</v>
      </c>
      <c r="S337" s="3">
        <v>2635.2</v>
      </c>
      <c r="T337" s="2">
        <v>46762</v>
      </c>
      <c r="U337" s="3">
        <v>1326.4000000000101</v>
      </c>
      <c r="X337" s="17">
        <v>0</v>
      </c>
      <c r="Y337" s="23">
        <v>0</v>
      </c>
      <c r="Z337" s="24"/>
    </row>
    <row r="338" spans="1:26">
      <c r="A338" s="6" t="s">
        <v>14</v>
      </c>
      <c r="B338" t="s">
        <v>242</v>
      </c>
      <c r="C338" t="s">
        <v>846</v>
      </c>
      <c r="D338" s="4">
        <v>46185</v>
      </c>
      <c r="E338">
        <v>84677</v>
      </c>
      <c r="F338" s="5">
        <v>28860</v>
      </c>
      <c r="G338" s="5">
        <v>55817</v>
      </c>
      <c r="H338" t="s">
        <v>842</v>
      </c>
      <c r="I338" s="1">
        <v>46763</v>
      </c>
      <c r="J338" s="9">
        <v>101130519941</v>
      </c>
      <c r="K338" t="s">
        <v>1496</v>
      </c>
      <c r="L338" t="s">
        <v>848</v>
      </c>
      <c r="M338" t="s">
        <v>1497</v>
      </c>
      <c r="N338" s="1">
        <v>45793</v>
      </c>
      <c r="O338">
        <v>5</v>
      </c>
      <c r="P338" s="11">
        <v>46192</v>
      </c>
      <c r="Q338" s="17">
        <f t="shared" si="5"/>
        <v>0</v>
      </c>
      <c r="R338" s="3">
        <v>24</v>
      </c>
      <c r="S338" s="3">
        <v>2886</v>
      </c>
      <c r="T338" s="2">
        <v>46776</v>
      </c>
      <c r="U338" s="3">
        <v>983</v>
      </c>
      <c r="X338" s="17">
        <v>0</v>
      </c>
      <c r="Y338" s="23">
        <v>0</v>
      </c>
      <c r="Z338" s="24"/>
    </row>
    <row r="339" spans="1:26">
      <c r="A339" s="6" t="s">
        <v>14</v>
      </c>
      <c r="B339" t="s">
        <v>185</v>
      </c>
      <c r="C339" t="s">
        <v>890</v>
      </c>
      <c r="D339" s="4">
        <v>46185</v>
      </c>
      <c r="E339">
        <v>106000</v>
      </c>
      <c r="F339" s="5">
        <v>60690</v>
      </c>
      <c r="G339" s="5">
        <v>45310</v>
      </c>
      <c r="H339" t="s">
        <v>842</v>
      </c>
      <c r="I339" s="1">
        <v>46457</v>
      </c>
      <c r="J339" s="9">
        <v>101130063714</v>
      </c>
      <c r="K339" t="s">
        <v>1498</v>
      </c>
      <c r="L339" t="s">
        <v>848</v>
      </c>
      <c r="M339" t="s">
        <v>1499</v>
      </c>
      <c r="N339" s="1">
        <v>45760</v>
      </c>
      <c r="O339">
        <v>3</v>
      </c>
      <c r="P339" s="11">
        <v>46192</v>
      </c>
      <c r="Q339" s="17">
        <f t="shared" si="5"/>
        <v>0</v>
      </c>
      <c r="R339" s="3">
        <v>10</v>
      </c>
      <c r="S339" s="3">
        <v>5616</v>
      </c>
      <c r="T339" s="2">
        <v>46456</v>
      </c>
      <c r="U339" s="3">
        <v>382</v>
      </c>
      <c r="X339" s="17">
        <v>0</v>
      </c>
      <c r="Y339" s="23">
        <v>0</v>
      </c>
      <c r="Z339" s="24"/>
    </row>
    <row r="340" spans="1:26">
      <c r="A340" s="6" t="s">
        <v>14</v>
      </c>
      <c r="B340" t="s">
        <v>79</v>
      </c>
      <c r="C340" t="s">
        <v>846</v>
      </c>
      <c r="D340" s="4">
        <v>46185</v>
      </c>
      <c r="E340">
        <v>78000</v>
      </c>
      <c r="F340" s="5">
        <v>48364</v>
      </c>
      <c r="G340" s="5">
        <v>29636</v>
      </c>
      <c r="H340" t="s">
        <v>842</v>
      </c>
      <c r="I340" s="1">
        <v>46429</v>
      </c>
      <c r="J340" s="9">
        <v>101129311618</v>
      </c>
      <c r="K340" t="s">
        <v>1500</v>
      </c>
      <c r="L340" t="s">
        <v>848</v>
      </c>
      <c r="M340" t="s">
        <v>1501</v>
      </c>
      <c r="N340" s="1">
        <v>45746</v>
      </c>
      <c r="O340">
        <v>3</v>
      </c>
      <c r="P340" s="11">
        <v>46192</v>
      </c>
      <c r="Q340" s="17">
        <f t="shared" si="5"/>
        <v>0</v>
      </c>
      <c r="R340" s="3">
        <v>24</v>
      </c>
      <c r="S340" s="3">
        <v>4134</v>
      </c>
      <c r="T340" s="2">
        <v>46442</v>
      </c>
      <c r="U340" s="3">
        <v>698</v>
      </c>
      <c r="X340" s="17">
        <v>0</v>
      </c>
      <c r="Y340" s="23">
        <v>0</v>
      </c>
      <c r="Z340" s="24"/>
    </row>
    <row r="341" spans="1:26">
      <c r="A341" s="6" t="s">
        <v>14</v>
      </c>
      <c r="B341" t="s">
        <v>423</v>
      </c>
      <c r="C341" t="s">
        <v>880</v>
      </c>
      <c r="D341" s="4">
        <v>46185</v>
      </c>
      <c r="E341">
        <v>75570</v>
      </c>
      <c r="F341" s="5">
        <v>25590</v>
      </c>
      <c r="G341" s="5">
        <v>49980</v>
      </c>
      <c r="H341" t="s">
        <v>842</v>
      </c>
      <c r="I341" s="1">
        <v>46915</v>
      </c>
      <c r="J341" s="9">
        <v>107112331898</v>
      </c>
      <c r="K341" t="s">
        <v>1502</v>
      </c>
      <c r="L341" t="s">
        <v>844</v>
      </c>
      <c r="M341" t="s">
        <v>1503</v>
      </c>
      <c r="N341" s="1">
        <v>45737</v>
      </c>
      <c r="O341">
        <v>6</v>
      </c>
      <c r="P341" s="11">
        <v>46192</v>
      </c>
      <c r="Q341" s="17">
        <f t="shared" si="5"/>
        <v>0</v>
      </c>
      <c r="R341" s="3">
        <v>24</v>
      </c>
      <c r="S341" s="3">
        <v>2160</v>
      </c>
      <c r="T341" s="2">
        <v>46928</v>
      </c>
      <c r="U341" s="3">
        <v>135</v>
      </c>
      <c r="X341" s="17">
        <v>0</v>
      </c>
      <c r="Y341" s="23">
        <v>0</v>
      </c>
      <c r="Z341" s="24"/>
    </row>
    <row r="342" spans="1:26">
      <c r="A342" s="6" t="s">
        <v>14</v>
      </c>
      <c r="B342" t="s">
        <v>663</v>
      </c>
      <c r="C342" t="s">
        <v>880</v>
      </c>
      <c r="D342" s="4">
        <v>46185</v>
      </c>
      <c r="E342">
        <v>23283</v>
      </c>
      <c r="F342" s="5">
        <v>12600</v>
      </c>
      <c r="G342" s="5">
        <v>10683</v>
      </c>
      <c r="H342" t="s">
        <v>842</v>
      </c>
      <c r="I342" s="1">
        <v>46398</v>
      </c>
      <c r="J342" s="9">
        <v>107112765383</v>
      </c>
      <c r="K342" t="s">
        <v>1013</v>
      </c>
      <c r="L342" t="s">
        <v>844</v>
      </c>
      <c r="M342" t="s">
        <v>1504</v>
      </c>
      <c r="N342" s="1">
        <v>45785</v>
      </c>
      <c r="O342">
        <v>3</v>
      </c>
      <c r="P342" s="11">
        <v>46192</v>
      </c>
      <c r="Q342" s="17">
        <f t="shared" si="5"/>
        <v>0</v>
      </c>
      <c r="R342" s="3">
        <v>17</v>
      </c>
      <c r="S342" s="3">
        <v>1260</v>
      </c>
      <c r="T342" s="2">
        <v>46435</v>
      </c>
      <c r="U342" s="3">
        <v>603</v>
      </c>
      <c r="X342" s="17">
        <v>0</v>
      </c>
      <c r="Y342" s="23">
        <v>0</v>
      </c>
      <c r="Z342" s="24"/>
    </row>
    <row r="343" spans="1:26">
      <c r="A343" s="6" t="s">
        <v>14</v>
      </c>
      <c r="B343" t="s">
        <v>755</v>
      </c>
      <c r="C343" t="s">
        <v>853</v>
      </c>
      <c r="D343" s="4">
        <v>46185</v>
      </c>
      <c r="E343">
        <v>129820</v>
      </c>
      <c r="F343" s="5">
        <v>33102</v>
      </c>
      <c r="G343" s="5">
        <v>96718</v>
      </c>
      <c r="H343" t="s">
        <v>842</v>
      </c>
      <c r="I343" s="1">
        <v>46794</v>
      </c>
      <c r="J343" s="9">
        <v>107112934799</v>
      </c>
      <c r="K343" t="s">
        <v>1505</v>
      </c>
      <c r="L343" t="s">
        <v>844</v>
      </c>
      <c r="M343" t="s">
        <v>1506</v>
      </c>
      <c r="N343" s="1">
        <v>45797</v>
      </c>
      <c r="O343">
        <v>5</v>
      </c>
      <c r="P343" s="11">
        <v>46192</v>
      </c>
      <c r="Q343" s="17">
        <f t="shared" si="5"/>
        <v>4100</v>
      </c>
      <c r="R343" s="3">
        <v>3</v>
      </c>
      <c r="S343" s="3">
        <v>4346</v>
      </c>
      <c r="T343" s="2">
        <v>46846</v>
      </c>
      <c r="U343" s="3">
        <v>1616</v>
      </c>
      <c r="X343" s="17">
        <v>4100</v>
      </c>
      <c r="Y343" s="23">
        <v>0</v>
      </c>
      <c r="Z343" s="24"/>
    </row>
    <row r="344" spans="1:26">
      <c r="A344" s="6" t="s">
        <v>14</v>
      </c>
      <c r="B344" t="s">
        <v>338</v>
      </c>
      <c r="C344" t="s">
        <v>887</v>
      </c>
      <c r="D344" s="4">
        <v>46185</v>
      </c>
      <c r="E344">
        <v>92000</v>
      </c>
      <c r="F344" s="5">
        <v>32800</v>
      </c>
      <c r="G344" s="5">
        <v>59200</v>
      </c>
      <c r="H344" t="s">
        <v>842</v>
      </c>
      <c r="I344" s="1">
        <v>46763</v>
      </c>
      <c r="J344" s="9">
        <v>107111993609</v>
      </c>
      <c r="K344" t="s">
        <v>1507</v>
      </c>
      <c r="L344" t="s">
        <v>844</v>
      </c>
      <c r="M344" t="s">
        <v>1508</v>
      </c>
      <c r="N344" s="1">
        <v>45704</v>
      </c>
      <c r="O344">
        <v>5</v>
      </c>
      <c r="P344" s="11">
        <v>46192</v>
      </c>
      <c r="Q344" s="17">
        <f t="shared" si="5"/>
        <v>0</v>
      </c>
      <c r="R344" s="3">
        <v>3</v>
      </c>
      <c r="S344" s="3">
        <v>3060</v>
      </c>
      <c r="T344" s="2">
        <v>46786</v>
      </c>
      <c r="U344" s="3">
        <v>200</v>
      </c>
      <c r="X344" s="17">
        <v>0</v>
      </c>
      <c r="Y344" s="23">
        <v>0</v>
      </c>
      <c r="Z344" s="24"/>
    </row>
    <row r="345" spans="1:26">
      <c r="A345" s="6" t="s">
        <v>14</v>
      </c>
      <c r="B345" t="s">
        <v>546</v>
      </c>
      <c r="C345" t="s">
        <v>853</v>
      </c>
      <c r="D345" s="4">
        <v>46185</v>
      </c>
      <c r="E345">
        <v>27862</v>
      </c>
      <c r="F345" s="5">
        <v>17465</v>
      </c>
      <c r="G345" s="5">
        <v>10397</v>
      </c>
      <c r="H345" t="s">
        <v>842</v>
      </c>
      <c r="I345" s="1">
        <v>46367</v>
      </c>
      <c r="J345" s="9">
        <v>107112605463</v>
      </c>
      <c r="K345" t="s">
        <v>1509</v>
      </c>
      <c r="L345" t="s">
        <v>844</v>
      </c>
      <c r="M345" t="s">
        <v>1510</v>
      </c>
      <c r="N345" s="1">
        <v>45793</v>
      </c>
      <c r="O345">
        <v>3</v>
      </c>
      <c r="P345" s="11">
        <v>46192</v>
      </c>
      <c r="Q345" s="17">
        <f t="shared" si="5"/>
        <v>1638</v>
      </c>
      <c r="R345" s="3">
        <v>3</v>
      </c>
      <c r="S345" s="3">
        <v>1620</v>
      </c>
      <c r="T345" s="2">
        <v>46390</v>
      </c>
      <c r="U345" s="3">
        <v>812</v>
      </c>
      <c r="X345" s="17">
        <v>1638</v>
      </c>
      <c r="Y345" s="23">
        <v>0</v>
      </c>
      <c r="Z345" s="24"/>
    </row>
    <row r="346" spans="1:26">
      <c r="A346" s="6" t="s">
        <v>14</v>
      </c>
      <c r="B346" t="s">
        <v>566</v>
      </c>
      <c r="C346" t="s">
        <v>990</v>
      </c>
      <c r="D346" s="4">
        <v>46185</v>
      </c>
      <c r="E346">
        <v>110923</v>
      </c>
      <c r="F346" s="5">
        <v>34398</v>
      </c>
      <c r="G346" s="5">
        <v>76525</v>
      </c>
      <c r="H346" t="s">
        <v>842</v>
      </c>
      <c r="I346" s="1">
        <v>46794</v>
      </c>
      <c r="J346" s="9">
        <v>107112621983</v>
      </c>
      <c r="K346" t="s">
        <v>1511</v>
      </c>
      <c r="L346" t="s">
        <v>844</v>
      </c>
      <c r="M346" t="s">
        <v>1512</v>
      </c>
      <c r="N346" s="1">
        <v>45768</v>
      </c>
      <c r="O346">
        <v>5</v>
      </c>
      <c r="P346" s="11">
        <v>46192</v>
      </c>
      <c r="Q346" s="17">
        <f t="shared" si="5"/>
        <v>0</v>
      </c>
      <c r="R346" s="3">
        <v>10</v>
      </c>
      <c r="S346" s="3">
        <v>3822</v>
      </c>
      <c r="T346" s="2">
        <v>46822</v>
      </c>
      <c r="U346" s="3">
        <v>85</v>
      </c>
      <c r="X346" s="17">
        <v>0</v>
      </c>
      <c r="Y346" s="23">
        <v>0</v>
      </c>
      <c r="Z346" s="24"/>
    </row>
    <row r="347" spans="1:26">
      <c r="A347" s="6" t="s">
        <v>14</v>
      </c>
      <c r="B347" t="s">
        <v>288</v>
      </c>
      <c r="C347" t="s">
        <v>910</v>
      </c>
      <c r="D347" s="4">
        <v>46185</v>
      </c>
      <c r="E347">
        <v>85000</v>
      </c>
      <c r="F347" s="5">
        <v>42067</v>
      </c>
      <c r="G347" s="5">
        <v>42933</v>
      </c>
      <c r="H347" t="s">
        <v>842</v>
      </c>
      <c r="I347" s="1">
        <v>46457</v>
      </c>
      <c r="J347" s="9">
        <v>101130950078</v>
      </c>
      <c r="K347" t="s">
        <v>1513</v>
      </c>
      <c r="L347" t="s">
        <v>848</v>
      </c>
      <c r="M347" t="s">
        <v>1514</v>
      </c>
      <c r="N347" s="1">
        <v>45810</v>
      </c>
      <c r="O347">
        <v>3</v>
      </c>
      <c r="P347" s="11">
        <v>46192</v>
      </c>
      <c r="Q347" s="17">
        <f t="shared" si="5"/>
        <v>0</v>
      </c>
      <c r="R347" s="3">
        <v>10</v>
      </c>
      <c r="S347" s="3">
        <v>4692</v>
      </c>
      <c r="T347" s="2">
        <v>46456</v>
      </c>
      <c r="U347" s="3">
        <v>2541</v>
      </c>
      <c r="X347" s="17">
        <v>0</v>
      </c>
      <c r="Y347" s="23">
        <v>0</v>
      </c>
      <c r="Z347" s="24"/>
    </row>
    <row r="348" spans="1:26">
      <c r="A348" s="6" t="s">
        <v>14</v>
      </c>
      <c r="B348" t="s">
        <v>356</v>
      </c>
      <c r="C348" t="s">
        <v>887</v>
      </c>
      <c r="D348" s="4">
        <v>46185</v>
      </c>
      <c r="E348">
        <v>126800</v>
      </c>
      <c r="F348" s="5">
        <v>45500</v>
      </c>
      <c r="G348" s="5">
        <v>81300</v>
      </c>
      <c r="H348" t="s">
        <v>842</v>
      </c>
      <c r="I348" s="1">
        <v>46732</v>
      </c>
      <c r="J348" s="9">
        <v>107112136965</v>
      </c>
      <c r="K348" t="s">
        <v>1515</v>
      </c>
      <c r="L348" t="s">
        <v>844</v>
      </c>
      <c r="M348" t="s">
        <v>1516</v>
      </c>
      <c r="N348" s="1">
        <v>45715</v>
      </c>
      <c r="O348">
        <v>5</v>
      </c>
      <c r="P348" s="11">
        <v>46192</v>
      </c>
      <c r="Q348" s="17">
        <f t="shared" si="5"/>
        <v>0</v>
      </c>
      <c r="R348" s="3">
        <v>17</v>
      </c>
      <c r="S348" s="3">
        <v>4176</v>
      </c>
      <c r="T348" s="2">
        <v>46769</v>
      </c>
      <c r="U348" s="3">
        <v>3876</v>
      </c>
      <c r="X348" s="17">
        <v>0</v>
      </c>
      <c r="Y348" s="23">
        <v>0</v>
      </c>
      <c r="Z348" s="24"/>
    </row>
    <row r="349" spans="1:26">
      <c r="A349" s="6" t="s">
        <v>14</v>
      </c>
      <c r="B349" t="s">
        <v>513</v>
      </c>
      <c r="C349" t="s">
        <v>880</v>
      </c>
      <c r="D349" s="4">
        <v>46185</v>
      </c>
      <c r="E349">
        <v>78200</v>
      </c>
      <c r="F349" s="5">
        <v>27450</v>
      </c>
      <c r="G349" s="5">
        <v>50750</v>
      </c>
      <c r="H349" t="s">
        <v>842</v>
      </c>
      <c r="I349" s="1">
        <v>46763</v>
      </c>
      <c r="J349" s="9">
        <v>107112562410</v>
      </c>
      <c r="K349" t="s">
        <v>1517</v>
      </c>
      <c r="L349" t="s">
        <v>844</v>
      </c>
      <c r="M349" t="s">
        <v>1518</v>
      </c>
      <c r="N349" s="1">
        <v>45757</v>
      </c>
      <c r="O349">
        <v>5</v>
      </c>
      <c r="P349" s="11">
        <v>46192</v>
      </c>
      <c r="Q349" s="17">
        <f t="shared" si="5"/>
        <v>0</v>
      </c>
      <c r="R349" s="3">
        <v>17</v>
      </c>
      <c r="S349" s="3">
        <v>2565</v>
      </c>
      <c r="T349" s="2">
        <v>46800</v>
      </c>
      <c r="U349" s="3">
        <v>2015</v>
      </c>
      <c r="X349" s="17">
        <v>0</v>
      </c>
      <c r="Y349" s="23">
        <v>0</v>
      </c>
      <c r="Z349" s="24"/>
    </row>
    <row r="350" spans="1:26">
      <c r="A350" s="6" t="s">
        <v>14</v>
      </c>
      <c r="B350" t="s">
        <v>234</v>
      </c>
      <c r="C350" t="s">
        <v>910</v>
      </c>
      <c r="D350" s="4">
        <v>46185</v>
      </c>
      <c r="E350">
        <v>85800</v>
      </c>
      <c r="F350" s="5">
        <v>31250</v>
      </c>
      <c r="G350" s="5">
        <v>54550</v>
      </c>
      <c r="H350" t="s">
        <v>842</v>
      </c>
      <c r="I350" s="1">
        <v>46823</v>
      </c>
      <c r="J350" s="9">
        <v>101130434119</v>
      </c>
      <c r="K350" t="s">
        <v>1519</v>
      </c>
      <c r="L350" t="s">
        <v>848</v>
      </c>
      <c r="M350" t="s">
        <v>1520</v>
      </c>
      <c r="N350" s="1">
        <v>45781</v>
      </c>
      <c r="O350">
        <v>5</v>
      </c>
      <c r="P350" s="11">
        <v>46192</v>
      </c>
      <c r="Q350" s="17">
        <f t="shared" si="5"/>
        <v>0</v>
      </c>
      <c r="R350" s="3">
        <v>10</v>
      </c>
      <c r="S350" s="3">
        <v>2850</v>
      </c>
      <c r="T350" s="2">
        <v>46822</v>
      </c>
      <c r="U350" s="3">
        <v>400</v>
      </c>
      <c r="X350" s="17">
        <v>0</v>
      </c>
      <c r="Y350" s="23">
        <v>0</v>
      </c>
      <c r="Z350" s="24"/>
    </row>
    <row r="351" spans="1:26">
      <c r="A351" s="6" t="s">
        <v>14</v>
      </c>
      <c r="B351" t="s">
        <v>387</v>
      </c>
      <c r="C351" t="s">
        <v>853</v>
      </c>
      <c r="D351" s="4">
        <v>46185</v>
      </c>
      <c r="E351">
        <v>78213</v>
      </c>
      <c r="F351" s="5">
        <v>26302</v>
      </c>
      <c r="G351" s="5">
        <v>51911</v>
      </c>
      <c r="H351" t="s">
        <v>842</v>
      </c>
      <c r="I351" s="1">
        <v>46763</v>
      </c>
      <c r="J351" s="9">
        <v>107112250944</v>
      </c>
      <c r="K351" t="s">
        <v>1521</v>
      </c>
      <c r="L351" t="s">
        <v>844</v>
      </c>
      <c r="M351" t="s">
        <v>1522</v>
      </c>
      <c r="N351" s="1">
        <v>45729</v>
      </c>
      <c r="O351">
        <v>5</v>
      </c>
      <c r="P351" s="11">
        <v>46192</v>
      </c>
      <c r="Q351" s="17">
        <f t="shared" si="5"/>
        <v>0</v>
      </c>
      <c r="R351" s="3">
        <v>17</v>
      </c>
      <c r="S351" s="3">
        <v>2584</v>
      </c>
      <c r="T351" s="2">
        <v>46769</v>
      </c>
      <c r="U351" s="3">
        <v>693</v>
      </c>
      <c r="X351" s="17">
        <v>0</v>
      </c>
      <c r="Y351" s="23">
        <v>0</v>
      </c>
      <c r="Z351" s="24"/>
    </row>
    <row r="352" spans="1:26">
      <c r="A352" s="6" t="s">
        <v>14</v>
      </c>
      <c r="B352" t="s">
        <v>225</v>
      </c>
      <c r="C352" t="s">
        <v>890</v>
      </c>
      <c r="D352" s="4">
        <v>46185</v>
      </c>
      <c r="E352">
        <v>92000</v>
      </c>
      <c r="F352" s="5">
        <v>50810</v>
      </c>
      <c r="G352" s="5">
        <v>41190</v>
      </c>
      <c r="H352" t="s">
        <v>842</v>
      </c>
      <c r="I352" s="1">
        <v>46398</v>
      </c>
      <c r="J352" s="9">
        <v>101130380821</v>
      </c>
      <c r="K352" t="s">
        <v>1523</v>
      </c>
      <c r="L352" t="s">
        <v>848</v>
      </c>
      <c r="M352" t="s">
        <v>1524</v>
      </c>
      <c r="N352" s="1">
        <v>45776</v>
      </c>
      <c r="O352">
        <v>3</v>
      </c>
      <c r="P352" s="11">
        <v>46192</v>
      </c>
      <c r="Q352" s="17">
        <f t="shared" si="5"/>
        <v>0</v>
      </c>
      <c r="R352" s="3">
        <v>3</v>
      </c>
      <c r="S352" s="3">
        <v>5076</v>
      </c>
      <c r="T352" s="2">
        <v>46421</v>
      </c>
      <c r="U352" s="3">
        <v>3930</v>
      </c>
      <c r="X352" s="17">
        <v>0</v>
      </c>
      <c r="Y352" s="23">
        <v>0</v>
      </c>
      <c r="Z352" s="24"/>
    </row>
    <row r="353" spans="1:26">
      <c r="A353" s="6" t="s">
        <v>14</v>
      </c>
      <c r="B353" t="s">
        <v>233</v>
      </c>
      <c r="C353" t="s">
        <v>890</v>
      </c>
      <c r="D353" s="4">
        <v>46185</v>
      </c>
      <c r="E353">
        <v>80000</v>
      </c>
      <c r="F353" s="5">
        <v>40800</v>
      </c>
      <c r="G353" s="5">
        <v>39200</v>
      </c>
      <c r="H353" t="s">
        <v>842</v>
      </c>
      <c r="I353" s="1">
        <v>46429</v>
      </c>
      <c r="J353" s="9">
        <v>101130428817</v>
      </c>
      <c r="K353" t="s">
        <v>980</v>
      </c>
      <c r="L353" t="s">
        <v>848</v>
      </c>
      <c r="M353" t="s">
        <v>1525</v>
      </c>
      <c r="N353" s="1">
        <v>45782</v>
      </c>
      <c r="O353">
        <v>3</v>
      </c>
      <c r="P353" s="11">
        <v>46192</v>
      </c>
      <c r="Q353" s="17">
        <f t="shared" si="5"/>
        <v>0</v>
      </c>
      <c r="R353" s="3">
        <v>31</v>
      </c>
      <c r="S353" s="3">
        <v>4368</v>
      </c>
      <c r="T353" s="2">
        <v>46446</v>
      </c>
      <c r="U353" s="3">
        <v>3920</v>
      </c>
      <c r="X353" s="17">
        <v>0</v>
      </c>
      <c r="Y353" s="23">
        <v>0</v>
      </c>
      <c r="Z353" s="24"/>
    </row>
    <row r="354" spans="1:26">
      <c r="A354" s="6" t="s">
        <v>14</v>
      </c>
      <c r="B354" t="s">
        <v>507</v>
      </c>
      <c r="C354" t="s">
        <v>864</v>
      </c>
      <c r="D354" s="4">
        <v>46185</v>
      </c>
      <c r="E354">
        <v>105075</v>
      </c>
      <c r="F354" s="5">
        <v>36400</v>
      </c>
      <c r="G354" s="5">
        <v>68675</v>
      </c>
      <c r="H354" t="s">
        <v>842</v>
      </c>
      <c r="I354" s="1">
        <v>46763</v>
      </c>
      <c r="J354" s="9">
        <v>107112553051</v>
      </c>
      <c r="K354" t="s">
        <v>865</v>
      </c>
      <c r="L354" t="s">
        <v>844</v>
      </c>
      <c r="M354" t="s">
        <v>1526</v>
      </c>
      <c r="N354" s="1">
        <v>45756</v>
      </c>
      <c r="O354">
        <v>5</v>
      </c>
      <c r="P354" s="11">
        <v>46192</v>
      </c>
      <c r="Q354" s="17">
        <f t="shared" si="5"/>
        <v>0</v>
      </c>
      <c r="R354" s="3">
        <v>17</v>
      </c>
      <c r="S354" s="3">
        <v>3480</v>
      </c>
      <c r="T354" s="2">
        <v>46800</v>
      </c>
      <c r="U354" s="3">
        <v>2555</v>
      </c>
      <c r="X354" s="17">
        <v>0</v>
      </c>
      <c r="Y354" s="23">
        <v>0</v>
      </c>
      <c r="Z354" s="24"/>
    </row>
    <row r="355" spans="1:26">
      <c r="A355" s="6" t="s">
        <v>14</v>
      </c>
      <c r="B355" t="s">
        <v>509</v>
      </c>
      <c r="C355" t="s">
        <v>880</v>
      </c>
      <c r="D355" s="4">
        <v>46185</v>
      </c>
      <c r="E355">
        <v>119603</v>
      </c>
      <c r="F355" s="5">
        <v>41340</v>
      </c>
      <c r="G355" s="5">
        <v>78263</v>
      </c>
      <c r="H355" t="s">
        <v>842</v>
      </c>
      <c r="I355" s="1">
        <v>46763</v>
      </c>
      <c r="J355" s="9">
        <v>107112556607</v>
      </c>
      <c r="K355" t="s">
        <v>958</v>
      </c>
      <c r="L355" t="s">
        <v>844</v>
      </c>
      <c r="M355" t="s">
        <v>1527</v>
      </c>
      <c r="N355" s="1">
        <v>45767</v>
      </c>
      <c r="O355">
        <v>5</v>
      </c>
      <c r="P355" s="11">
        <v>46192</v>
      </c>
      <c r="Q355" s="17">
        <f t="shared" si="5"/>
        <v>0</v>
      </c>
      <c r="R355" s="3">
        <v>17</v>
      </c>
      <c r="S355" s="3">
        <v>3922</v>
      </c>
      <c r="T355" s="2">
        <v>46800</v>
      </c>
      <c r="U355" s="3">
        <v>3745</v>
      </c>
      <c r="X355" s="17">
        <v>0</v>
      </c>
      <c r="Y355" s="23">
        <v>0</v>
      </c>
      <c r="Z355" s="24"/>
    </row>
    <row r="356" spans="1:26">
      <c r="A356" s="6" t="s">
        <v>14</v>
      </c>
      <c r="B356" t="s">
        <v>537</v>
      </c>
      <c r="C356" t="s">
        <v>853</v>
      </c>
      <c r="D356" s="4">
        <v>46185</v>
      </c>
      <c r="E356">
        <v>106500</v>
      </c>
      <c r="F356" s="5">
        <v>30206</v>
      </c>
      <c r="G356" s="5">
        <v>76294</v>
      </c>
      <c r="H356" t="s">
        <v>842</v>
      </c>
      <c r="I356" s="1">
        <v>46823</v>
      </c>
      <c r="J356" s="9">
        <v>107112594084</v>
      </c>
      <c r="K356" t="s">
        <v>1528</v>
      </c>
      <c r="L356" t="s">
        <v>844</v>
      </c>
      <c r="M356" t="s">
        <v>1529</v>
      </c>
      <c r="N356" s="1">
        <v>45760</v>
      </c>
      <c r="O356">
        <v>5</v>
      </c>
      <c r="P356" s="11">
        <v>46192</v>
      </c>
      <c r="Q356" s="17">
        <f t="shared" si="5"/>
        <v>3472</v>
      </c>
      <c r="R356" s="3">
        <v>3</v>
      </c>
      <c r="S356" s="3">
        <v>3472</v>
      </c>
      <c r="T356" s="2">
        <v>46846</v>
      </c>
      <c r="U356" s="3">
        <v>3382</v>
      </c>
      <c r="X356" s="17">
        <v>3472</v>
      </c>
      <c r="Y356" s="23">
        <v>0</v>
      </c>
      <c r="Z356" s="24"/>
    </row>
    <row r="357" spans="1:26">
      <c r="A357" s="6" t="s">
        <v>14</v>
      </c>
      <c r="B357" t="s">
        <v>207</v>
      </c>
      <c r="C357" t="s">
        <v>850</v>
      </c>
      <c r="D357" s="4">
        <v>46185</v>
      </c>
      <c r="E357">
        <v>73000</v>
      </c>
      <c r="F357" s="5">
        <v>23303.33</v>
      </c>
      <c r="G357" s="5">
        <v>49696.67</v>
      </c>
      <c r="H357" t="s">
        <v>842</v>
      </c>
      <c r="I357" s="1">
        <v>46823</v>
      </c>
      <c r="J357" s="9">
        <v>101130192067</v>
      </c>
      <c r="K357" t="s">
        <v>1530</v>
      </c>
      <c r="L357" t="s">
        <v>848</v>
      </c>
      <c r="M357" t="s">
        <v>1531</v>
      </c>
      <c r="N357" s="1">
        <v>45774</v>
      </c>
      <c r="O357">
        <v>5</v>
      </c>
      <c r="P357" s="11">
        <v>46192</v>
      </c>
      <c r="Q357" s="17">
        <f t="shared" si="5"/>
        <v>0</v>
      </c>
      <c r="R357" s="3">
        <v>31</v>
      </c>
      <c r="S357" s="3">
        <v>2360</v>
      </c>
      <c r="T357" s="2">
        <v>46843</v>
      </c>
      <c r="U357" s="3">
        <v>136.669999999998</v>
      </c>
      <c r="X357" s="17">
        <v>0</v>
      </c>
      <c r="Y357" s="23">
        <v>0</v>
      </c>
      <c r="Z357" s="24"/>
    </row>
    <row r="358" spans="1:26">
      <c r="A358" s="6" t="s">
        <v>14</v>
      </c>
      <c r="B358" t="s">
        <v>717</v>
      </c>
      <c r="C358" t="s">
        <v>853</v>
      </c>
      <c r="D358" s="4">
        <v>46185</v>
      </c>
      <c r="E358">
        <v>142410</v>
      </c>
      <c r="F358" s="5">
        <v>43382</v>
      </c>
      <c r="G358" s="5">
        <v>99028</v>
      </c>
      <c r="H358" t="s">
        <v>842</v>
      </c>
      <c r="I358" s="1">
        <v>46794</v>
      </c>
      <c r="J358" s="9">
        <v>107112873012</v>
      </c>
      <c r="K358" t="s">
        <v>1532</v>
      </c>
      <c r="L358" t="s">
        <v>844</v>
      </c>
      <c r="M358" t="s">
        <v>1533</v>
      </c>
      <c r="N358" s="1">
        <v>45794</v>
      </c>
      <c r="O358">
        <v>5</v>
      </c>
      <c r="P358" s="11">
        <v>46192</v>
      </c>
      <c r="Q358" s="17">
        <f t="shared" si="5"/>
        <v>0</v>
      </c>
      <c r="R358" s="3">
        <v>3</v>
      </c>
      <c r="S358" s="3">
        <v>4785</v>
      </c>
      <c r="T358" s="2">
        <v>46815</v>
      </c>
      <c r="U358" s="3">
        <v>1445</v>
      </c>
      <c r="X358" s="17">
        <v>0</v>
      </c>
      <c r="Y358" s="23">
        <v>0</v>
      </c>
      <c r="Z358" s="24"/>
    </row>
    <row r="359" spans="1:26">
      <c r="A359" s="6" t="s">
        <v>14</v>
      </c>
      <c r="B359" t="s">
        <v>647</v>
      </c>
      <c r="C359" t="s">
        <v>853</v>
      </c>
      <c r="D359" s="4">
        <v>46185</v>
      </c>
      <c r="E359">
        <v>17689</v>
      </c>
      <c r="F359" s="5">
        <v>11588</v>
      </c>
      <c r="G359" s="5">
        <v>6101</v>
      </c>
      <c r="H359" t="s">
        <v>842</v>
      </c>
      <c r="I359" s="1">
        <v>46398</v>
      </c>
      <c r="J359" s="9">
        <v>107112728300</v>
      </c>
      <c r="K359" t="s">
        <v>1534</v>
      </c>
      <c r="L359" t="s">
        <v>844</v>
      </c>
      <c r="M359" t="s">
        <v>1535</v>
      </c>
      <c r="N359" s="1">
        <v>45782</v>
      </c>
      <c r="O359">
        <v>3</v>
      </c>
      <c r="P359" s="11">
        <v>46192</v>
      </c>
      <c r="Q359" s="17">
        <f t="shared" si="5"/>
        <v>0</v>
      </c>
      <c r="R359" s="3">
        <v>24</v>
      </c>
      <c r="S359" s="3">
        <v>966</v>
      </c>
      <c r="T359" s="2">
        <v>46411</v>
      </c>
      <c r="U359" s="3">
        <v>347</v>
      </c>
      <c r="X359" s="17">
        <v>0</v>
      </c>
      <c r="Y359" s="23">
        <v>0</v>
      </c>
      <c r="Z359" s="24"/>
    </row>
    <row r="360" spans="1:26">
      <c r="A360" s="6" t="s">
        <v>14</v>
      </c>
      <c r="B360" t="s">
        <v>761</v>
      </c>
      <c r="C360" t="s">
        <v>907</v>
      </c>
      <c r="D360" s="4">
        <v>46185</v>
      </c>
      <c r="E360">
        <v>105700</v>
      </c>
      <c r="F360" s="5">
        <v>30400</v>
      </c>
      <c r="G360" s="5">
        <v>75300</v>
      </c>
      <c r="H360" t="s">
        <v>842</v>
      </c>
      <c r="I360" s="1">
        <v>46794</v>
      </c>
      <c r="J360" s="9">
        <v>107112954373</v>
      </c>
      <c r="K360" t="s">
        <v>1536</v>
      </c>
      <c r="L360" t="s">
        <v>844</v>
      </c>
      <c r="M360" t="s">
        <v>1537</v>
      </c>
      <c r="N360" s="1">
        <v>45798</v>
      </c>
      <c r="O360">
        <v>5</v>
      </c>
      <c r="P360" s="11">
        <v>46192</v>
      </c>
      <c r="Q360" s="17">
        <f t="shared" si="5"/>
        <v>0</v>
      </c>
      <c r="R360" s="3">
        <v>17</v>
      </c>
      <c r="S360" s="3">
        <v>3550</v>
      </c>
      <c r="T360" s="2">
        <v>46860</v>
      </c>
      <c r="U360" s="3">
        <v>750</v>
      </c>
      <c r="X360" s="17">
        <v>0</v>
      </c>
      <c r="Y360" s="23">
        <v>0</v>
      </c>
      <c r="Z360" s="24"/>
    </row>
    <row r="361" spans="1:26">
      <c r="A361" s="6" t="s">
        <v>14</v>
      </c>
      <c r="B361" t="s">
        <v>443</v>
      </c>
      <c r="C361" t="s">
        <v>853</v>
      </c>
      <c r="D361" s="4">
        <v>46185</v>
      </c>
      <c r="E361">
        <v>84000</v>
      </c>
      <c r="F361" s="5">
        <v>31120</v>
      </c>
      <c r="G361" s="5">
        <v>52880</v>
      </c>
      <c r="H361" t="s">
        <v>842</v>
      </c>
      <c r="I361" s="1">
        <v>46732</v>
      </c>
      <c r="J361" s="9">
        <v>107112384912</v>
      </c>
      <c r="K361" t="s">
        <v>1538</v>
      </c>
      <c r="L361" t="s">
        <v>844</v>
      </c>
      <c r="M361" t="s">
        <v>1539</v>
      </c>
      <c r="N361" s="1">
        <v>45774</v>
      </c>
      <c r="O361">
        <v>5</v>
      </c>
      <c r="P361" s="11">
        <v>46192</v>
      </c>
      <c r="Q361" s="17">
        <f t="shared" si="5"/>
        <v>0</v>
      </c>
      <c r="R361" s="3">
        <v>17</v>
      </c>
      <c r="S361" s="3">
        <v>2914</v>
      </c>
      <c r="T361" s="2">
        <v>46769</v>
      </c>
      <c r="U361" s="3">
        <v>428</v>
      </c>
      <c r="X361" s="17">
        <v>0</v>
      </c>
      <c r="Y361" s="23">
        <v>0</v>
      </c>
      <c r="Z361" s="24"/>
    </row>
    <row r="362" spans="1:26">
      <c r="A362" s="6" t="s">
        <v>14</v>
      </c>
      <c r="B362" t="s">
        <v>812</v>
      </c>
      <c r="C362" t="s">
        <v>867</v>
      </c>
      <c r="D362" s="4">
        <v>46185</v>
      </c>
      <c r="E362">
        <v>98000</v>
      </c>
      <c r="F362" s="5">
        <v>36140</v>
      </c>
      <c r="G362" s="5">
        <v>61860</v>
      </c>
      <c r="H362" t="s">
        <v>842</v>
      </c>
      <c r="I362" s="1">
        <v>46579</v>
      </c>
      <c r="J362" s="9">
        <v>107113105964</v>
      </c>
      <c r="K362" t="s">
        <v>1540</v>
      </c>
      <c r="L362" t="s">
        <v>844</v>
      </c>
      <c r="M362" t="s">
        <v>1541</v>
      </c>
      <c r="N362" s="1">
        <v>45819</v>
      </c>
      <c r="O362">
        <v>3</v>
      </c>
      <c r="P362" s="11">
        <v>46192</v>
      </c>
      <c r="Q362" s="17">
        <f t="shared" si="5"/>
        <v>0</v>
      </c>
      <c r="R362" s="3">
        <v>3</v>
      </c>
      <c r="S362" s="3">
        <v>4400</v>
      </c>
      <c r="T362" s="2">
        <v>46602</v>
      </c>
      <c r="U362" s="3">
        <v>3840</v>
      </c>
      <c r="X362" s="17">
        <v>0</v>
      </c>
      <c r="Y362" s="23">
        <v>0</v>
      </c>
      <c r="Z362" s="24"/>
    </row>
    <row r="363" spans="1:26">
      <c r="A363" s="6" t="s">
        <v>14</v>
      </c>
      <c r="B363" t="s">
        <v>24</v>
      </c>
      <c r="C363" t="s">
        <v>861</v>
      </c>
      <c r="D363" s="4">
        <v>46185</v>
      </c>
      <c r="E363">
        <v>92990</v>
      </c>
      <c r="F363" s="5">
        <v>37785</v>
      </c>
      <c r="G363" s="5">
        <v>55205</v>
      </c>
      <c r="H363" t="s">
        <v>842</v>
      </c>
      <c r="I363" s="1">
        <v>46671</v>
      </c>
      <c r="J363" s="9">
        <v>101127626459</v>
      </c>
      <c r="K363" t="s">
        <v>1542</v>
      </c>
      <c r="L363" t="s">
        <v>848</v>
      </c>
      <c r="M363" t="s">
        <v>1543</v>
      </c>
      <c r="N363" s="1">
        <v>45639</v>
      </c>
      <c r="O363">
        <v>5</v>
      </c>
      <c r="P363" s="11">
        <v>46192</v>
      </c>
      <c r="Q363" s="17">
        <f t="shared" si="5"/>
        <v>3355</v>
      </c>
      <c r="R363" s="3">
        <v>17</v>
      </c>
      <c r="S363" s="3">
        <v>3465</v>
      </c>
      <c r="T363" s="2">
        <v>46677</v>
      </c>
      <c r="U363" s="3">
        <v>2900</v>
      </c>
      <c r="X363" s="17">
        <v>3355</v>
      </c>
      <c r="Y363" s="23">
        <v>0</v>
      </c>
      <c r="Z363" s="24"/>
    </row>
    <row r="364" spans="1:26">
      <c r="A364" s="6" t="s">
        <v>14</v>
      </c>
      <c r="B364" t="s">
        <v>619</v>
      </c>
      <c r="C364" t="s">
        <v>907</v>
      </c>
      <c r="D364" s="4">
        <v>46185</v>
      </c>
      <c r="E364">
        <v>129626</v>
      </c>
      <c r="F364" s="5">
        <v>34803</v>
      </c>
      <c r="G364" s="5">
        <v>94823</v>
      </c>
      <c r="H364" t="s">
        <v>842</v>
      </c>
      <c r="I364" s="1">
        <v>46794</v>
      </c>
      <c r="J364" s="9">
        <v>107112679830</v>
      </c>
      <c r="K364" t="s">
        <v>1544</v>
      </c>
      <c r="L364" t="s">
        <v>844</v>
      </c>
      <c r="M364" t="s">
        <v>1545</v>
      </c>
      <c r="N364" s="1">
        <v>45770</v>
      </c>
      <c r="O364">
        <v>5</v>
      </c>
      <c r="P364" s="11">
        <v>46192</v>
      </c>
      <c r="Q364" s="17">
        <f t="shared" si="5"/>
        <v>4005</v>
      </c>
      <c r="R364" s="3">
        <v>31</v>
      </c>
      <c r="S364" s="3">
        <v>4272</v>
      </c>
      <c r="T364" s="2">
        <v>46812</v>
      </c>
      <c r="U364" s="3">
        <v>3818</v>
      </c>
      <c r="X364" s="17">
        <v>4005</v>
      </c>
      <c r="Y364" s="23">
        <v>0</v>
      </c>
      <c r="Z364" s="24"/>
    </row>
    <row r="365" spans="1:26">
      <c r="A365" s="6" t="s">
        <v>14</v>
      </c>
      <c r="B365" t="s">
        <v>141</v>
      </c>
      <c r="C365" t="s">
        <v>910</v>
      </c>
      <c r="D365" s="4">
        <v>46185</v>
      </c>
      <c r="E365">
        <v>98888</v>
      </c>
      <c r="F365" s="5">
        <v>56680</v>
      </c>
      <c r="G365" s="5">
        <v>42208</v>
      </c>
      <c r="H365" t="s">
        <v>842</v>
      </c>
      <c r="I365" s="1">
        <v>46398</v>
      </c>
      <c r="J365" s="9">
        <v>101129685066</v>
      </c>
      <c r="K365" t="s">
        <v>1395</v>
      </c>
      <c r="L365" t="s">
        <v>848</v>
      </c>
      <c r="M365" t="s">
        <v>1546</v>
      </c>
      <c r="N365" s="1">
        <v>45742</v>
      </c>
      <c r="O365">
        <v>3</v>
      </c>
      <c r="P365" s="11">
        <v>46192</v>
      </c>
      <c r="Q365" s="17">
        <f t="shared" si="5"/>
        <v>0</v>
      </c>
      <c r="R365" s="3">
        <v>3</v>
      </c>
      <c r="S365" s="3">
        <v>5382</v>
      </c>
      <c r="T365" s="2">
        <v>46421</v>
      </c>
      <c r="U365" s="3">
        <v>4534</v>
      </c>
      <c r="X365" s="17">
        <v>0</v>
      </c>
      <c r="Y365" s="23">
        <v>0</v>
      </c>
      <c r="Z365" s="24"/>
    </row>
    <row r="366" spans="1:26">
      <c r="A366" s="6" t="s">
        <v>14</v>
      </c>
      <c r="B366" t="s">
        <v>533</v>
      </c>
      <c r="C366" t="s">
        <v>907</v>
      </c>
      <c r="D366" s="4">
        <v>46185</v>
      </c>
      <c r="E366">
        <v>22478</v>
      </c>
      <c r="F366" s="5">
        <v>13750</v>
      </c>
      <c r="G366" s="5">
        <v>8728</v>
      </c>
      <c r="H366" t="s">
        <v>842</v>
      </c>
      <c r="I366" s="1">
        <v>46337</v>
      </c>
      <c r="J366" s="9">
        <v>107112590746</v>
      </c>
      <c r="K366" t="s">
        <v>1547</v>
      </c>
      <c r="L366" t="s">
        <v>844</v>
      </c>
      <c r="M366" t="s">
        <v>1548</v>
      </c>
      <c r="N366" s="1">
        <v>45760</v>
      </c>
      <c r="O366">
        <v>3</v>
      </c>
      <c r="P366" s="11">
        <v>46192</v>
      </c>
      <c r="Q366" s="17">
        <f t="shared" si="5"/>
        <v>0</v>
      </c>
      <c r="R366" s="3">
        <v>17</v>
      </c>
      <c r="S366" s="3">
        <v>1250</v>
      </c>
      <c r="T366" s="2">
        <v>46373</v>
      </c>
      <c r="U366" s="3">
        <v>1228</v>
      </c>
      <c r="X366" s="17">
        <v>0</v>
      </c>
      <c r="Y366" s="23">
        <v>0</v>
      </c>
      <c r="Z366" s="24"/>
    </row>
    <row r="367" spans="1:26">
      <c r="A367" s="6" t="s">
        <v>14</v>
      </c>
      <c r="B367" t="s">
        <v>53</v>
      </c>
      <c r="C367" t="s">
        <v>901</v>
      </c>
      <c r="D367" s="4">
        <v>46185</v>
      </c>
      <c r="E367">
        <v>103759</v>
      </c>
      <c r="F367" s="5">
        <v>45123</v>
      </c>
      <c r="G367" s="5">
        <v>58636</v>
      </c>
      <c r="H367" t="s">
        <v>842</v>
      </c>
      <c r="I367" s="1">
        <v>46702</v>
      </c>
      <c r="J367" s="9">
        <v>101128601341</v>
      </c>
      <c r="K367" t="s">
        <v>1549</v>
      </c>
      <c r="L367" t="s">
        <v>848</v>
      </c>
      <c r="M367" t="s">
        <v>1550</v>
      </c>
      <c r="N367" s="1">
        <v>45680</v>
      </c>
      <c r="O367">
        <v>5</v>
      </c>
      <c r="P367" s="11">
        <v>46192</v>
      </c>
      <c r="Q367" s="17">
        <f t="shared" si="5"/>
        <v>0</v>
      </c>
      <c r="R367" s="3">
        <v>17</v>
      </c>
      <c r="S367" s="3">
        <v>3588</v>
      </c>
      <c r="T367" s="2">
        <v>46738</v>
      </c>
      <c r="U367" s="3">
        <v>175</v>
      </c>
      <c r="X367" s="17">
        <v>0</v>
      </c>
      <c r="Y367" s="23">
        <v>0</v>
      </c>
      <c r="Z367" s="24"/>
    </row>
    <row r="368" spans="1:26">
      <c r="A368" s="6" t="s">
        <v>14</v>
      </c>
      <c r="B368" t="s">
        <v>205</v>
      </c>
      <c r="C368" t="s">
        <v>846</v>
      </c>
      <c r="D368" s="4">
        <v>46185</v>
      </c>
      <c r="E368">
        <v>172980</v>
      </c>
      <c r="F368" s="5">
        <v>56445</v>
      </c>
      <c r="G368" s="5">
        <v>116535</v>
      </c>
      <c r="H368" t="s">
        <v>842</v>
      </c>
      <c r="I368" s="1">
        <v>46794</v>
      </c>
      <c r="J368" s="9">
        <v>101130189018</v>
      </c>
      <c r="K368" t="s">
        <v>1551</v>
      </c>
      <c r="L368" t="s">
        <v>848</v>
      </c>
      <c r="M368" t="s">
        <v>1552</v>
      </c>
      <c r="N368" s="1">
        <v>45775</v>
      </c>
      <c r="O368">
        <v>5</v>
      </c>
      <c r="P368" s="11">
        <v>46192</v>
      </c>
      <c r="Q368" s="17">
        <f t="shared" si="5"/>
        <v>0</v>
      </c>
      <c r="R368" s="3">
        <v>3</v>
      </c>
      <c r="S368" s="3">
        <v>5805</v>
      </c>
      <c r="T368" s="2">
        <v>46815</v>
      </c>
      <c r="U368" s="3">
        <v>435</v>
      </c>
      <c r="X368" s="17">
        <v>0</v>
      </c>
      <c r="Y368" s="23">
        <v>0</v>
      </c>
      <c r="Z368" s="24"/>
    </row>
    <row r="369" spans="1:26">
      <c r="A369" s="6" t="s">
        <v>14</v>
      </c>
      <c r="B369" t="s">
        <v>626</v>
      </c>
      <c r="C369" t="s">
        <v>841</v>
      </c>
      <c r="D369" s="4">
        <v>46185</v>
      </c>
      <c r="E369">
        <v>105000</v>
      </c>
      <c r="F369" s="5">
        <v>105000</v>
      </c>
      <c r="G369" s="5">
        <v>0</v>
      </c>
      <c r="H369" s="7" t="s">
        <v>1659</v>
      </c>
      <c r="I369" s="1">
        <v>46854</v>
      </c>
      <c r="J369" s="9">
        <v>107112700446</v>
      </c>
      <c r="K369" t="s">
        <v>1553</v>
      </c>
      <c r="L369" t="s">
        <v>844</v>
      </c>
      <c r="M369" t="s">
        <v>1554</v>
      </c>
      <c r="N369" s="1">
        <v>45773</v>
      </c>
      <c r="O369">
        <v>5</v>
      </c>
      <c r="P369" s="11">
        <v>46192</v>
      </c>
      <c r="Q369" s="17">
        <f t="shared" si="5"/>
        <v>0</v>
      </c>
      <c r="R369" s="3">
        <v>24</v>
      </c>
      <c r="S369" s="3">
        <v>3262.5</v>
      </c>
      <c r="T369" s="2">
        <v>46867</v>
      </c>
      <c r="U369" s="3">
        <v>1986.5</v>
      </c>
      <c r="X369" s="17">
        <v>0</v>
      </c>
      <c r="Y369" s="23">
        <v>0</v>
      </c>
      <c r="Z369" s="24"/>
    </row>
    <row r="370" spans="1:26">
      <c r="A370" s="6" t="s">
        <v>14</v>
      </c>
      <c r="B370" t="s">
        <v>584</v>
      </c>
      <c r="C370" t="s">
        <v>864</v>
      </c>
      <c r="D370" s="4">
        <v>46185</v>
      </c>
      <c r="E370">
        <v>86995</v>
      </c>
      <c r="F370" s="5">
        <v>32020</v>
      </c>
      <c r="G370" s="5">
        <v>54975</v>
      </c>
      <c r="H370" t="s">
        <v>842</v>
      </c>
      <c r="I370" s="1">
        <v>46763</v>
      </c>
      <c r="J370" s="9">
        <v>107112642685</v>
      </c>
      <c r="K370" t="s">
        <v>1555</v>
      </c>
      <c r="L370" t="s">
        <v>844</v>
      </c>
      <c r="M370" t="s">
        <v>1556</v>
      </c>
      <c r="N370" s="1">
        <v>45775</v>
      </c>
      <c r="O370">
        <v>5</v>
      </c>
      <c r="P370" s="11">
        <v>46192</v>
      </c>
      <c r="Q370" s="17">
        <f t="shared" si="5"/>
        <v>0</v>
      </c>
      <c r="R370" s="3">
        <v>24</v>
      </c>
      <c r="S370" s="3">
        <v>3024</v>
      </c>
      <c r="T370" s="2">
        <v>46776</v>
      </c>
      <c r="U370" s="3">
        <v>543</v>
      </c>
      <c r="X370" s="17">
        <v>0</v>
      </c>
      <c r="Y370" s="23">
        <v>0</v>
      </c>
      <c r="Z370" s="24"/>
    </row>
    <row r="371" spans="1:26">
      <c r="A371" s="6" t="s">
        <v>14</v>
      </c>
      <c r="B371" t="s">
        <v>34</v>
      </c>
      <c r="C371" t="s">
        <v>901</v>
      </c>
      <c r="D371" s="4">
        <v>46185</v>
      </c>
      <c r="E371">
        <v>109806</v>
      </c>
      <c r="F371" s="5">
        <v>46236.930000000008</v>
      </c>
      <c r="G371" s="5">
        <v>63569.069999999992</v>
      </c>
      <c r="H371" t="s">
        <v>842</v>
      </c>
      <c r="I371" s="1">
        <v>46702</v>
      </c>
      <c r="J371" s="9">
        <v>101128199395</v>
      </c>
      <c r="K371" t="s">
        <v>1557</v>
      </c>
      <c r="L371" t="s">
        <v>848</v>
      </c>
      <c r="M371" t="s">
        <v>1558</v>
      </c>
      <c r="N371" s="1">
        <v>45655</v>
      </c>
      <c r="O371">
        <v>5</v>
      </c>
      <c r="P371" s="11">
        <v>46192</v>
      </c>
      <c r="Q371" s="17">
        <f t="shared" si="5"/>
        <v>0</v>
      </c>
      <c r="R371" s="3">
        <v>3</v>
      </c>
      <c r="S371" s="3">
        <v>3709.8</v>
      </c>
      <c r="T371" s="2">
        <v>46724</v>
      </c>
      <c r="U371" s="3">
        <v>502.47000000000099</v>
      </c>
      <c r="X371" s="17">
        <v>0</v>
      </c>
      <c r="Y371" s="23">
        <v>0</v>
      </c>
      <c r="Z371" s="24"/>
    </row>
    <row r="372" spans="1:26">
      <c r="A372" s="6" t="s">
        <v>14</v>
      </c>
      <c r="B372" t="s">
        <v>495</v>
      </c>
      <c r="C372" t="s">
        <v>880</v>
      </c>
      <c r="D372" s="4">
        <v>46185</v>
      </c>
      <c r="E372">
        <v>24963</v>
      </c>
      <c r="F372" s="5">
        <v>15099</v>
      </c>
      <c r="G372" s="5">
        <v>9864</v>
      </c>
      <c r="H372" t="s">
        <v>842</v>
      </c>
      <c r="I372" s="1">
        <v>46398</v>
      </c>
      <c r="J372" s="9">
        <v>107112524298</v>
      </c>
      <c r="K372" t="s">
        <v>1559</v>
      </c>
      <c r="L372" t="s">
        <v>844</v>
      </c>
      <c r="M372" t="s">
        <v>1560</v>
      </c>
      <c r="N372" s="1">
        <v>45764</v>
      </c>
      <c r="O372">
        <v>3</v>
      </c>
      <c r="P372" s="11">
        <v>46192</v>
      </c>
      <c r="Q372" s="17">
        <f t="shared" si="5"/>
        <v>0</v>
      </c>
      <c r="R372" s="3">
        <v>3</v>
      </c>
      <c r="S372" s="3">
        <v>1365</v>
      </c>
      <c r="T372" s="2">
        <v>46421</v>
      </c>
      <c r="U372" s="3">
        <v>393</v>
      </c>
      <c r="X372" s="17">
        <v>0</v>
      </c>
      <c r="Y372" s="23">
        <v>0</v>
      </c>
      <c r="Z372" s="24"/>
    </row>
    <row r="373" spans="1:26">
      <c r="A373" s="6" t="s">
        <v>14</v>
      </c>
      <c r="B373" t="s">
        <v>607</v>
      </c>
      <c r="C373" t="s">
        <v>841</v>
      </c>
      <c r="D373" s="4">
        <v>46185</v>
      </c>
      <c r="E373">
        <v>97745</v>
      </c>
      <c r="F373" s="5">
        <v>29446</v>
      </c>
      <c r="G373" s="5">
        <v>68299</v>
      </c>
      <c r="H373" t="s">
        <v>842</v>
      </c>
      <c r="I373" s="1">
        <v>46794</v>
      </c>
      <c r="J373" s="9">
        <v>107112664181</v>
      </c>
      <c r="K373" t="s">
        <v>897</v>
      </c>
      <c r="L373" t="s">
        <v>844</v>
      </c>
      <c r="M373" t="s">
        <v>1561</v>
      </c>
      <c r="N373" s="1">
        <v>45768</v>
      </c>
      <c r="O373">
        <v>5</v>
      </c>
      <c r="P373" s="11">
        <v>46192</v>
      </c>
      <c r="Q373" s="17">
        <f t="shared" si="5"/>
        <v>0</v>
      </c>
      <c r="R373" s="3">
        <v>17</v>
      </c>
      <c r="S373" s="3">
        <v>3120</v>
      </c>
      <c r="T373" s="2">
        <v>46829</v>
      </c>
      <c r="U373" s="3">
        <v>1695</v>
      </c>
      <c r="X373" s="17">
        <v>0</v>
      </c>
      <c r="Y373" s="23">
        <v>0</v>
      </c>
      <c r="Z373" s="24"/>
    </row>
    <row r="374" spans="1:26">
      <c r="A374" s="6" t="s">
        <v>14</v>
      </c>
      <c r="B374" t="s">
        <v>20</v>
      </c>
      <c r="C374" t="s">
        <v>861</v>
      </c>
      <c r="D374" s="4">
        <v>46185</v>
      </c>
      <c r="E374">
        <v>94060</v>
      </c>
      <c r="F374" s="5">
        <v>77315</v>
      </c>
      <c r="G374" s="5">
        <v>16745</v>
      </c>
      <c r="H374" t="s">
        <v>842</v>
      </c>
      <c r="I374" s="1">
        <v>46276</v>
      </c>
      <c r="J374" s="9">
        <v>101127339909</v>
      </c>
      <c r="K374" t="s">
        <v>1562</v>
      </c>
      <c r="L374" t="s">
        <v>848</v>
      </c>
      <c r="M374" t="s">
        <v>1563</v>
      </c>
      <c r="N374" s="1">
        <v>45602</v>
      </c>
      <c r="O374">
        <v>3</v>
      </c>
      <c r="P374" s="11">
        <v>46192</v>
      </c>
      <c r="Q374" s="17">
        <f t="shared" si="5"/>
        <v>0</v>
      </c>
      <c r="R374" s="3">
        <v>17</v>
      </c>
      <c r="S374" s="3">
        <v>6885</v>
      </c>
      <c r="T374" s="2">
        <v>46282</v>
      </c>
      <c r="U374" s="3">
        <v>4555</v>
      </c>
      <c r="X374" s="17">
        <v>0</v>
      </c>
      <c r="Y374" s="23">
        <v>0</v>
      </c>
      <c r="Z374" s="24"/>
    </row>
    <row r="375" spans="1:26">
      <c r="A375" s="6" t="s">
        <v>14</v>
      </c>
      <c r="B375" t="s">
        <v>100</v>
      </c>
      <c r="C375" t="s">
        <v>846</v>
      </c>
      <c r="D375" s="4">
        <v>46185</v>
      </c>
      <c r="E375">
        <v>92555</v>
      </c>
      <c r="F375" s="5">
        <v>37112.67</v>
      </c>
      <c r="G375" s="5">
        <v>55442.33</v>
      </c>
      <c r="H375" t="s">
        <v>842</v>
      </c>
      <c r="I375" s="1">
        <v>46732</v>
      </c>
      <c r="J375" s="9">
        <v>101129399496</v>
      </c>
      <c r="K375" t="s">
        <v>1564</v>
      </c>
      <c r="L375" t="s">
        <v>848</v>
      </c>
      <c r="M375" t="s">
        <v>1565</v>
      </c>
      <c r="N375" s="1">
        <v>45733</v>
      </c>
      <c r="O375">
        <v>5</v>
      </c>
      <c r="P375" s="11">
        <v>46192</v>
      </c>
      <c r="Q375" s="17">
        <f t="shared" si="5"/>
        <v>3116</v>
      </c>
      <c r="R375" s="3">
        <v>24</v>
      </c>
      <c r="S375" s="3">
        <v>3116</v>
      </c>
      <c r="T375" s="2">
        <v>46745</v>
      </c>
      <c r="U375" s="3">
        <v>2470.33</v>
      </c>
      <c r="X375" s="17">
        <v>3116</v>
      </c>
      <c r="Y375" s="23">
        <v>0</v>
      </c>
      <c r="Z375" s="24"/>
    </row>
    <row r="376" spans="1:26">
      <c r="A376" s="6" t="s">
        <v>14</v>
      </c>
      <c r="B376" t="s">
        <v>246</v>
      </c>
      <c r="C376" t="s">
        <v>850</v>
      </c>
      <c r="D376" s="4">
        <v>46185</v>
      </c>
      <c r="E376">
        <v>83985</v>
      </c>
      <c r="F376" s="5">
        <v>26710.67</v>
      </c>
      <c r="G376" s="5">
        <v>57274.33</v>
      </c>
      <c r="H376" t="s">
        <v>842</v>
      </c>
      <c r="I376" s="1">
        <v>46794</v>
      </c>
      <c r="J376" s="9">
        <v>101130532169</v>
      </c>
      <c r="K376" t="s">
        <v>1566</v>
      </c>
      <c r="L376" t="s">
        <v>848</v>
      </c>
      <c r="M376" t="s">
        <v>1567</v>
      </c>
      <c r="N376" s="1">
        <v>45786</v>
      </c>
      <c r="O376">
        <v>5</v>
      </c>
      <c r="P376" s="11">
        <v>46192</v>
      </c>
      <c r="Q376" s="17">
        <f t="shared" si="5"/>
        <v>0</v>
      </c>
      <c r="R376" s="3">
        <v>3</v>
      </c>
      <c r="S376" s="3">
        <v>2756</v>
      </c>
      <c r="T376" s="2">
        <v>46815</v>
      </c>
      <c r="U376" s="3">
        <v>2154.33</v>
      </c>
      <c r="X376" s="17">
        <v>0</v>
      </c>
      <c r="Y376" s="23">
        <v>0</v>
      </c>
      <c r="Z376" s="24"/>
    </row>
    <row r="377" spans="1:26">
      <c r="A377" s="6" t="s">
        <v>14</v>
      </c>
      <c r="B377" t="s">
        <v>316</v>
      </c>
      <c r="C377" t="s">
        <v>887</v>
      </c>
      <c r="D377" s="4">
        <v>46185</v>
      </c>
      <c r="E377">
        <v>77507.5</v>
      </c>
      <c r="F377" s="5">
        <v>29812.5</v>
      </c>
      <c r="G377" s="5">
        <v>47695</v>
      </c>
      <c r="H377" t="s">
        <v>842</v>
      </c>
      <c r="I377" s="1">
        <v>46671</v>
      </c>
      <c r="J377" s="9">
        <v>107111539618</v>
      </c>
      <c r="K377" t="s">
        <v>1568</v>
      </c>
      <c r="L377" t="s">
        <v>844</v>
      </c>
      <c r="M377" t="s">
        <v>1569</v>
      </c>
      <c r="N377" s="1">
        <v>45638</v>
      </c>
      <c r="O377">
        <v>5</v>
      </c>
      <c r="P377" s="11">
        <v>46192</v>
      </c>
      <c r="Q377" s="17">
        <f t="shared" si="5"/>
        <v>0</v>
      </c>
      <c r="R377" s="3">
        <v>10</v>
      </c>
      <c r="S377" s="3">
        <v>2790</v>
      </c>
      <c r="T377" s="2">
        <v>46701</v>
      </c>
      <c r="U377" s="3">
        <v>2177.5</v>
      </c>
      <c r="X377" s="17">
        <v>0</v>
      </c>
      <c r="Y377" s="23">
        <v>0</v>
      </c>
      <c r="Z377" s="24"/>
    </row>
    <row r="378" spans="1:26">
      <c r="A378" s="6" t="s">
        <v>14</v>
      </c>
      <c r="B378" t="s">
        <v>364</v>
      </c>
      <c r="C378" t="s">
        <v>887</v>
      </c>
      <c r="D378" s="4">
        <v>46185</v>
      </c>
      <c r="E378">
        <v>83042</v>
      </c>
      <c r="F378" s="5">
        <v>27950</v>
      </c>
      <c r="G378" s="5">
        <v>55092</v>
      </c>
      <c r="H378" t="s">
        <v>842</v>
      </c>
      <c r="I378" s="1">
        <v>46732</v>
      </c>
      <c r="J378" s="9">
        <v>107112191225</v>
      </c>
      <c r="K378" t="s">
        <v>968</v>
      </c>
      <c r="L378" t="s">
        <v>844</v>
      </c>
      <c r="M378" t="s">
        <v>1570</v>
      </c>
      <c r="N378" s="1">
        <v>45724</v>
      </c>
      <c r="O378">
        <v>5</v>
      </c>
      <c r="P378" s="11">
        <v>46192</v>
      </c>
      <c r="Q378" s="17">
        <f t="shared" si="5"/>
        <v>0</v>
      </c>
      <c r="R378" s="3">
        <v>10</v>
      </c>
      <c r="S378" s="3">
        <v>2795</v>
      </c>
      <c r="T378" s="2">
        <v>46762</v>
      </c>
      <c r="U378" s="3">
        <v>1987</v>
      </c>
      <c r="X378" s="17">
        <v>0</v>
      </c>
      <c r="Y378" s="23">
        <v>0</v>
      </c>
      <c r="Z378" s="24"/>
    </row>
    <row r="379" spans="1:26">
      <c r="A379" s="6" t="s">
        <v>14</v>
      </c>
      <c r="B379" t="s">
        <v>806</v>
      </c>
      <c r="C379" t="s">
        <v>841</v>
      </c>
      <c r="D379" s="4">
        <v>46185</v>
      </c>
      <c r="E379">
        <v>70000</v>
      </c>
      <c r="F379" s="5">
        <v>20375</v>
      </c>
      <c r="G379" s="5">
        <v>49625</v>
      </c>
      <c r="H379" t="s">
        <v>842</v>
      </c>
      <c r="I379" s="1">
        <v>46823</v>
      </c>
      <c r="J379" s="9">
        <v>107113057210</v>
      </c>
      <c r="K379" t="s">
        <v>1571</v>
      </c>
      <c r="L379" t="s">
        <v>844</v>
      </c>
      <c r="M379" t="s">
        <v>1572</v>
      </c>
      <c r="N379" s="1">
        <v>45810</v>
      </c>
      <c r="O379">
        <v>5</v>
      </c>
      <c r="P379" s="11">
        <v>46192</v>
      </c>
      <c r="Q379" s="17">
        <f t="shared" si="5"/>
        <v>2025</v>
      </c>
      <c r="R379" s="3">
        <v>24</v>
      </c>
      <c r="S379" s="3">
        <v>2250</v>
      </c>
      <c r="T379" s="2">
        <v>46867</v>
      </c>
      <c r="U379" s="3">
        <v>500</v>
      </c>
      <c r="X379" s="17">
        <v>2025</v>
      </c>
      <c r="Y379" s="23">
        <v>0</v>
      </c>
      <c r="Z379" s="24"/>
    </row>
    <row r="380" spans="1:26">
      <c r="A380" s="6" t="s">
        <v>14</v>
      </c>
      <c r="B380" t="s">
        <v>519</v>
      </c>
      <c r="C380" t="s">
        <v>853</v>
      </c>
      <c r="D380" s="4">
        <v>46185</v>
      </c>
      <c r="E380">
        <v>110000</v>
      </c>
      <c r="F380" s="5">
        <v>37490</v>
      </c>
      <c r="G380" s="5">
        <v>72510</v>
      </c>
      <c r="H380" t="s">
        <v>842</v>
      </c>
      <c r="I380" s="1">
        <v>46763</v>
      </c>
      <c r="J380" s="9">
        <v>107112571761</v>
      </c>
      <c r="K380" t="s">
        <v>1573</v>
      </c>
      <c r="L380" t="s">
        <v>844</v>
      </c>
      <c r="M380" t="s">
        <v>1574</v>
      </c>
      <c r="N380" s="1">
        <v>45760</v>
      </c>
      <c r="O380">
        <v>5</v>
      </c>
      <c r="P380" s="11">
        <v>46192</v>
      </c>
      <c r="Q380" s="17">
        <f t="shared" si="5"/>
        <v>0</v>
      </c>
      <c r="R380" s="3">
        <v>17</v>
      </c>
      <c r="S380" s="3">
        <v>3696</v>
      </c>
      <c r="T380" s="2">
        <v>46800</v>
      </c>
      <c r="U380" s="3">
        <v>526</v>
      </c>
      <c r="X380" s="17">
        <v>0</v>
      </c>
      <c r="Y380" s="23">
        <v>0</v>
      </c>
      <c r="Z380" s="24"/>
    </row>
    <row r="381" spans="1:26">
      <c r="A381" s="6" t="s">
        <v>14</v>
      </c>
      <c r="B381" t="s">
        <v>802</v>
      </c>
      <c r="C381" t="s">
        <v>1179</v>
      </c>
      <c r="D381" s="4">
        <v>46185</v>
      </c>
      <c r="E381">
        <v>100146</v>
      </c>
      <c r="F381" s="5">
        <v>33188</v>
      </c>
      <c r="G381" s="5">
        <v>66958</v>
      </c>
      <c r="H381" t="s">
        <v>842</v>
      </c>
      <c r="I381" s="1">
        <v>46794</v>
      </c>
      <c r="J381" s="9">
        <v>107113051629</v>
      </c>
      <c r="K381" t="s">
        <v>1575</v>
      </c>
      <c r="L381" t="s">
        <v>844</v>
      </c>
      <c r="M381" t="s">
        <v>1576</v>
      </c>
      <c r="N381" s="1">
        <v>45808</v>
      </c>
      <c r="O381">
        <v>5</v>
      </c>
      <c r="P381" s="11">
        <v>46192</v>
      </c>
      <c r="Q381" s="17">
        <f t="shared" si="5"/>
        <v>0</v>
      </c>
      <c r="R381" s="3">
        <v>24</v>
      </c>
      <c r="S381" s="3">
        <v>3402</v>
      </c>
      <c r="T381" s="2">
        <v>46807</v>
      </c>
      <c r="U381" s="3">
        <v>2320</v>
      </c>
      <c r="X381" s="17">
        <v>0</v>
      </c>
      <c r="Y381" s="23">
        <v>0</v>
      </c>
      <c r="Z381" s="24"/>
    </row>
    <row r="382" spans="1:26">
      <c r="A382" s="6" t="s">
        <v>14</v>
      </c>
      <c r="B382" t="s">
        <v>57</v>
      </c>
      <c r="C382" t="s">
        <v>861</v>
      </c>
      <c r="D382" s="4">
        <v>46185</v>
      </c>
      <c r="E382">
        <v>160000</v>
      </c>
      <c r="F382" s="5">
        <v>58000</v>
      </c>
      <c r="G382" s="5">
        <v>102000</v>
      </c>
      <c r="H382" t="s">
        <v>842</v>
      </c>
      <c r="I382" s="1">
        <v>46732</v>
      </c>
      <c r="J382" s="9">
        <v>101128689163</v>
      </c>
      <c r="K382" t="s">
        <v>1577</v>
      </c>
      <c r="L382" t="s">
        <v>848</v>
      </c>
      <c r="M382" t="s">
        <v>1578</v>
      </c>
      <c r="N382" s="1">
        <v>45716</v>
      </c>
      <c r="O382">
        <v>5</v>
      </c>
      <c r="P382" s="11">
        <v>46192</v>
      </c>
      <c r="Q382" s="17">
        <f t="shared" si="5"/>
        <v>0</v>
      </c>
      <c r="R382" s="3">
        <v>31</v>
      </c>
      <c r="S382" s="3">
        <v>5400</v>
      </c>
      <c r="T382" s="2">
        <v>46752</v>
      </c>
      <c r="U382" s="3">
        <v>3400</v>
      </c>
      <c r="X382" s="17">
        <v>0</v>
      </c>
      <c r="Y382" s="23">
        <v>0</v>
      </c>
      <c r="Z382" s="24"/>
    </row>
    <row r="383" spans="1:26">
      <c r="A383" s="6" t="s">
        <v>14</v>
      </c>
      <c r="B383" t="s">
        <v>690</v>
      </c>
      <c r="C383" t="s">
        <v>990</v>
      </c>
      <c r="D383" s="4">
        <v>46185</v>
      </c>
      <c r="E383">
        <v>92468</v>
      </c>
      <c r="F383" s="5">
        <v>29370</v>
      </c>
      <c r="G383" s="5">
        <v>63098</v>
      </c>
      <c r="H383" t="s">
        <v>842</v>
      </c>
      <c r="I383" s="1">
        <v>46854</v>
      </c>
      <c r="J383" s="9">
        <v>107112808068</v>
      </c>
      <c r="K383" t="s">
        <v>1579</v>
      </c>
      <c r="L383" t="s">
        <v>844</v>
      </c>
      <c r="M383" t="s">
        <v>1580</v>
      </c>
      <c r="N383" s="1">
        <v>45784</v>
      </c>
      <c r="O383">
        <v>5</v>
      </c>
      <c r="P383" s="11">
        <v>46192</v>
      </c>
      <c r="Q383" s="17">
        <f t="shared" si="5"/>
        <v>0</v>
      </c>
      <c r="R383" s="3">
        <v>31</v>
      </c>
      <c r="S383" s="3">
        <v>2970</v>
      </c>
      <c r="T383" s="2">
        <v>46873</v>
      </c>
      <c r="U383" s="3">
        <v>728</v>
      </c>
      <c r="X383" s="17">
        <v>0</v>
      </c>
      <c r="Y383" s="23">
        <v>0</v>
      </c>
      <c r="Z383" s="24"/>
    </row>
    <row r="384" spans="1:26">
      <c r="A384" s="6" t="s">
        <v>14</v>
      </c>
      <c r="B384" t="s">
        <v>139</v>
      </c>
      <c r="C384" t="s">
        <v>910</v>
      </c>
      <c r="D384" s="4">
        <v>46185</v>
      </c>
      <c r="E384">
        <v>98888</v>
      </c>
      <c r="F384" s="5">
        <v>56680</v>
      </c>
      <c r="G384" s="5">
        <v>42208</v>
      </c>
      <c r="H384" t="s">
        <v>842</v>
      </c>
      <c r="I384" s="1">
        <v>46398</v>
      </c>
      <c r="J384" s="9">
        <v>101129684632</v>
      </c>
      <c r="K384" t="s">
        <v>1395</v>
      </c>
      <c r="L384" t="s">
        <v>848</v>
      </c>
      <c r="M384" t="s">
        <v>1581</v>
      </c>
      <c r="N384" s="1">
        <v>45742</v>
      </c>
      <c r="O384">
        <v>3</v>
      </c>
      <c r="P384" s="11">
        <v>46192</v>
      </c>
      <c r="Q384" s="17">
        <f t="shared" si="5"/>
        <v>0</v>
      </c>
      <c r="R384" s="3">
        <v>3</v>
      </c>
      <c r="S384" s="3">
        <v>5382</v>
      </c>
      <c r="T384" s="2">
        <v>46421</v>
      </c>
      <c r="U384" s="3">
        <v>4534</v>
      </c>
      <c r="X384" s="17">
        <v>0</v>
      </c>
      <c r="Y384" s="23">
        <v>0</v>
      </c>
      <c r="Z384" s="24"/>
    </row>
    <row r="385" spans="1:26">
      <c r="A385" s="6" t="s">
        <v>14</v>
      </c>
      <c r="B385" t="s">
        <v>96</v>
      </c>
      <c r="C385" t="s">
        <v>1135</v>
      </c>
      <c r="D385" s="4">
        <v>46185</v>
      </c>
      <c r="E385">
        <v>105000</v>
      </c>
      <c r="F385" s="5">
        <v>68740</v>
      </c>
      <c r="G385" s="5">
        <v>36260</v>
      </c>
      <c r="H385" t="s">
        <v>842</v>
      </c>
      <c r="I385" s="1">
        <v>46367</v>
      </c>
      <c r="J385" s="9">
        <v>101129354717</v>
      </c>
      <c r="K385" t="s">
        <v>1582</v>
      </c>
      <c r="L385" t="s">
        <v>848</v>
      </c>
      <c r="M385" t="s">
        <v>1583</v>
      </c>
      <c r="N385" s="1">
        <v>45725</v>
      </c>
      <c r="O385">
        <v>3</v>
      </c>
      <c r="P385" s="11">
        <v>46192</v>
      </c>
      <c r="Q385" s="17">
        <f t="shared" si="5"/>
        <v>5740</v>
      </c>
      <c r="R385" s="3">
        <v>17</v>
      </c>
      <c r="S385" s="3">
        <v>5740</v>
      </c>
      <c r="T385" s="2">
        <v>46373</v>
      </c>
      <c r="U385" s="3">
        <v>4620</v>
      </c>
      <c r="X385" s="17">
        <v>5740</v>
      </c>
      <c r="Y385" s="23">
        <v>0</v>
      </c>
      <c r="Z385" s="24"/>
    </row>
    <row r="386" spans="1:26">
      <c r="A386" s="6" t="s">
        <v>14</v>
      </c>
      <c r="B386" t="s">
        <v>284</v>
      </c>
      <c r="C386" t="s">
        <v>846</v>
      </c>
      <c r="D386" s="4">
        <v>46185</v>
      </c>
      <c r="E386">
        <v>111290</v>
      </c>
      <c r="F386" s="5">
        <v>59546.67</v>
      </c>
      <c r="G386" s="5">
        <v>51743.33</v>
      </c>
      <c r="H386" t="s">
        <v>842</v>
      </c>
      <c r="I386" s="1">
        <v>46457</v>
      </c>
      <c r="J386" s="9">
        <v>101130908844</v>
      </c>
      <c r="K386" t="s">
        <v>1584</v>
      </c>
      <c r="L386" t="s">
        <v>848</v>
      </c>
      <c r="M386" t="s">
        <v>1585</v>
      </c>
      <c r="N386" s="1">
        <v>45804</v>
      </c>
      <c r="O386">
        <v>3</v>
      </c>
      <c r="P386" s="11">
        <v>46192</v>
      </c>
      <c r="Q386" s="17">
        <f t="shared" si="5"/>
        <v>6020</v>
      </c>
      <c r="R386" s="3">
        <v>17</v>
      </c>
      <c r="S386" s="3">
        <v>6020</v>
      </c>
      <c r="T386" s="2">
        <v>46463</v>
      </c>
      <c r="U386" s="3">
        <v>3583.33</v>
      </c>
      <c r="X386" s="17">
        <v>6020</v>
      </c>
      <c r="Y386" s="23">
        <v>0</v>
      </c>
      <c r="Z386" s="24"/>
    </row>
    <row r="387" spans="1:26">
      <c r="A387" s="6" t="s">
        <v>14</v>
      </c>
      <c r="B387" t="s">
        <v>634</v>
      </c>
      <c r="C387" t="s">
        <v>880</v>
      </c>
      <c r="D387" s="4">
        <v>46185</v>
      </c>
      <c r="E387">
        <v>24606</v>
      </c>
      <c r="F387" s="5">
        <v>16799.04</v>
      </c>
      <c r="G387" s="5">
        <v>7806.9599999999991</v>
      </c>
      <c r="H387" t="s">
        <v>842</v>
      </c>
      <c r="I387" s="1">
        <v>46367</v>
      </c>
      <c r="J387" s="9">
        <v>107112705537</v>
      </c>
      <c r="K387" t="s">
        <v>1013</v>
      </c>
      <c r="L387" t="s">
        <v>844</v>
      </c>
      <c r="M387" t="s">
        <v>1586</v>
      </c>
      <c r="N387" s="1">
        <v>45774</v>
      </c>
      <c r="O387">
        <v>3</v>
      </c>
      <c r="P387" s="11">
        <v>46192</v>
      </c>
      <c r="Q387" s="17">
        <f t="shared" ref="Q387:Q413" si="6">SUM(X387:Y387)</f>
        <v>0</v>
      </c>
      <c r="R387" s="3">
        <v>10</v>
      </c>
      <c r="S387" s="3">
        <v>1399.92</v>
      </c>
      <c r="T387" s="2">
        <v>46366</v>
      </c>
      <c r="U387" s="3">
        <v>807.36000000000104</v>
      </c>
      <c r="X387" s="17">
        <v>0</v>
      </c>
      <c r="Y387" s="23">
        <v>0</v>
      </c>
      <c r="Z387" s="24"/>
    </row>
    <row r="388" spans="1:26">
      <c r="A388" s="6" t="s">
        <v>14</v>
      </c>
      <c r="B388" t="s">
        <v>44</v>
      </c>
      <c r="C388" t="s">
        <v>901</v>
      </c>
      <c r="D388" s="4">
        <v>46185</v>
      </c>
      <c r="E388">
        <v>43600</v>
      </c>
      <c r="F388" s="5">
        <v>16016</v>
      </c>
      <c r="G388" s="5">
        <v>27584</v>
      </c>
      <c r="H388" t="s">
        <v>842</v>
      </c>
      <c r="I388" s="1">
        <v>46732</v>
      </c>
      <c r="J388" s="9">
        <v>101128209044</v>
      </c>
      <c r="K388" t="s">
        <v>1043</v>
      </c>
      <c r="L388" t="s">
        <v>848</v>
      </c>
      <c r="M388" t="s">
        <v>1587</v>
      </c>
      <c r="N388" s="1">
        <v>45651</v>
      </c>
      <c r="O388">
        <v>5</v>
      </c>
      <c r="P388" s="11">
        <v>46192</v>
      </c>
      <c r="Q388" s="17">
        <f t="shared" si="6"/>
        <v>0</v>
      </c>
      <c r="R388" s="3">
        <v>3</v>
      </c>
      <c r="S388" s="3">
        <v>1456</v>
      </c>
      <c r="T388" s="2">
        <v>46755</v>
      </c>
      <c r="U388" s="3">
        <v>1376</v>
      </c>
      <c r="X388" s="17">
        <v>0</v>
      </c>
      <c r="Y388" s="23">
        <v>0</v>
      </c>
      <c r="Z388" s="24"/>
    </row>
    <row r="389" spans="1:26">
      <c r="A389" s="6" t="s">
        <v>14</v>
      </c>
      <c r="B389" t="s">
        <v>511</v>
      </c>
      <c r="C389" t="s">
        <v>864</v>
      </c>
      <c r="D389" s="4">
        <v>46185</v>
      </c>
      <c r="E389">
        <v>90192</v>
      </c>
      <c r="F389" s="5">
        <v>31390</v>
      </c>
      <c r="G389" s="5">
        <v>58802</v>
      </c>
      <c r="H389" t="s">
        <v>842</v>
      </c>
      <c r="I389" s="1">
        <v>46763</v>
      </c>
      <c r="J389" s="9">
        <v>107112557175</v>
      </c>
      <c r="K389" t="s">
        <v>1588</v>
      </c>
      <c r="L389" t="s">
        <v>844</v>
      </c>
      <c r="M389" t="s">
        <v>1589</v>
      </c>
      <c r="N389" s="1">
        <v>45757</v>
      </c>
      <c r="O389">
        <v>5</v>
      </c>
      <c r="P389" s="11">
        <v>46192</v>
      </c>
      <c r="Q389" s="17">
        <f t="shared" si="6"/>
        <v>0</v>
      </c>
      <c r="R389" s="3">
        <v>3</v>
      </c>
      <c r="S389" s="3">
        <v>2967</v>
      </c>
      <c r="T389" s="2">
        <v>46786</v>
      </c>
      <c r="U389" s="3">
        <v>2429</v>
      </c>
      <c r="X389" s="17">
        <v>0</v>
      </c>
      <c r="Y389" s="23">
        <v>0</v>
      </c>
      <c r="Z389" s="24"/>
    </row>
    <row r="390" spans="1:26">
      <c r="A390" s="6" t="s">
        <v>14</v>
      </c>
      <c r="B390" t="s">
        <v>177</v>
      </c>
      <c r="C390" t="s">
        <v>846</v>
      </c>
      <c r="D390" s="4">
        <v>46185</v>
      </c>
      <c r="E390">
        <v>73660</v>
      </c>
      <c r="F390" s="5">
        <v>36310</v>
      </c>
      <c r="G390" s="5">
        <v>37350</v>
      </c>
      <c r="H390" t="s">
        <v>842</v>
      </c>
      <c r="I390" s="1">
        <v>46579</v>
      </c>
      <c r="J390" s="9">
        <v>101129984712</v>
      </c>
      <c r="K390" t="s">
        <v>1003</v>
      </c>
      <c r="L390" t="s">
        <v>848</v>
      </c>
      <c r="M390" t="s">
        <v>1590</v>
      </c>
      <c r="N390" s="1">
        <v>45757</v>
      </c>
      <c r="O390">
        <v>4</v>
      </c>
      <c r="P390" s="11">
        <v>46192</v>
      </c>
      <c r="Q390" s="17">
        <f t="shared" si="6"/>
        <v>0</v>
      </c>
      <c r="R390" s="3">
        <v>17</v>
      </c>
      <c r="S390" s="3">
        <v>3055</v>
      </c>
      <c r="T390" s="2">
        <v>46585</v>
      </c>
      <c r="U390" s="3">
        <v>795</v>
      </c>
      <c r="X390" s="17">
        <v>0</v>
      </c>
      <c r="Y390" s="23">
        <v>0</v>
      </c>
      <c r="Z390" s="24"/>
    </row>
    <row r="391" spans="1:26">
      <c r="A391" s="6" t="s">
        <v>14</v>
      </c>
      <c r="B391" t="s">
        <v>274</v>
      </c>
      <c r="C391" t="s">
        <v>846</v>
      </c>
      <c r="D391" s="4">
        <v>46185</v>
      </c>
      <c r="E391">
        <v>73000</v>
      </c>
      <c r="F391" s="5">
        <v>73000</v>
      </c>
      <c r="G391" s="5">
        <v>0</v>
      </c>
      <c r="H391" s="7" t="s">
        <v>1659</v>
      </c>
      <c r="I391" s="1">
        <v>46823</v>
      </c>
      <c r="J391" s="9">
        <v>101130834372</v>
      </c>
      <c r="K391" t="s">
        <v>1591</v>
      </c>
      <c r="L391" t="s">
        <v>848</v>
      </c>
      <c r="M391" t="s">
        <v>1592</v>
      </c>
      <c r="N391" s="1">
        <v>45801</v>
      </c>
      <c r="O391">
        <v>5</v>
      </c>
      <c r="P391" s="11">
        <v>46192</v>
      </c>
      <c r="Q391" s="17">
        <f t="shared" si="6"/>
        <v>0</v>
      </c>
      <c r="R391" s="3">
        <v>10</v>
      </c>
      <c r="S391" s="3">
        <v>2400</v>
      </c>
      <c r="T391" s="2">
        <v>46822</v>
      </c>
      <c r="U391" s="3">
        <v>1200</v>
      </c>
      <c r="X391" s="17">
        <v>0</v>
      </c>
      <c r="Y391" s="23">
        <v>0</v>
      </c>
      <c r="Z391" s="24"/>
    </row>
    <row r="392" spans="1:26">
      <c r="A392" s="6" t="s">
        <v>14</v>
      </c>
      <c r="B392" t="s">
        <v>696</v>
      </c>
      <c r="C392" t="s">
        <v>864</v>
      </c>
      <c r="D392" s="4">
        <v>46185</v>
      </c>
      <c r="E392">
        <v>94000</v>
      </c>
      <c r="F392" s="5">
        <v>32800</v>
      </c>
      <c r="G392" s="5">
        <v>61200</v>
      </c>
      <c r="H392" t="s">
        <v>842</v>
      </c>
      <c r="I392" s="1">
        <v>46794</v>
      </c>
      <c r="J392" s="9">
        <v>107112824234</v>
      </c>
      <c r="K392" t="s">
        <v>1593</v>
      </c>
      <c r="L392" t="s">
        <v>844</v>
      </c>
      <c r="M392" t="s">
        <v>1594</v>
      </c>
      <c r="N392" s="1">
        <v>45785</v>
      </c>
      <c r="O392">
        <v>5</v>
      </c>
      <c r="P392" s="11">
        <v>46192</v>
      </c>
      <c r="Q392" s="17">
        <f t="shared" si="6"/>
        <v>0</v>
      </c>
      <c r="R392" s="3">
        <v>3</v>
      </c>
      <c r="S392" s="3">
        <v>3116</v>
      </c>
      <c r="T392" s="2">
        <v>46815</v>
      </c>
      <c r="U392" s="3">
        <v>1996</v>
      </c>
      <c r="X392" s="17">
        <v>0</v>
      </c>
      <c r="Y392" s="23">
        <v>0</v>
      </c>
      <c r="Z392" s="24"/>
    </row>
    <row r="393" spans="1:26">
      <c r="A393" s="6" t="s">
        <v>14</v>
      </c>
      <c r="B393" t="s">
        <v>792</v>
      </c>
      <c r="C393" t="s">
        <v>864</v>
      </c>
      <c r="D393" s="4">
        <v>46185</v>
      </c>
      <c r="E393">
        <v>137000</v>
      </c>
      <c r="F393" s="5">
        <v>39760</v>
      </c>
      <c r="G393" s="5">
        <v>97240</v>
      </c>
      <c r="H393" t="s">
        <v>842</v>
      </c>
      <c r="I393" s="1">
        <v>46794</v>
      </c>
      <c r="J393" s="9">
        <v>107113022670</v>
      </c>
      <c r="K393" t="s">
        <v>1595</v>
      </c>
      <c r="L393" t="s">
        <v>844</v>
      </c>
      <c r="M393" t="s">
        <v>1596</v>
      </c>
      <c r="N393" s="1">
        <v>45810</v>
      </c>
      <c r="O393">
        <v>5</v>
      </c>
      <c r="P393" s="11">
        <v>46192</v>
      </c>
      <c r="Q393" s="17">
        <f t="shared" si="6"/>
        <v>0</v>
      </c>
      <c r="R393" s="3">
        <v>24</v>
      </c>
      <c r="S393" s="3">
        <v>4620</v>
      </c>
      <c r="T393" s="2">
        <v>46867</v>
      </c>
      <c r="U393" s="3">
        <v>220</v>
      </c>
      <c r="X393" s="17">
        <v>0</v>
      </c>
      <c r="Y393" s="23">
        <v>0</v>
      </c>
      <c r="Z393" s="24"/>
    </row>
    <row r="394" spans="1:26">
      <c r="A394" s="6" t="s">
        <v>14</v>
      </c>
      <c r="B394" t="s">
        <v>211</v>
      </c>
      <c r="C394" t="s">
        <v>901</v>
      </c>
      <c r="D394" s="4">
        <v>46185</v>
      </c>
      <c r="E394">
        <v>55200</v>
      </c>
      <c r="F394" s="5">
        <v>20590</v>
      </c>
      <c r="G394" s="5">
        <v>34610</v>
      </c>
      <c r="H394" t="s">
        <v>842</v>
      </c>
      <c r="I394" s="1">
        <v>46671</v>
      </c>
      <c r="J394" s="9">
        <v>101130206941</v>
      </c>
      <c r="K394" t="s">
        <v>1597</v>
      </c>
      <c r="L394" t="s">
        <v>848</v>
      </c>
      <c r="M394" t="s">
        <v>1598</v>
      </c>
      <c r="N394" s="1">
        <v>45768</v>
      </c>
      <c r="O394">
        <v>3</v>
      </c>
      <c r="P394" s="11">
        <v>46192</v>
      </c>
      <c r="Q394" s="17">
        <f t="shared" si="6"/>
        <v>0</v>
      </c>
      <c r="R394" s="3">
        <v>24</v>
      </c>
      <c r="S394" s="3">
        <v>2000</v>
      </c>
      <c r="T394" s="2">
        <v>46684</v>
      </c>
      <c r="U394" s="3">
        <v>1666.67</v>
      </c>
      <c r="X394" s="17">
        <v>0</v>
      </c>
      <c r="Y394" s="23">
        <v>0</v>
      </c>
      <c r="Z394" s="24"/>
    </row>
    <row r="395" spans="1:26">
      <c r="A395" s="6" t="s">
        <v>14</v>
      </c>
      <c r="B395" t="s">
        <v>67</v>
      </c>
      <c r="C395" t="s">
        <v>846</v>
      </c>
      <c r="D395" s="4">
        <v>46185</v>
      </c>
      <c r="E395">
        <v>120631</v>
      </c>
      <c r="F395" s="5">
        <v>44979</v>
      </c>
      <c r="G395" s="5">
        <v>75652</v>
      </c>
      <c r="H395" t="s">
        <v>842</v>
      </c>
      <c r="I395" s="1">
        <v>46763</v>
      </c>
      <c r="J395" s="9">
        <v>101129170432</v>
      </c>
      <c r="K395" t="s">
        <v>1599</v>
      </c>
      <c r="L395" t="s">
        <v>848</v>
      </c>
      <c r="M395" t="s">
        <v>1600</v>
      </c>
      <c r="N395" s="1">
        <v>45722</v>
      </c>
      <c r="O395">
        <v>5</v>
      </c>
      <c r="P395" s="11">
        <v>46192</v>
      </c>
      <c r="Q395" s="17">
        <f t="shared" si="6"/>
        <v>4089</v>
      </c>
      <c r="R395" s="3">
        <v>24</v>
      </c>
      <c r="S395" s="3">
        <v>4089</v>
      </c>
      <c r="T395" s="2">
        <v>46776</v>
      </c>
      <c r="U395" s="3">
        <v>2050</v>
      </c>
      <c r="X395" s="17">
        <v>4089</v>
      </c>
      <c r="Y395" s="23">
        <v>0</v>
      </c>
      <c r="Z395" s="24"/>
    </row>
    <row r="396" spans="1:26">
      <c r="A396" s="6" t="s">
        <v>14</v>
      </c>
      <c r="B396" t="s">
        <v>562</v>
      </c>
      <c r="C396" t="s">
        <v>864</v>
      </c>
      <c r="D396" s="4">
        <v>46185</v>
      </c>
      <c r="E396">
        <v>119770</v>
      </c>
      <c r="F396" s="5">
        <v>35955</v>
      </c>
      <c r="G396" s="5">
        <v>83815</v>
      </c>
      <c r="H396" t="s">
        <v>842</v>
      </c>
      <c r="I396" s="1">
        <v>46763</v>
      </c>
      <c r="J396" s="9">
        <v>107112621527</v>
      </c>
      <c r="K396" t="s">
        <v>1601</v>
      </c>
      <c r="L396" t="s">
        <v>844</v>
      </c>
      <c r="M396" t="s">
        <v>1602</v>
      </c>
      <c r="N396" s="1">
        <v>45764</v>
      </c>
      <c r="O396">
        <v>5</v>
      </c>
      <c r="P396" s="11">
        <v>46192</v>
      </c>
      <c r="Q396" s="17">
        <f t="shared" si="6"/>
        <v>3780</v>
      </c>
      <c r="R396" s="3">
        <v>17</v>
      </c>
      <c r="S396" s="3">
        <v>3969</v>
      </c>
      <c r="T396" s="2">
        <v>46800</v>
      </c>
      <c r="U396" s="3">
        <v>2149</v>
      </c>
      <c r="X396" s="17">
        <v>3780</v>
      </c>
      <c r="Y396" s="23">
        <v>0</v>
      </c>
      <c r="Z396" s="24"/>
    </row>
    <row r="397" spans="1:26">
      <c r="A397" s="6" t="s">
        <v>14</v>
      </c>
      <c r="B397" t="s">
        <v>389</v>
      </c>
      <c r="C397" t="s">
        <v>853</v>
      </c>
      <c r="D397" s="4">
        <v>46185</v>
      </c>
      <c r="E397">
        <v>86683</v>
      </c>
      <c r="F397" s="5">
        <v>25991</v>
      </c>
      <c r="G397" s="5">
        <v>60692</v>
      </c>
      <c r="H397" t="s">
        <v>842</v>
      </c>
      <c r="I397" s="1">
        <v>46945</v>
      </c>
      <c r="J397" s="9">
        <v>107112261154</v>
      </c>
      <c r="K397" t="s">
        <v>1603</v>
      </c>
      <c r="L397" t="s">
        <v>844</v>
      </c>
      <c r="M397" t="s">
        <v>1604</v>
      </c>
      <c r="N397" s="1">
        <v>45733</v>
      </c>
      <c r="O397">
        <v>6</v>
      </c>
      <c r="P397" s="11">
        <v>46192</v>
      </c>
      <c r="Q397" s="17">
        <f t="shared" si="6"/>
        <v>2397</v>
      </c>
      <c r="R397" s="3">
        <v>3</v>
      </c>
      <c r="S397" s="3">
        <v>2397</v>
      </c>
      <c r="T397" s="2">
        <v>46968</v>
      </c>
      <c r="U397" s="3">
        <v>767</v>
      </c>
      <c r="X397" s="17">
        <v>2397</v>
      </c>
      <c r="Y397" s="23">
        <v>0</v>
      </c>
      <c r="Z397" s="24"/>
    </row>
    <row r="398" spans="1:26">
      <c r="A398" s="6" t="s">
        <v>14</v>
      </c>
      <c r="B398" t="s">
        <v>531</v>
      </c>
      <c r="C398" t="s">
        <v>841</v>
      </c>
      <c r="D398" s="4">
        <v>46185</v>
      </c>
      <c r="E398">
        <v>114896</v>
      </c>
      <c r="F398" s="5">
        <v>34631</v>
      </c>
      <c r="G398" s="5">
        <v>80265</v>
      </c>
      <c r="H398" t="s">
        <v>842</v>
      </c>
      <c r="I398" s="1">
        <v>46732</v>
      </c>
      <c r="J398" s="9">
        <v>107112590731</v>
      </c>
      <c r="K398" t="s">
        <v>1605</v>
      </c>
      <c r="L398" t="s">
        <v>844</v>
      </c>
      <c r="M398" t="s">
        <v>1606</v>
      </c>
      <c r="N398" s="1">
        <v>45761</v>
      </c>
      <c r="O398">
        <v>5</v>
      </c>
      <c r="P398" s="11">
        <v>46192</v>
      </c>
      <c r="Q398" s="17">
        <f t="shared" si="6"/>
        <v>0</v>
      </c>
      <c r="R398" s="3">
        <v>17</v>
      </c>
      <c r="S398" s="3">
        <v>3912</v>
      </c>
      <c r="T398" s="2">
        <v>46769</v>
      </c>
      <c r="U398" s="3">
        <v>2025</v>
      </c>
      <c r="X398" s="17">
        <v>0</v>
      </c>
      <c r="Y398" s="23">
        <v>0</v>
      </c>
      <c r="Z398" s="24"/>
    </row>
    <row r="399" spans="1:26">
      <c r="A399" s="6" t="s">
        <v>14</v>
      </c>
      <c r="B399" t="s">
        <v>698</v>
      </c>
      <c r="C399" t="s">
        <v>841</v>
      </c>
      <c r="D399" s="4">
        <v>46185</v>
      </c>
      <c r="E399">
        <v>129825</v>
      </c>
      <c r="F399" s="5">
        <v>41820</v>
      </c>
      <c r="G399" s="5">
        <v>88005</v>
      </c>
      <c r="H399" t="s">
        <v>842</v>
      </c>
      <c r="I399" s="1">
        <v>46794</v>
      </c>
      <c r="J399" s="9">
        <v>107112827297</v>
      </c>
      <c r="K399" t="s">
        <v>1607</v>
      </c>
      <c r="L399" t="s">
        <v>844</v>
      </c>
      <c r="M399" t="s">
        <v>1608</v>
      </c>
      <c r="N399" s="1">
        <v>45790</v>
      </c>
      <c r="O399">
        <v>5</v>
      </c>
      <c r="P399" s="11">
        <v>46192</v>
      </c>
      <c r="Q399" s="17">
        <f t="shared" si="6"/>
        <v>0</v>
      </c>
      <c r="R399" s="3">
        <v>17</v>
      </c>
      <c r="S399" s="3">
        <v>4380</v>
      </c>
      <c r="T399" s="2">
        <v>46829</v>
      </c>
      <c r="U399" s="3">
        <v>405</v>
      </c>
      <c r="X399" s="17">
        <v>0</v>
      </c>
      <c r="Y399" s="23">
        <v>0</v>
      </c>
      <c r="Z399" s="24"/>
    </row>
    <row r="400" spans="1:26">
      <c r="A400" s="6" t="s">
        <v>14</v>
      </c>
      <c r="B400" t="s">
        <v>527</v>
      </c>
      <c r="C400" t="s">
        <v>880</v>
      </c>
      <c r="D400" s="4">
        <v>46185</v>
      </c>
      <c r="E400">
        <v>135731</v>
      </c>
      <c r="F400" s="5">
        <v>48800</v>
      </c>
      <c r="G400" s="5">
        <v>86931</v>
      </c>
      <c r="H400" t="s">
        <v>842</v>
      </c>
      <c r="I400" s="1">
        <v>46763</v>
      </c>
      <c r="J400" s="9">
        <v>107112587852</v>
      </c>
      <c r="K400" t="s">
        <v>1609</v>
      </c>
      <c r="L400" t="s">
        <v>844</v>
      </c>
      <c r="M400" t="s">
        <v>1610</v>
      </c>
      <c r="N400" s="1">
        <v>45760</v>
      </c>
      <c r="O400">
        <v>5</v>
      </c>
      <c r="P400" s="11">
        <v>46192</v>
      </c>
      <c r="Q400" s="17">
        <f t="shared" si="6"/>
        <v>0</v>
      </c>
      <c r="R400" s="3">
        <v>17</v>
      </c>
      <c r="S400" s="3">
        <v>4575</v>
      </c>
      <c r="T400" s="2">
        <v>46800</v>
      </c>
      <c r="U400" s="3">
        <v>6</v>
      </c>
      <c r="X400" s="17">
        <v>0</v>
      </c>
      <c r="Y400" s="23">
        <v>0</v>
      </c>
      <c r="Z400" s="24"/>
    </row>
    <row r="401" spans="1:28">
      <c r="A401" s="6" t="s">
        <v>14</v>
      </c>
      <c r="B401" t="s">
        <v>711</v>
      </c>
      <c r="C401" t="s">
        <v>856</v>
      </c>
      <c r="D401" s="4">
        <v>46185</v>
      </c>
      <c r="E401">
        <v>99877</v>
      </c>
      <c r="F401" s="5">
        <v>32748</v>
      </c>
      <c r="G401" s="5">
        <v>67129</v>
      </c>
      <c r="H401" t="s">
        <v>842</v>
      </c>
      <c r="I401" s="1">
        <v>46763</v>
      </c>
      <c r="J401" s="9">
        <v>107112860399</v>
      </c>
      <c r="K401" t="s">
        <v>1611</v>
      </c>
      <c r="L401" t="s">
        <v>844</v>
      </c>
      <c r="M401" t="s">
        <v>1612</v>
      </c>
      <c r="N401" s="1">
        <v>45789</v>
      </c>
      <c r="O401">
        <v>5</v>
      </c>
      <c r="P401" s="11">
        <v>46192</v>
      </c>
      <c r="Q401" s="17">
        <f t="shared" si="6"/>
        <v>0</v>
      </c>
      <c r="R401" s="3">
        <v>3</v>
      </c>
      <c r="S401" s="3">
        <v>3432</v>
      </c>
      <c r="T401" s="2">
        <v>46786</v>
      </c>
      <c r="U401" s="3">
        <v>1921</v>
      </c>
      <c r="X401" s="17">
        <v>0</v>
      </c>
      <c r="Y401" s="23">
        <v>0</v>
      </c>
      <c r="Z401" s="24"/>
    </row>
    <row r="402" spans="1:28">
      <c r="A402" s="6" t="s">
        <v>14</v>
      </c>
      <c r="B402" t="s">
        <v>776</v>
      </c>
      <c r="C402" t="s">
        <v>864</v>
      </c>
      <c r="D402" s="4">
        <v>46185</v>
      </c>
      <c r="E402">
        <v>125989</v>
      </c>
      <c r="F402" s="5">
        <v>34856.199999999997</v>
      </c>
      <c r="G402" s="5">
        <v>91132.800000000003</v>
      </c>
      <c r="H402" t="s">
        <v>842</v>
      </c>
      <c r="I402" s="1">
        <v>46732</v>
      </c>
      <c r="J402" s="9">
        <v>107112992648</v>
      </c>
      <c r="K402" t="s">
        <v>1613</v>
      </c>
      <c r="L402" t="s">
        <v>844</v>
      </c>
      <c r="M402" t="s">
        <v>1614</v>
      </c>
      <c r="N402" s="1">
        <v>45803</v>
      </c>
      <c r="O402">
        <v>5</v>
      </c>
      <c r="P402" s="11">
        <v>46192</v>
      </c>
      <c r="Q402" s="17">
        <f t="shared" si="6"/>
        <v>4374</v>
      </c>
      <c r="R402" s="3">
        <v>17</v>
      </c>
      <c r="S402" s="3">
        <v>4422.6000000000004</v>
      </c>
      <c r="T402" s="2">
        <v>46769</v>
      </c>
      <c r="U402" s="3">
        <v>4264.7999999999902</v>
      </c>
      <c r="X402" s="17">
        <v>4374</v>
      </c>
      <c r="Y402" s="23">
        <v>0</v>
      </c>
      <c r="Z402" s="24"/>
    </row>
    <row r="403" spans="1:28">
      <c r="A403" s="6" t="s">
        <v>14</v>
      </c>
      <c r="B403" t="s">
        <v>735</v>
      </c>
      <c r="C403" t="s">
        <v>853</v>
      </c>
      <c r="D403" s="4">
        <v>46185</v>
      </c>
      <c r="E403">
        <v>100000</v>
      </c>
      <c r="F403" s="5">
        <v>33410</v>
      </c>
      <c r="G403" s="5">
        <v>66590</v>
      </c>
      <c r="H403" t="s">
        <v>842</v>
      </c>
      <c r="I403" s="1">
        <v>46763</v>
      </c>
      <c r="J403" s="9">
        <v>107112893630</v>
      </c>
      <c r="K403" t="s">
        <v>1159</v>
      </c>
      <c r="L403" t="s">
        <v>844</v>
      </c>
      <c r="M403" t="s">
        <v>1615</v>
      </c>
      <c r="N403" s="1">
        <v>45792</v>
      </c>
      <c r="O403">
        <v>5</v>
      </c>
      <c r="P403" s="11">
        <v>46192</v>
      </c>
      <c r="Q403" s="17">
        <f t="shared" si="6"/>
        <v>0</v>
      </c>
      <c r="R403" s="3">
        <v>17</v>
      </c>
      <c r="S403" s="3">
        <v>3465</v>
      </c>
      <c r="T403" s="2">
        <v>46800</v>
      </c>
      <c r="U403" s="3">
        <v>755</v>
      </c>
      <c r="X403" s="17">
        <v>0</v>
      </c>
      <c r="Y403" s="23">
        <v>0</v>
      </c>
      <c r="Z403" s="24"/>
    </row>
    <row r="404" spans="1:28">
      <c r="A404" s="6" t="s">
        <v>14</v>
      </c>
      <c r="B404" t="s">
        <v>700</v>
      </c>
      <c r="C404" t="s">
        <v>1140</v>
      </c>
      <c r="D404" s="4">
        <v>46185</v>
      </c>
      <c r="E404">
        <v>115000</v>
      </c>
      <c r="F404" s="5">
        <v>36630</v>
      </c>
      <c r="G404" s="5">
        <v>78370</v>
      </c>
      <c r="H404" t="s">
        <v>842</v>
      </c>
      <c r="I404" s="1">
        <v>46794</v>
      </c>
      <c r="J404" s="9">
        <v>107112828521</v>
      </c>
      <c r="K404" t="s">
        <v>1616</v>
      </c>
      <c r="L404" t="s">
        <v>844</v>
      </c>
      <c r="M404" t="s">
        <v>1617</v>
      </c>
      <c r="N404" s="1">
        <v>45787</v>
      </c>
      <c r="O404">
        <v>5</v>
      </c>
      <c r="P404" s="11">
        <v>46192</v>
      </c>
      <c r="Q404" s="17">
        <f t="shared" si="6"/>
        <v>0</v>
      </c>
      <c r="R404" s="3">
        <v>24</v>
      </c>
      <c r="S404" s="3">
        <v>3870</v>
      </c>
      <c r="T404" s="2">
        <v>46836</v>
      </c>
      <c r="U404" s="3">
        <v>970</v>
      </c>
      <c r="X404" s="17">
        <v>0</v>
      </c>
      <c r="Y404" s="23">
        <v>0</v>
      </c>
      <c r="Z404" s="24"/>
    </row>
    <row r="405" spans="1:28">
      <c r="A405" s="6" t="s">
        <v>14</v>
      </c>
      <c r="B405" t="s">
        <v>264</v>
      </c>
      <c r="C405" t="s">
        <v>910</v>
      </c>
      <c r="D405" s="4">
        <v>46185</v>
      </c>
      <c r="E405">
        <v>115960</v>
      </c>
      <c r="F405" s="5">
        <v>34650</v>
      </c>
      <c r="G405" s="5">
        <v>81310</v>
      </c>
      <c r="H405" t="s">
        <v>842</v>
      </c>
      <c r="I405" s="1">
        <v>46823</v>
      </c>
      <c r="J405" s="9">
        <v>101130763989</v>
      </c>
      <c r="K405" t="s">
        <v>1618</v>
      </c>
      <c r="L405" t="s">
        <v>848</v>
      </c>
      <c r="M405" t="s">
        <v>1619</v>
      </c>
      <c r="N405" s="1">
        <v>45798</v>
      </c>
      <c r="O405">
        <v>5</v>
      </c>
      <c r="P405" s="11">
        <v>46192</v>
      </c>
      <c r="Q405" s="17">
        <f t="shared" si="6"/>
        <v>0</v>
      </c>
      <c r="R405" s="3">
        <v>31</v>
      </c>
      <c r="S405" s="3">
        <v>3850</v>
      </c>
      <c r="T405" s="2">
        <v>46843</v>
      </c>
      <c r="U405" s="3">
        <v>460</v>
      </c>
      <c r="X405" s="17">
        <v>0</v>
      </c>
      <c r="Y405" s="23">
        <v>0</v>
      </c>
      <c r="Z405" s="24"/>
    </row>
    <row r="406" spans="1:28">
      <c r="A406" s="6" t="s">
        <v>14</v>
      </c>
      <c r="B406" t="s">
        <v>197</v>
      </c>
      <c r="C406" t="s">
        <v>1135</v>
      </c>
      <c r="D406" s="4">
        <v>46185</v>
      </c>
      <c r="E406">
        <v>84220</v>
      </c>
      <c r="F406" s="5">
        <v>29983.33</v>
      </c>
      <c r="G406" s="5">
        <v>54236.67</v>
      </c>
      <c r="H406" t="s">
        <v>842</v>
      </c>
      <c r="I406" s="1">
        <v>46794</v>
      </c>
      <c r="J406" s="9">
        <v>101130133766</v>
      </c>
      <c r="K406" t="s">
        <v>1620</v>
      </c>
      <c r="L406" t="s">
        <v>848</v>
      </c>
      <c r="M406" t="s">
        <v>1621</v>
      </c>
      <c r="N406" s="1">
        <v>45764</v>
      </c>
      <c r="O406">
        <v>5</v>
      </c>
      <c r="P406" s="11">
        <v>46192</v>
      </c>
      <c r="Q406" s="17">
        <f t="shared" si="6"/>
        <v>2730</v>
      </c>
      <c r="R406" s="3">
        <v>17</v>
      </c>
      <c r="S406" s="3">
        <v>2730</v>
      </c>
      <c r="T406" s="2">
        <v>46800</v>
      </c>
      <c r="U406" s="3">
        <v>2366.67</v>
      </c>
      <c r="X406" s="17">
        <v>2730</v>
      </c>
      <c r="Y406" s="23">
        <v>0</v>
      </c>
      <c r="Z406" s="24"/>
    </row>
    <row r="407" spans="1:28">
      <c r="A407" s="6" t="s">
        <v>14</v>
      </c>
      <c r="B407" t="s">
        <v>223</v>
      </c>
      <c r="C407" t="s">
        <v>890</v>
      </c>
      <c r="D407" s="4">
        <v>46185</v>
      </c>
      <c r="E407">
        <v>83560</v>
      </c>
      <c r="F407" s="5">
        <v>25200</v>
      </c>
      <c r="G407" s="5">
        <v>58360</v>
      </c>
      <c r="H407" t="s">
        <v>842</v>
      </c>
      <c r="I407" s="1">
        <v>46794</v>
      </c>
      <c r="J407" s="9">
        <v>101130375783</v>
      </c>
      <c r="K407" t="s">
        <v>1622</v>
      </c>
      <c r="L407" t="s">
        <v>848</v>
      </c>
      <c r="M407" t="s">
        <v>1623</v>
      </c>
      <c r="N407" s="1">
        <v>45783</v>
      </c>
      <c r="O407">
        <v>5</v>
      </c>
      <c r="P407" s="11">
        <v>46192</v>
      </c>
      <c r="Q407" s="17">
        <f t="shared" si="6"/>
        <v>0</v>
      </c>
      <c r="R407" s="3">
        <v>31</v>
      </c>
      <c r="S407" s="3">
        <v>2800</v>
      </c>
      <c r="T407" s="2">
        <v>46812</v>
      </c>
      <c r="U407" s="3">
        <v>2360</v>
      </c>
      <c r="X407" s="17">
        <v>0</v>
      </c>
      <c r="Y407" s="23">
        <v>0</v>
      </c>
      <c r="Z407" s="24"/>
    </row>
    <row r="408" spans="1:28">
      <c r="A408" s="6" t="s">
        <v>14</v>
      </c>
      <c r="B408" t="s">
        <v>413</v>
      </c>
      <c r="C408" t="s">
        <v>870</v>
      </c>
      <c r="D408" s="4">
        <v>46185</v>
      </c>
      <c r="E408">
        <v>50000</v>
      </c>
      <c r="F408" s="5">
        <v>20808</v>
      </c>
      <c r="G408" s="5">
        <v>29192</v>
      </c>
      <c r="H408" t="s">
        <v>842</v>
      </c>
      <c r="I408" s="1">
        <v>46671</v>
      </c>
      <c r="J408" s="9">
        <v>107112316953</v>
      </c>
      <c r="K408" t="s">
        <v>1624</v>
      </c>
      <c r="L408" t="s">
        <v>844</v>
      </c>
      <c r="M408" t="s">
        <v>1625</v>
      </c>
      <c r="N408" s="1">
        <v>45733</v>
      </c>
      <c r="O408">
        <v>5</v>
      </c>
      <c r="P408" s="11">
        <v>46192</v>
      </c>
      <c r="Q408" s="17">
        <f t="shared" si="6"/>
        <v>0</v>
      </c>
      <c r="R408" s="3">
        <v>17</v>
      </c>
      <c r="S408" s="3">
        <v>1734</v>
      </c>
      <c r="T408" s="2">
        <v>46708</v>
      </c>
      <c r="U408" s="3">
        <v>1448</v>
      </c>
      <c r="X408" s="17">
        <v>0</v>
      </c>
      <c r="Y408" s="23">
        <v>0</v>
      </c>
      <c r="Z408" s="24"/>
    </row>
    <row r="409" spans="1:28">
      <c r="A409" s="6" t="s">
        <v>14</v>
      </c>
      <c r="B409" t="s">
        <v>401</v>
      </c>
      <c r="C409" t="s">
        <v>856</v>
      </c>
      <c r="D409" s="4">
        <v>46185</v>
      </c>
      <c r="E409">
        <v>121325</v>
      </c>
      <c r="F409" s="5">
        <v>37540</v>
      </c>
      <c r="G409" s="5">
        <v>83785</v>
      </c>
      <c r="H409" t="s">
        <v>842</v>
      </c>
      <c r="I409" s="1">
        <v>46884</v>
      </c>
      <c r="J409" s="9">
        <v>107112290433</v>
      </c>
      <c r="K409" t="s">
        <v>1626</v>
      </c>
      <c r="L409" t="s">
        <v>844</v>
      </c>
      <c r="M409" t="s">
        <v>1627</v>
      </c>
      <c r="N409" s="1">
        <v>45730</v>
      </c>
      <c r="O409">
        <v>6</v>
      </c>
      <c r="P409" s="11">
        <v>46192</v>
      </c>
      <c r="Q409" s="17">
        <f t="shared" si="6"/>
        <v>0</v>
      </c>
      <c r="R409" s="3">
        <v>17</v>
      </c>
      <c r="S409" s="3">
        <v>3536</v>
      </c>
      <c r="T409" s="2">
        <v>46921</v>
      </c>
      <c r="U409" s="3">
        <v>1101</v>
      </c>
      <c r="X409" s="17">
        <v>0</v>
      </c>
      <c r="Y409" s="23">
        <v>0</v>
      </c>
      <c r="Z409" s="24"/>
    </row>
    <row r="410" spans="1:28">
      <c r="A410" s="6" t="s">
        <v>14</v>
      </c>
      <c r="B410" t="s">
        <v>93</v>
      </c>
      <c r="C410" t="s">
        <v>890</v>
      </c>
      <c r="D410" s="4">
        <v>46185</v>
      </c>
      <c r="E410">
        <v>80000</v>
      </c>
      <c r="F410" s="5">
        <v>32100</v>
      </c>
      <c r="G410" s="5">
        <v>47900</v>
      </c>
      <c r="H410" t="s">
        <v>842</v>
      </c>
      <c r="I410" s="1">
        <v>46732</v>
      </c>
      <c r="J410" s="9">
        <v>101129349328</v>
      </c>
      <c r="K410" t="s">
        <v>978</v>
      </c>
      <c r="L410" t="s">
        <v>848</v>
      </c>
      <c r="M410" t="s">
        <v>1628</v>
      </c>
      <c r="N410" s="1">
        <v>45725</v>
      </c>
      <c r="O410">
        <v>5</v>
      </c>
      <c r="P410" s="11">
        <v>46192</v>
      </c>
      <c r="Q410" s="17">
        <f t="shared" si="6"/>
        <v>2700</v>
      </c>
      <c r="R410" s="3">
        <v>24</v>
      </c>
      <c r="S410" s="3">
        <v>2700</v>
      </c>
      <c r="T410" s="2">
        <v>46745</v>
      </c>
      <c r="U410" s="3">
        <v>1700</v>
      </c>
      <c r="X410" s="17">
        <v>2700</v>
      </c>
      <c r="Y410" s="23">
        <v>0</v>
      </c>
      <c r="Z410" s="24"/>
    </row>
    <row r="411" spans="1:28">
      <c r="A411" s="6" t="s">
        <v>14</v>
      </c>
      <c r="B411" t="s">
        <v>330</v>
      </c>
      <c r="C411" t="s">
        <v>887</v>
      </c>
      <c r="D411" s="4">
        <v>46185</v>
      </c>
      <c r="E411">
        <v>102530</v>
      </c>
      <c r="F411" s="5">
        <v>37110</v>
      </c>
      <c r="G411" s="5">
        <v>65420</v>
      </c>
      <c r="H411" t="s">
        <v>842</v>
      </c>
      <c r="I411" s="1">
        <v>46763</v>
      </c>
      <c r="J411" s="9">
        <v>107111936214</v>
      </c>
      <c r="K411" t="s">
        <v>1629</v>
      </c>
      <c r="L411" t="s">
        <v>844</v>
      </c>
      <c r="M411" t="s">
        <v>1630</v>
      </c>
      <c r="N411" s="1">
        <v>45697</v>
      </c>
      <c r="O411">
        <v>5</v>
      </c>
      <c r="P411" s="11">
        <v>46192</v>
      </c>
      <c r="Q411" s="17">
        <f t="shared" si="6"/>
        <v>0</v>
      </c>
      <c r="R411" s="3">
        <v>24</v>
      </c>
      <c r="S411" s="3">
        <v>3519</v>
      </c>
      <c r="T411" s="2">
        <v>46776</v>
      </c>
      <c r="U411" s="3">
        <v>479</v>
      </c>
      <c r="X411" s="17">
        <v>0</v>
      </c>
      <c r="Y411" s="23">
        <v>0</v>
      </c>
      <c r="Z411" s="24"/>
    </row>
    <row r="412" spans="1:28">
      <c r="A412" s="6" t="s">
        <v>14</v>
      </c>
      <c r="B412" t="s">
        <v>199</v>
      </c>
      <c r="C412" t="s">
        <v>890</v>
      </c>
      <c r="D412" s="4">
        <v>46185</v>
      </c>
      <c r="E412">
        <v>79275</v>
      </c>
      <c r="F412" s="5">
        <v>43750</v>
      </c>
      <c r="G412" s="5">
        <v>35525</v>
      </c>
      <c r="H412" t="s">
        <v>842</v>
      </c>
      <c r="I412" s="1">
        <v>46488</v>
      </c>
      <c r="J412" s="9">
        <v>101130133837</v>
      </c>
      <c r="K412" t="s">
        <v>1631</v>
      </c>
      <c r="L412" t="s">
        <v>848</v>
      </c>
      <c r="M412" t="s">
        <v>1632</v>
      </c>
      <c r="N412" s="1">
        <v>45802</v>
      </c>
      <c r="O412">
        <v>3</v>
      </c>
      <c r="P412" s="11">
        <v>46192</v>
      </c>
      <c r="Q412" s="17">
        <f t="shared" si="6"/>
        <v>0</v>
      </c>
      <c r="R412" s="3">
        <v>10</v>
      </c>
      <c r="S412" s="3">
        <v>4080</v>
      </c>
      <c r="T412" s="2">
        <v>46487</v>
      </c>
      <c r="U412" s="3">
        <v>2885</v>
      </c>
      <c r="X412" s="17">
        <v>0</v>
      </c>
      <c r="Y412" s="23">
        <v>0</v>
      </c>
      <c r="Z412" s="24"/>
    </row>
    <row r="413" spans="1:28">
      <c r="A413" s="6" t="s">
        <v>14</v>
      </c>
      <c r="B413" t="s">
        <v>318</v>
      </c>
      <c r="C413" t="s">
        <v>887</v>
      </c>
      <c r="D413" s="4">
        <v>46185</v>
      </c>
      <c r="E413">
        <v>80000</v>
      </c>
      <c r="F413" s="5">
        <v>38110</v>
      </c>
      <c r="G413" s="5">
        <v>41890</v>
      </c>
      <c r="H413" t="s">
        <v>842</v>
      </c>
      <c r="I413" s="1">
        <v>46518</v>
      </c>
      <c r="J413" s="9">
        <v>107111707839</v>
      </c>
      <c r="K413" t="s">
        <v>1633</v>
      </c>
      <c r="L413" t="s">
        <v>844</v>
      </c>
      <c r="M413" t="s">
        <v>1634</v>
      </c>
      <c r="N413" s="1">
        <v>45654</v>
      </c>
      <c r="O413">
        <v>5</v>
      </c>
      <c r="P413" s="11">
        <v>46192</v>
      </c>
      <c r="Q413" s="17">
        <f t="shared" si="6"/>
        <v>0</v>
      </c>
      <c r="R413" s="3">
        <v>10</v>
      </c>
      <c r="S413" s="3">
        <v>3700</v>
      </c>
      <c r="T413" s="2">
        <v>46548</v>
      </c>
      <c r="U413" s="3">
        <v>1560</v>
      </c>
      <c r="X413" s="17">
        <v>0</v>
      </c>
      <c r="Y413" s="23">
        <v>0</v>
      </c>
      <c r="Z413" s="24"/>
    </row>
    <row r="414" spans="1:28">
      <c r="G414" s="13"/>
      <c r="J414" s="18"/>
      <c r="Q414" s="19"/>
      <c r="AB414" s="21" t="s">
        <v>1660</v>
      </c>
    </row>
  </sheetData>
  <autoFilter ref="A1:U413" xr:uid="{00000000-0001-0000-02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信托还款明细--0929已还款</vt:lpstr>
      <vt:lpstr>还款明细--1017已还款</vt:lpstr>
      <vt:lpstr>还款明细-1031已还款</vt:lpstr>
      <vt:lpstr>还款明细-1114已还款</vt:lpstr>
      <vt:lpstr>还款明细-1128已还款</vt:lpstr>
      <vt:lpstr>还款明细-1212已还款</vt:lpstr>
      <vt:lpstr>还款明细-1226已还款</vt:lpstr>
      <vt:lpstr>还款明细-0109已还款</vt:lpstr>
      <vt:lpstr>还款明细-0123已还款</vt:lpstr>
      <vt:lpstr>还款明细-0206已还款</vt:lpstr>
      <vt:lpstr>还款明细-0228已还款</vt:lpstr>
      <vt:lpstr>还款明细-0320已还款</vt:lpstr>
      <vt:lpstr>还款明细-0327已还款</vt:lpstr>
      <vt:lpstr>0403已还款</vt:lpstr>
      <vt:lpstr>0410已还款</vt:lpstr>
      <vt:lpstr>0417已还款</vt:lpstr>
      <vt:lpstr>0424-已还款</vt:lpstr>
      <vt:lpstr>0501-已还款</vt:lpstr>
      <vt:lpstr>0508-已还款</vt:lpstr>
      <vt:lpstr>0515-已还款</vt:lpstr>
      <vt:lpstr>0522-已还款</vt:lpstr>
      <vt:lpstr>0529-已还款</vt:lpstr>
      <vt:lpstr>0605已还款</vt:lpstr>
      <vt:lpstr>0612已还款</vt:lpstr>
      <vt:lpstr>回款计划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曹瀚</dc:creator>
  <cp:lastModifiedBy>Han Cao</cp:lastModifiedBy>
  <dcterms:created xsi:type="dcterms:W3CDTF">2025-09-29T07:20:00Z</dcterms:created>
  <dcterms:modified xsi:type="dcterms:W3CDTF">2026-06-15T07:47:33Z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E01B47100C32498C81260F1CE7C93ADD_13</vt:lpwstr>
  </property>
  <property fmtid="{D5CDD505-2E9C-101B-9397-08002B2CF9AE}" pid="3" name="KSOProductBuildVer">
    <vt:lpwstr>2052-12.1.0.22529</vt:lpwstr>
  </property>
  <property fmtid="{D5CDD505-2E9C-101B-9397-08002B2CF9AE}" pid="4" name="EM_Doc_Temp_ID">
    <vt:lpwstr>9f66eb4f</vt:lpwstr>
  </property>
  <property fmtid="{D5CDD505-2E9C-101B-9397-08002B2CF9AE}" pid="5" name="fileWhereFroms">
    <vt:lpwstr>PpjeLB1gRN0lwrPqMaCTkoDjvxC9q0wB+AC9PtMsK8rfL9ueSBxok0itIXwLmev3H0tI3ZeWcoLc3vQRcNqbjaqKU+eSJ5s6JfiMX4qQedeL1Kex5PfDuKQOg5o6epURBThtwOigHyzi/5srbhfLPg4NMG4RgXIFMBQxFmPuJN8Hy+DxYeWcXtr48sbJsfzs6yF/rjGgVE57cTcspwOJp0TR21KY60iALxgxAB/HE5NkeSyxOZw6ACVBLTIiaSx</vt:lpwstr>
  </property>
</Properties>
</file>